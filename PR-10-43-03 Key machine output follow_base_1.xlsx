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4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Borics K\Business Central\ProdInfoSys\"/>
    </mc:Choice>
  </mc:AlternateContent>
  <xr:revisionPtr revIDLastSave="0" documentId="13_ncr:1_{F488CE98-29B9-4BB0-8882-9A3F7F07DB50}" xr6:coauthVersionLast="47" xr6:coauthVersionMax="47" xr10:uidLastSave="{00000000-0000-0000-0000-000000000000}"/>
  <bookViews>
    <workbookView xWindow="-120" yWindow="-120" windowWidth="29040" windowHeight="15720" tabRatio="555" activeTab="2" xr2:uid="{00000000-000D-0000-FFFF-FFFF00000000}"/>
  </bookViews>
  <sheets>
    <sheet name="Előlap" sheetId="43" r:id="rId1"/>
    <sheet name="COIL inkjet_Laci" sheetId="57" r:id="rId2"/>
    <sheet name="Headcount" sheetId="33" r:id="rId3"/>
    <sheet name="Munka1" sheetId="59" r:id="rId4"/>
    <sheet name="ADAMI" sheetId="3" r:id="rId5"/>
    <sheet name="MIM" sheetId="53" r:id="rId6"/>
    <sheet name="CAOI" sheetId="2" r:id="rId7"/>
    <sheet name="AD Auto PKY" sheetId="5" r:id="rId8"/>
    <sheet name="Manual PKY" sheetId="10" state="hidden" r:id="rId9"/>
    <sheet name="CYT" sheetId="8" r:id="rId10"/>
    <sheet name="Auto Bending" sheetId="9" r:id="rId11"/>
    <sheet name="SS Auto Bending" sheetId="50" r:id="rId12"/>
    <sheet name="APIM" sheetId="29" r:id="rId13"/>
    <sheet name="Visual Inspection" sheetId="51" r:id="rId14"/>
    <sheet name="USB" sheetId="47" r:id="rId15"/>
    <sheet name="Conti Final Insp" sheetId="54" r:id="rId16"/>
    <sheet name="Hot Stamp" sheetId="49" r:id="rId17"/>
    <sheet name="Shielding" sheetId="14" r:id="rId18"/>
    <sheet name="Bending" sheetId="15" r:id="rId19"/>
    <sheet name="Attach Tape" sheetId="25" r:id="rId20"/>
    <sheet name="Bending+ATT(Kombi sablon)" sheetId="58" r:id="rId21"/>
    <sheet name="Hand L.mark" sheetId="26" r:id="rId22"/>
    <sheet name="KFT Output_Bundling" sheetId="18" r:id="rId23"/>
    <sheet name="KFT Output packaging" sheetId="28" r:id="rId24"/>
    <sheet name="Sales Qty" sheetId="27" r:id="rId25"/>
    <sheet name="Sales Amount" sheetId="19" r:id="rId26"/>
    <sheet name="Sales_daily_plan_follow" sheetId="24" r:id="rId27"/>
    <sheet name="Summarise" sheetId="11" state="hidden" r:id="rId28"/>
    <sheet name="Daily Production" sheetId="13" state="hidden" r:id="rId29"/>
    <sheet name="Sales_daily_plan_follow (2)" sheetId="30" r:id="rId30"/>
    <sheet name="PlanFollow (Factory out)" sheetId="35" r:id="rId31"/>
    <sheet name="PlanFollow (Finished)" sheetId="38" r:id="rId32"/>
    <sheet name="Prod.Output Summ" sheetId="40" r:id="rId33"/>
    <sheet name="Meeting minutes" sheetId="55" r:id="rId34"/>
    <sheet name="Prod.Output" sheetId="39" r:id="rId35"/>
    <sheet name="Postpones" sheetId="52" r:id="rId36"/>
    <sheet name="Operation hours" sheetId="56" r:id="rId37"/>
    <sheet name="Utilization" sheetId="45" r:id="rId38"/>
    <sheet name="Sales_DC Price" sheetId="41" r:id="rId39"/>
  </sheets>
  <externalReferences>
    <externalReference r:id="rId40"/>
    <externalReference r:id="rId41"/>
  </externalReferences>
  <definedNames>
    <definedName name="_27_IMR_lekérdezése" localSheetId="38" hidden="1">'Sales_DC Price'!#REF!</definedName>
    <definedName name="_xlnm._FilterDatabase" localSheetId="33" hidden="1">'Meeting minutes'!$A$1:$F$319</definedName>
    <definedName name="_xlnm._FilterDatabase" localSheetId="30" hidden="1">'PlanFollow (Factory out)'!$A$7:$D$32</definedName>
    <definedName name="_xlnm._FilterDatabase" localSheetId="34" hidden="1">Prod.Output!$A$1:$E$279</definedName>
    <definedName name="ExternalData_1" localSheetId="38" hidden="1">'Sales_DC Price'!$Q$1:$R$4299</definedName>
    <definedName name="ExternalData_2" localSheetId="38" hidden="1">'Sales_DC Price'!$A$1:$F$1514</definedName>
    <definedName name="Sales_Price_lekérdezése" localSheetId="38" hidden="1">'Sales_DC Price'!#REF!</definedName>
  </definedNames>
  <calcPr calcId="191028"/>
  <pivotCaches>
    <pivotCache cacheId="5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33" l="1"/>
  <c r="S19" i="33"/>
  <c r="R10" i="33"/>
  <c r="S10" i="33"/>
  <c r="W34" i="40"/>
  <c r="W33" i="40"/>
  <c r="V33" i="40"/>
  <c r="U33" i="40"/>
  <c r="T34" i="40"/>
  <c r="T33" i="40"/>
  <c r="P20" i="40"/>
  <c r="X16" i="8"/>
  <c r="K9" i="3"/>
  <c r="T15" i="3"/>
  <c r="K18" i="33"/>
  <c r="K24" i="33"/>
  <c r="P10" i="33" l="1"/>
  <c r="J18" i="3"/>
  <c r="E165" i="39"/>
  <c r="E158" i="39"/>
  <c r="E145" i="39"/>
  <c r="E119" i="39"/>
  <c r="E108" i="39"/>
  <c r="E47" i="39"/>
  <c r="E28" i="39"/>
  <c r="E25" i="39"/>
  <c r="E139" i="39"/>
  <c r="G2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97" i="41"/>
  <c r="G98" i="41"/>
  <c r="G99" i="41"/>
  <c r="G100" i="41"/>
  <c r="G101" i="41"/>
  <c r="G102" i="41"/>
  <c r="G103" i="41"/>
  <c r="G104" i="41"/>
  <c r="G105" i="41"/>
  <c r="G106" i="41"/>
  <c r="G107" i="41"/>
  <c r="G108" i="4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21" i="41"/>
  <c r="G122" i="41"/>
  <c r="G123" i="41"/>
  <c r="G124" i="41"/>
  <c r="G125" i="41"/>
  <c r="G126" i="41"/>
  <c r="G127" i="41"/>
  <c r="G128" i="41"/>
  <c r="G129" i="41"/>
  <c r="G130" i="41"/>
  <c r="G131" i="41"/>
  <c r="G132" i="41"/>
  <c r="G133" i="41"/>
  <c r="G134" i="41"/>
  <c r="G135" i="41"/>
  <c r="G136" i="41"/>
  <c r="G137" i="41"/>
  <c r="G138" i="41"/>
  <c r="G139" i="41"/>
  <c r="G140" i="41"/>
  <c r="G141" i="41"/>
  <c r="G142" i="41"/>
  <c r="G143" i="41"/>
  <c r="G144" i="41"/>
  <c r="G145" i="41"/>
  <c r="G146" i="41"/>
  <c r="G147" i="41"/>
  <c r="G148" i="41"/>
  <c r="G149" i="41"/>
  <c r="G150" i="41"/>
  <c r="G151" i="41"/>
  <c r="G152" i="41"/>
  <c r="G153" i="41"/>
  <c r="G154" i="41"/>
  <c r="G155" i="41"/>
  <c r="G156" i="41"/>
  <c r="G157" i="41"/>
  <c r="G158" i="41"/>
  <c r="G159" i="41"/>
  <c r="G160" i="41"/>
  <c r="G161" i="41"/>
  <c r="G162" i="41"/>
  <c r="G163" i="41"/>
  <c r="G164" i="41"/>
  <c r="G165" i="41"/>
  <c r="G166" i="41"/>
  <c r="G167" i="41"/>
  <c r="G168" i="41"/>
  <c r="G169" i="41"/>
  <c r="G170" i="41"/>
  <c r="G171" i="41"/>
  <c r="G172" i="41"/>
  <c r="G173" i="41"/>
  <c r="G174" i="41"/>
  <c r="G175" i="41"/>
  <c r="G176" i="41"/>
  <c r="G177" i="41"/>
  <c r="G178" i="41"/>
  <c r="G179" i="41"/>
  <c r="G180" i="41"/>
  <c r="G181" i="41"/>
  <c r="G182" i="41"/>
  <c r="G183" i="41"/>
  <c r="G184" i="41"/>
  <c r="G185" i="41"/>
  <c r="G186" i="41"/>
  <c r="G187" i="41"/>
  <c r="G188" i="41"/>
  <c r="G189" i="41"/>
  <c r="G190" i="41"/>
  <c r="G191" i="41"/>
  <c r="G192" i="41"/>
  <c r="G193" i="41"/>
  <c r="G194" i="41"/>
  <c r="G195" i="41"/>
  <c r="G196" i="41"/>
  <c r="G197" i="41"/>
  <c r="G198" i="41"/>
  <c r="G199" i="41"/>
  <c r="G200" i="41"/>
  <c r="G201" i="41"/>
  <c r="G202" i="41"/>
  <c r="G203" i="41"/>
  <c r="G204" i="41"/>
  <c r="G205" i="41"/>
  <c r="G206" i="41"/>
  <c r="G207" i="41"/>
  <c r="G208" i="41"/>
  <c r="G209" i="41"/>
  <c r="G210" i="41"/>
  <c r="G211" i="41"/>
  <c r="G212" i="41"/>
  <c r="G213" i="41"/>
  <c r="G214" i="41"/>
  <c r="G215" i="41"/>
  <c r="G216" i="41"/>
  <c r="G217" i="41"/>
  <c r="G218" i="41"/>
  <c r="G219" i="41"/>
  <c r="G220" i="41"/>
  <c r="G221" i="41"/>
  <c r="G222" i="41"/>
  <c r="G223" i="41"/>
  <c r="G224" i="41"/>
  <c r="G225" i="41"/>
  <c r="G226" i="41"/>
  <c r="G227" i="41"/>
  <c r="G228" i="41"/>
  <c r="G229" i="41"/>
  <c r="G230" i="41"/>
  <c r="G231" i="41"/>
  <c r="G232" i="41"/>
  <c r="G233" i="41"/>
  <c r="G234" i="41"/>
  <c r="G235" i="41"/>
  <c r="G236" i="41"/>
  <c r="G237" i="41"/>
  <c r="G238" i="41"/>
  <c r="G239" i="41"/>
  <c r="G240" i="41"/>
  <c r="G241" i="41"/>
  <c r="G242" i="41"/>
  <c r="G243" i="41"/>
  <c r="G244" i="41"/>
  <c r="G245" i="41"/>
  <c r="G246" i="41"/>
  <c r="G247" i="41"/>
  <c r="G248" i="41"/>
  <c r="G249" i="41"/>
  <c r="G250" i="41"/>
  <c r="G251" i="41"/>
  <c r="G252" i="41"/>
  <c r="G253" i="41"/>
  <c r="G254" i="41"/>
  <c r="G255" i="41"/>
  <c r="G256" i="41"/>
  <c r="G257" i="41"/>
  <c r="G258" i="41"/>
  <c r="G259" i="41"/>
  <c r="G260" i="41"/>
  <c r="G261" i="41"/>
  <c r="G262" i="41"/>
  <c r="G263" i="41"/>
  <c r="G264" i="41"/>
  <c r="G265" i="41"/>
  <c r="G266" i="41"/>
  <c r="G267" i="41"/>
  <c r="G268" i="41"/>
  <c r="G269" i="41"/>
  <c r="G270" i="41"/>
  <c r="G271" i="41"/>
  <c r="G272" i="41"/>
  <c r="G273" i="41"/>
  <c r="G274" i="41"/>
  <c r="G275" i="41"/>
  <c r="G276" i="41"/>
  <c r="G277" i="41"/>
  <c r="G278" i="41"/>
  <c r="G279" i="41"/>
  <c r="G280" i="41"/>
  <c r="G281" i="41"/>
  <c r="G282" i="41"/>
  <c r="G283" i="41"/>
  <c r="G284" i="41"/>
  <c r="G285" i="41"/>
  <c r="G286" i="41"/>
  <c r="G287" i="41"/>
  <c r="G288" i="41"/>
  <c r="G289" i="41"/>
  <c r="G290" i="41"/>
  <c r="G291" i="41"/>
  <c r="G292" i="41"/>
  <c r="G293" i="41"/>
  <c r="G294" i="41"/>
  <c r="G295" i="41"/>
  <c r="G296" i="41"/>
  <c r="G297" i="41"/>
  <c r="G298" i="41"/>
  <c r="G299" i="41"/>
  <c r="G300" i="41"/>
  <c r="G301" i="41"/>
  <c r="G302" i="41"/>
  <c r="G303" i="41"/>
  <c r="G304" i="41"/>
  <c r="G305" i="41"/>
  <c r="G306" i="41"/>
  <c r="G307" i="41"/>
  <c r="G308" i="41"/>
  <c r="G309" i="41"/>
  <c r="G310" i="41"/>
  <c r="G311" i="41"/>
  <c r="G312" i="41"/>
  <c r="G313" i="41"/>
  <c r="G314" i="41"/>
  <c r="G315" i="41"/>
  <c r="G316" i="41"/>
  <c r="G317" i="41"/>
  <c r="G318" i="41"/>
  <c r="G319" i="41"/>
  <c r="G320" i="41"/>
  <c r="G321" i="41"/>
  <c r="G322" i="41"/>
  <c r="G323" i="41"/>
  <c r="G324" i="41"/>
  <c r="G325" i="41"/>
  <c r="G326" i="41"/>
  <c r="G327" i="41"/>
  <c r="G328" i="41"/>
  <c r="G329" i="41"/>
  <c r="G330" i="41"/>
  <c r="G331" i="41"/>
  <c r="G332" i="41"/>
  <c r="G333" i="41"/>
  <c r="G334" i="41"/>
  <c r="G335" i="41"/>
  <c r="G336" i="41"/>
  <c r="G337" i="41"/>
  <c r="G338" i="41"/>
  <c r="G339" i="41"/>
  <c r="G340" i="41"/>
  <c r="G341" i="41"/>
  <c r="G342" i="41"/>
  <c r="G343" i="41"/>
  <c r="G344" i="41"/>
  <c r="G345" i="41"/>
  <c r="G346" i="41"/>
  <c r="G347" i="41"/>
  <c r="G348" i="41"/>
  <c r="G349" i="41"/>
  <c r="G350" i="41"/>
  <c r="G351" i="41"/>
  <c r="G352" i="41"/>
  <c r="G353" i="41"/>
  <c r="G354" i="41"/>
  <c r="G355" i="41"/>
  <c r="G356" i="41"/>
  <c r="G357" i="41"/>
  <c r="G358" i="41"/>
  <c r="G359" i="41"/>
  <c r="G360" i="41"/>
  <c r="G361" i="41"/>
  <c r="G362" i="41"/>
  <c r="G363" i="41"/>
  <c r="G364" i="41"/>
  <c r="G365" i="41"/>
  <c r="G366" i="41"/>
  <c r="G367" i="41"/>
  <c r="G368" i="41"/>
  <c r="G369" i="41"/>
  <c r="G370" i="41"/>
  <c r="G371" i="41"/>
  <c r="G372" i="41"/>
  <c r="G373" i="41"/>
  <c r="G374" i="41"/>
  <c r="G375" i="41"/>
  <c r="G376" i="41"/>
  <c r="G377" i="41"/>
  <c r="G378" i="41"/>
  <c r="G379" i="41"/>
  <c r="G380" i="41"/>
  <c r="G381" i="41"/>
  <c r="G382" i="41"/>
  <c r="G383" i="41"/>
  <c r="G384" i="41"/>
  <c r="G385" i="41"/>
  <c r="G386" i="41"/>
  <c r="G387" i="41"/>
  <c r="G388" i="41"/>
  <c r="G389" i="41"/>
  <c r="G390" i="41"/>
  <c r="G391" i="41"/>
  <c r="G392" i="41"/>
  <c r="G393" i="41"/>
  <c r="G394" i="41"/>
  <c r="G395" i="41"/>
  <c r="G396" i="41"/>
  <c r="G397" i="41"/>
  <c r="G398" i="41"/>
  <c r="G399" i="41"/>
  <c r="G400" i="41"/>
  <c r="G401" i="41"/>
  <c r="G402" i="41"/>
  <c r="G403" i="41"/>
  <c r="G404" i="41"/>
  <c r="G405" i="41"/>
  <c r="G406" i="41"/>
  <c r="G407" i="41"/>
  <c r="G408" i="41"/>
  <c r="G409" i="41"/>
  <c r="G410" i="41"/>
  <c r="G411" i="41"/>
  <c r="G412" i="41"/>
  <c r="G413" i="41"/>
  <c r="G414" i="41"/>
  <c r="G415" i="41"/>
  <c r="G416" i="41"/>
  <c r="G417" i="41"/>
  <c r="G418" i="41"/>
  <c r="G419" i="41"/>
  <c r="G420" i="41"/>
  <c r="G421" i="41"/>
  <c r="G422" i="41"/>
  <c r="G423" i="41"/>
  <c r="G424" i="41"/>
  <c r="G425" i="41"/>
  <c r="G426" i="41"/>
  <c r="G427" i="41"/>
  <c r="G428" i="41"/>
  <c r="G429" i="41"/>
  <c r="G430" i="41"/>
  <c r="G431" i="41"/>
  <c r="G432" i="41"/>
  <c r="G433" i="41"/>
  <c r="G434" i="41"/>
  <c r="G435" i="41"/>
  <c r="G436" i="41"/>
  <c r="G437" i="41"/>
  <c r="G438" i="41"/>
  <c r="G439" i="41"/>
  <c r="G440" i="41"/>
  <c r="G441" i="41"/>
  <c r="G442" i="41"/>
  <c r="G443" i="41"/>
  <c r="G444" i="41"/>
  <c r="G445" i="41"/>
  <c r="G446" i="41"/>
  <c r="G447" i="41"/>
  <c r="G448" i="41"/>
  <c r="G449" i="41"/>
  <c r="G450" i="41"/>
  <c r="G451" i="41"/>
  <c r="G452" i="41"/>
  <c r="G453" i="41"/>
  <c r="G454" i="41"/>
  <c r="G455" i="41"/>
  <c r="G456" i="41"/>
  <c r="G457" i="41"/>
  <c r="G458" i="41"/>
  <c r="G459" i="41"/>
  <c r="G460" i="41"/>
  <c r="G461" i="41"/>
  <c r="G462" i="41"/>
  <c r="G463" i="41"/>
  <c r="G464" i="41"/>
  <c r="G465" i="41"/>
  <c r="G466" i="41"/>
  <c r="G467" i="41"/>
  <c r="G468" i="41"/>
  <c r="G469" i="41"/>
  <c r="G470" i="41"/>
  <c r="G471" i="41"/>
  <c r="G472" i="41"/>
  <c r="G473" i="41"/>
  <c r="G474" i="41"/>
  <c r="G475" i="41"/>
  <c r="G476" i="41"/>
  <c r="G477" i="41"/>
  <c r="G478" i="41"/>
  <c r="G479" i="41"/>
  <c r="G480" i="41"/>
  <c r="G481" i="41"/>
  <c r="G482" i="41"/>
  <c r="G483" i="41"/>
  <c r="G484" i="41"/>
  <c r="G485" i="41"/>
  <c r="G486" i="41"/>
  <c r="G487" i="41"/>
  <c r="G488" i="41"/>
  <c r="G489" i="41"/>
  <c r="G490" i="41"/>
  <c r="G491" i="41"/>
  <c r="G492" i="41"/>
  <c r="G493" i="41"/>
  <c r="G494" i="41"/>
  <c r="G495" i="41"/>
  <c r="G496" i="41"/>
  <c r="G497" i="41"/>
  <c r="G498" i="41"/>
  <c r="G499" i="41"/>
  <c r="G500" i="41"/>
  <c r="G501" i="41"/>
  <c r="G502" i="41"/>
  <c r="G503" i="41"/>
  <c r="G504" i="41"/>
  <c r="G505" i="41"/>
  <c r="G506" i="41"/>
  <c r="G507" i="41"/>
  <c r="G508" i="41"/>
  <c r="G509" i="41"/>
  <c r="G510" i="41"/>
  <c r="G511" i="41"/>
  <c r="G512" i="41"/>
  <c r="G513" i="41"/>
  <c r="G514" i="41"/>
  <c r="G515" i="41"/>
  <c r="G516" i="41"/>
  <c r="G517" i="41"/>
  <c r="G518" i="41"/>
  <c r="G519" i="41"/>
  <c r="G520" i="41"/>
  <c r="G521" i="41"/>
  <c r="G522" i="41"/>
  <c r="G523" i="41"/>
  <c r="G524" i="41"/>
  <c r="G525" i="41"/>
  <c r="G526" i="41"/>
  <c r="G527" i="41"/>
  <c r="G528" i="41"/>
  <c r="G529" i="41"/>
  <c r="G530" i="41"/>
  <c r="G531" i="41"/>
  <c r="G532" i="41"/>
  <c r="G533" i="41"/>
  <c r="G534" i="41"/>
  <c r="G535" i="41"/>
  <c r="G536" i="41"/>
  <c r="G537" i="41"/>
  <c r="G538" i="41"/>
  <c r="G539" i="41"/>
  <c r="G540" i="41"/>
  <c r="G541" i="41"/>
  <c r="G542" i="41"/>
  <c r="G543" i="41"/>
  <c r="G544" i="41"/>
  <c r="G545" i="41"/>
  <c r="G546" i="41"/>
  <c r="G547" i="41"/>
  <c r="G548" i="41"/>
  <c r="G549" i="41"/>
  <c r="G550" i="41"/>
  <c r="G551" i="41"/>
  <c r="G552" i="41"/>
  <c r="G553" i="41"/>
  <c r="G554" i="41"/>
  <c r="G555" i="41"/>
  <c r="G556" i="41"/>
  <c r="G557" i="41"/>
  <c r="G558" i="41"/>
  <c r="G559" i="41"/>
  <c r="G560" i="41"/>
  <c r="G561" i="41"/>
  <c r="G562" i="41"/>
  <c r="G563" i="41"/>
  <c r="G564" i="41"/>
  <c r="G565" i="41"/>
  <c r="G566" i="41"/>
  <c r="G567" i="41"/>
  <c r="G568" i="41"/>
  <c r="G569" i="41"/>
  <c r="G570" i="41"/>
  <c r="G571" i="41"/>
  <c r="G572" i="41"/>
  <c r="G573" i="41"/>
  <c r="G574" i="41"/>
  <c r="G575" i="41"/>
  <c r="G576" i="41"/>
  <c r="G577" i="41"/>
  <c r="G578" i="41"/>
  <c r="G579" i="41"/>
  <c r="G580" i="41"/>
  <c r="G581" i="41"/>
  <c r="G582" i="41"/>
  <c r="G583" i="41"/>
  <c r="G584" i="41"/>
  <c r="G585" i="41"/>
  <c r="G586" i="41"/>
  <c r="G587" i="41"/>
  <c r="G588" i="41"/>
  <c r="G589" i="41"/>
  <c r="G590" i="41"/>
  <c r="G591" i="41"/>
  <c r="G592" i="41"/>
  <c r="G593" i="41"/>
  <c r="G594" i="41"/>
  <c r="G595" i="41"/>
  <c r="G596" i="41"/>
  <c r="G597" i="41"/>
  <c r="G598" i="41"/>
  <c r="G599" i="41"/>
  <c r="G600" i="41"/>
  <c r="G601" i="41"/>
  <c r="G602" i="41"/>
  <c r="G603" i="41"/>
  <c r="G604" i="41"/>
  <c r="G605" i="41"/>
  <c r="G606" i="41"/>
  <c r="G607" i="41"/>
  <c r="G608" i="41"/>
  <c r="G609" i="41"/>
  <c r="G610" i="41"/>
  <c r="G611" i="41"/>
  <c r="G612" i="41"/>
  <c r="G613" i="41"/>
  <c r="G614" i="41"/>
  <c r="G615" i="41"/>
  <c r="G616" i="41"/>
  <c r="G617" i="41"/>
  <c r="G618" i="41"/>
  <c r="G619" i="41"/>
  <c r="G620" i="41"/>
  <c r="G621" i="41"/>
  <c r="G622" i="41"/>
  <c r="G623" i="41"/>
  <c r="G624" i="41"/>
  <c r="G625" i="41"/>
  <c r="G626" i="41"/>
  <c r="G627" i="41"/>
  <c r="G628" i="41"/>
  <c r="G629" i="41"/>
  <c r="G630" i="41"/>
  <c r="G631" i="41"/>
  <c r="G632" i="41"/>
  <c r="G633" i="41"/>
  <c r="G634" i="41"/>
  <c r="G635" i="41"/>
  <c r="G636" i="41"/>
  <c r="G637" i="41"/>
  <c r="G638" i="41"/>
  <c r="G639" i="41"/>
  <c r="G640" i="41"/>
  <c r="G641" i="41"/>
  <c r="G642" i="41"/>
  <c r="G643" i="41"/>
  <c r="G644" i="41"/>
  <c r="G645" i="41"/>
  <c r="G646" i="41"/>
  <c r="G647" i="41"/>
  <c r="G648" i="41"/>
  <c r="G649" i="41"/>
  <c r="G650" i="41"/>
  <c r="G651" i="41"/>
  <c r="G652" i="41"/>
  <c r="G653" i="41"/>
  <c r="G654" i="41"/>
  <c r="G655" i="41"/>
  <c r="G656" i="41"/>
  <c r="G657" i="41"/>
  <c r="G658" i="41"/>
  <c r="G659" i="41"/>
  <c r="G660" i="41"/>
  <c r="G661" i="41"/>
  <c r="G662" i="41"/>
  <c r="G663" i="41"/>
  <c r="G664" i="41"/>
  <c r="G665" i="41"/>
  <c r="G666" i="41"/>
  <c r="G667" i="41"/>
  <c r="G668" i="41"/>
  <c r="G669" i="41"/>
  <c r="G670" i="41"/>
  <c r="G671" i="41"/>
  <c r="G672" i="41"/>
  <c r="G673" i="41"/>
  <c r="G674" i="41"/>
  <c r="G675" i="41"/>
  <c r="G676" i="41"/>
  <c r="G677" i="41"/>
  <c r="G678" i="41"/>
  <c r="G679" i="41"/>
  <c r="G680" i="41"/>
  <c r="G681" i="41"/>
  <c r="G682" i="41"/>
  <c r="G683" i="41"/>
  <c r="G684" i="41"/>
  <c r="G685" i="41"/>
  <c r="G686" i="41"/>
  <c r="G687" i="41"/>
  <c r="G688" i="41"/>
  <c r="G689" i="41"/>
  <c r="G690" i="41"/>
  <c r="G691" i="41"/>
  <c r="G692" i="41"/>
  <c r="G693" i="41"/>
  <c r="G694" i="41"/>
  <c r="G695" i="41"/>
  <c r="G696" i="41"/>
  <c r="G697" i="41"/>
  <c r="G698" i="41"/>
  <c r="G699" i="41"/>
  <c r="G700" i="41"/>
  <c r="G701" i="41"/>
  <c r="G702" i="41"/>
  <c r="G703" i="41"/>
  <c r="G704" i="41"/>
  <c r="G705" i="41"/>
  <c r="G706" i="41"/>
  <c r="G707" i="41"/>
  <c r="G708" i="41"/>
  <c r="G709" i="41"/>
  <c r="G710" i="41"/>
  <c r="G711" i="41"/>
  <c r="G712" i="41"/>
  <c r="G713" i="41"/>
  <c r="G714" i="41"/>
  <c r="G715" i="41"/>
  <c r="G716" i="41"/>
  <c r="G717" i="41"/>
  <c r="G718" i="41"/>
  <c r="G719" i="41"/>
  <c r="G720" i="41"/>
  <c r="G721" i="41"/>
  <c r="G722" i="41"/>
  <c r="G723" i="41"/>
  <c r="G724" i="41"/>
  <c r="G725" i="41"/>
  <c r="G726" i="41"/>
  <c r="G727" i="41"/>
  <c r="G728" i="41"/>
  <c r="G729" i="41"/>
  <c r="G730" i="41"/>
  <c r="G731" i="41"/>
  <c r="G732" i="41"/>
  <c r="G733" i="41"/>
  <c r="G734" i="41"/>
  <c r="G735" i="41"/>
  <c r="G736" i="41"/>
  <c r="G737" i="41"/>
  <c r="G738" i="41"/>
  <c r="G739" i="41"/>
  <c r="G740" i="41"/>
  <c r="G741" i="41"/>
  <c r="G742" i="41"/>
  <c r="G743" i="41"/>
  <c r="G744" i="41"/>
  <c r="G745" i="41"/>
  <c r="G746" i="41"/>
  <c r="G747" i="41"/>
  <c r="G748" i="41"/>
  <c r="G749" i="41"/>
  <c r="G750" i="41"/>
  <c r="G751" i="41"/>
  <c r="G752" i="41"/>
  <c r="G753" i="41"/>
  <c r="G754" i="41"/>
  <c r="G755" i="41"/>
  <c r="G756" i="41"/>
  <c r="G757" i="41"/>
  <c r="G758" i="41"/>
  <c r="G759" i="41"/>
  <c r="G760" i="41"/>
  <c r="G761" i="41"/>
  <c r="G762" i="41"/>
  <c r="G763" i="41"/>
  <c r="G764" i="41"/>
  <c r="G765" i="41"/>
  <c r="G766" i="41"/>
  <c r="G767" i="41"/>
  <c r="G768" i="41"/>
  <c r="G769" i="41"/>
  <c r="G770" i="41"/>
  <c r="G771" i="41"/>
  <c r="G772" i="41"/>
  <c r="G773" i="41"/>
  <c r="G774" i="41"/>
  <c r="G775" i="41"/>
  <c r="G776" i="41"/>
  <c r="G777" i="41"/>
  <c r="G778" i="41"/>
  <c r="G779" i="41"/>
  <c r="G780" i="41"/>
  <c r="G781" i="41"/>
  <c r="G782" i="41"/>
  <c r="G783" i="41"/>
  <c r="G784" i="41"/>
  <c r="G785" i="41"/>
  <c r="G786" i="41"/>
  <c r="G787" i="41"/>
  <c r="G788" i="41"/>
  <c r="G789" i="41"/>
  <c r="G790" i="41"/>
  <c r="G791" i="41"/>
  <c r="G792" i="41"/>
  <c r="G793" i="41"/>
  <c r="G794" i="41"/>
  <c r="G795" i="41"/>
  <c r="G796" i="41"/>
  <c r="G797" i="41"/>
  <c r="G798" i="41"/>
  <c r="G799" i="41"/>
  <c r="G800" i="41"/>
  <c r="G801" i="41"/>
  <c r="G802" i="41"/>
  <c r="G803" i="41"/>
  <c r="G804" i="41"/>
  <c r="G805" i="41"/>
  <c r="G806" i="41"/>
  <c r="G807" i="41"/>
  <c r="G808" i="41"/>
  <c r="G809" i="41"/>
  <c r="G810" i="41"/>
  <c r="G811" i="41"/>
  <c r="G812" i="41"/>
  <c r="G813" i="41"/>
  <c r="G814" i="41"/>
  <c r="G815" i="41"/>
  <c r="G816" i="41"/>
  <c r="G817" i="41"/>
  <c r="G818" i="41"/>
  <c r="G819" i="41"/>
  <c r="G820" i="41"/>
  <c r="G821" i="41"/>
  <c r="G822" i="41"/>
  <c r="G823" i="41"/>
  <c r="G824" i="41"/>
  <c r="G825" i="41"/>
  <c r="G826" i="41"/>
  <c r="G827" i="41"/>
  <c r="G828" i="41"/>
  <c r="G829" i="41"/>
  <c r="G830" i="41"/>
  <c r="G831" i="41"/>
  <c r="G832" i="41"/>
  <c r="G833" i="41"/>
  <c r="G834" i="41"/>
  <c r="G835" i="41"/>
  <c r="G836" i="41"/>
  <c r="G837" i="41"/>
  <c r="G838" i="41"/>
  <c r="G839" i="41"/>
  <c r="G840" i="41"/>
  <c r="G841" i="41"/>
  <c r="G842" i="41"/>
  <c r="G843" i="41"/>
  <c r="G844" i="41"/>
  <c r="G845" i="41"/>
  <c r="G846" i="41"/>
  <c r="G847" i="41"/>
  <c r="G848" i="41"/>
  <c r="G849" i="41"/>
  <c r="G850" i="41"/>
  <c r="G851" i="41"/>
  <c r="G852" i="41"/>
  <c r="G853" i="41"/>
  <c r="G854" i="41"/>
  <c r="G855" i="41"/>
  <c r="G856" i="41"/>
  <c r="G857" i="41"/>
  <c r="G858" i="41"/>
  <c r="G859" i="41"/>
  <c r="G860" i="41"/>
  <c r="G861" i="41"/>
  <c r="G862" i="41"/>
  <c r="G863" i="41"/>
  <c r="G864" i="41"/>
  <c r="G865" i="41"/>
  <c r="G866" i="41"/>
  <c r="G867" i="41"/>
  <c r="G868" i="41"/>
  <c r="G869" i="41"/>
  <c r="G870" i="41"/>
  <c r="G871" i="41"/>
  <c r="G872" i="41"/>
  <c r="G873" i="41"/>
  <c r="G874" i="41"/>
  <c r="G875" i="41"/>
  <c r="G876" i="41"/>
  <c r="G877" i="41"/>
  <c r="G878" i="41"/>
  <c r="G879" i="41"/>
  <c r="G880" i="41"/>
  <c r="G881" i="41"/>
  <c r="G882" i="41"/>
  <c r="G883" i="41"/>
  <c r="G884" i="41"/>
  <c r="G885" i="41"/>
  <c r="G886" i="41"/>
  <c r="G887" i="41"/>
  <c r="G888" i="41"/>
  <c r="G889" i="41"/>
  <c r="G890" i="41"/>
  <c r="G891" i="41"/>
  <c r="G892" i="41"/>
  <c r="G893" i="41"/>
  <c r="G894" i="41"/>
  <c r="G895" i="41"/>
  <c r="G896" i="41"/>
  <c r="G897" i="41"/>
  <c r="G898" i="41"/>
  <c r="G899" i="41"/>
  <c r="G900" i="41"/>
  <c r="G901" i="41"/>
  <c r="G902" i="41"/>
  <c r="G903" i="41"/>
  <c r="G904" i="41"/>
  <c r="G905" i="41"/>
  <c r="G906" i="41"/>
  <c r="G907" i="41"/>
  <c r="G908" i="41"/>
  <c r="G909" i="41"/>
  <c r="G910" i="41"/>
  <c r="G911" i="41"/>
  <c r="G912" i="41"/>
  <c r="G913" i="41"/>
  <c r="G914" i="41"/>
  <c r="G915" i="41"/>
  <c r="G916" i="41"/>
  <c r="G917" i="41"/>
  <c r="G918" i="41"/>
  <c r="G919" i="41"/>
  <c r="G920" i="41"/>
  <c r="G921" i="41"/>
  <c r="G922" i="41"/>
  <c r="G923" i="41"/>
  <c r="G924" i="41"/>
  <c r="G925" i="41"/>
  <c r="G926" i="41"/>
  <c r="G927" i="41"/>
  <c r="G928" i="41"/>
  <c r="G929" i="41"/>
  <c r="G930" i="41"/>
  <c r="G931" i="41"/>
  <c r="G932" i="41"/>
  <c r="G933" i="41"/>
  <c r="G934" i="41"/>
  <c r="G935" i="41"/>
  <c r="G936" i="41"/>
  <c r="G937" i="41"/>
  <c r="G938" i="41"/>
  <c r="G939" i="41"/>
  <c r="G940" i="41"/>
  <c r="G941" i="41"/>
  <c r="G942" i="41"/>
  <c r="G943" i="41"/>
  <c r="G944" i="41"/>
  <c r="G945" i="41"/>
  <c r="G946" i="41"/>
  <c r="G947" i="41"/>
  <c r="G948" i="41"/>
  <c r="G949" i="41"/>
  <c r="G950" i="41"/>
  <c r="G951" i="41"/>
  <c r="G952" i="41"/>
  <c r="G953" i="41"/>
  <c r="G954" i="41"/>
  <c r="G955" i="41"/>
  <c r="G956" i="41"/>
  <c r="G957" i="41"/>
  <c r="G958" i="41"/>
  <c r="G959" i="41"/>
  <c r="G960" i="41"/>
  <c r="G961" i="41"/>
  <c r="G962" i="41"/>
  <c r="G963" i="41"/>
  <c r="G964" i="41"/>
  <c r="G965" i="41"/>
  <c r="G966" i="41"/>
  <c r="G967" i="41"/>
  <c r="G968" i="41"/>
  <c r="G969" i="41"/>
  <c r="G970" i="41"/>
  <c r="G971" i="41"/>
  <c r="G972" i="41"/>
  <c r="G973" i="41"/>
  <c r="G974" i="41"/>
  <c r="G975" i="41"/>
  <c r="G976" i="41"/>
  <c r="G977" i="41"/>
  <c r="G978" i="41"/>
  <c r="G979" i="41"/>
  <c r="G980" i="41"/>
  <c r="G981" i="41"/>
  <c r="G982" i="41"/>
  <c r="G983" i="41"/>
  <c r="G984" i="41"/>
  <c r="G985" i="41"/>
  <c r="G986" i="41"/>
  <c r="G987" i="41"/>
  <c r="G988" i="41"/>
  <c r="G989" i="41"/>
  <c r="G990" i="41"/>
  <c r="G991" i="41"/>
  <c r="G992" i="41"/>
  <c r="G993" i="41"/>
  <c r="G994" i="41"/>
  <c r="G995" i="41"/>
  <c r="G996" i="41"/>
  <c r="G997" i="41"/>
  <c r="G998" i="41"/>
  <c r="G999" i="41"/>
  <c r="G1000" i="41"/>
  <c r="G1001" i="41"/>
  <c r="G1002" i="41"/>
  <c r="G1003" i="41"/>
  <c r="G1004" i="41"/>
  <c r="G1005" i="41"/>
  <c r="G1006" i="41"/>
  <c r="G1007" i="41"/>
  <c r="G1008" i="41"/>
  <c r="G1009" i="41"/>
  <c r="G1010" i="41"/>
  <c r="G1011" i="41"/>
  <c r="G1012" i="41"/>
  <c r="G1013" i="41"/>
  <c r="G1014" i="41"/>
  <c r="G1015" i="41"/>
  <c r="G1016" i="41"/>
  <c r="G1017" i="41"/>
  <c r="G1018" i="41"/>
  <c r="G1019" i="41"/>
  <c r="G1020" i="41"/>
  <c r="G1021" i="41"/>
  <c r="G1022" i="41"/>
  <c r="G1023" i="41"/>
  <c r="G1024" i="41"/>
  <c r="G1025" i="41"/>
  <c r="G1026" i="41"/>
  <c r="G1027" i="41"/>
  <c r="G1028" i="41"/>
  <c r="G1029" i="41"/>
  <c r="G1030" i="41"/>
  <c r="G1031" i="41"/>
  <c r="G1032" i="41"/>
  <c r="G1033" i="41"/>
  <c r="G1034" i="41"/>
  <c r="G1035" i="41"/>
  <c r="G1036" i="41"/>
  <c r="G1037" i="41"/>
  <c r="G1038" i="41"/>
  <c r="G1039" i="41"/>
  <c r="G1040" i="41"/>
  <c r="G1041" i="41"/>
  <c r="G1042" i="41"/>
  <c r="G1043" i="41"/>
  <c r="G1044" i="41"/>
  <c r="G1045" i="41"/>
  <c r="G1046" i="41"/>
  <c r="G1047" i="41"/>
  <c r="G1048" i="41"/>
  <c r="G1049" i="41"/>
  <c r="G1050" i="41"/>
  <c r="G1051" i="41"/>
  <c r="G1052" i="41"/>
  <c r="G1053" i="41"/>
  <c r="G1054" i="41"/>
  <c r="G1055" i="41"/>
  <c r="G1056" i="41"/>
  <c r="G1057" i="41"/>
  <c r="G1058" i="41"/>
  <c r="G1059" i="41"/>
  <c r="G1060" i="41"/>
  <c r="G1061" i="41"/>
  <c r="G1062" i="41"/>
  <c r="G1063" i="41"/>
  <c r="G1064" i="41"/>
  <c r="G1065" i="41"/>
  <c r="G1066" i="41"/>
  <c r="G1067" i="41"/>
  <c r="G1068" i="41"/>
  <c r="G1069" i="41"/>
  <c r="G1070" i="41"/>
  <c r="G1071" i="41"/>
  <c r="G1072" i="41"/>
  <c r="G1073" i="41"/>
  <c r="G1074" i="41"/>
  <c r="G1075" i="41"/>
  <c r="G1076" i="41"/>
  <c r="G1077" i="41"/>
  <c r="G1078" i="41"/>
  <c r="G1079" i="41"/>
  <c r="G1080" i="41"/>
  <c r="G1081" i="41"/>
  <c r="G1082" i="41"/>
  <c r="G1083" i="41"/>
  <c r="G1084" i="41"/>
  <c r="G1085" i="41"/>
  <c r="G1086" i="41"/>
  <c r="G1087" i="41"/>
  <c r="G1088" i="41"/>
  <c r="G1089" i="41"/>
  <c r="G1090" i="41"/>
  <c r="G1091" i="41"/>
  <c r="G1092" i="41"/>
  <c r="G1093" i="41"/>
  <c r="G1094" i="41"/>
  <c r="G1095" i="41"/>
  <c r="G1096" i="41"/>
  <c r="G1097" i="41"/>
  <c r="G1098" i="41"/>
  <c r="G1099" i="41"/>
  <c r="G1100" i="41"/>
  <c r="G1101" i="41"/>
  <c r="G1102" i="41"/>
  <c r="G1103" i="41"/>
  <c r="G1104" i="41"/>
  <c r="G1105" i="41"/>
  <c r="G1106" i="41"/>
  <c r="G1107" i="41"/>
  <c r="G1108" i="41"/>
  <c r="G1109" i="41"/>
  <c r="G1110" i="41"/>
  <c r="G1111" i="41"/>
  <c r="G1112" i="41"/>
  <c r="G1113" i="41"/>
  <c r="G1114" i="41"/>
  <c r="G1115" i="41"/>
  <c r="G1116" i="41"/>
  <c r="G1117" i="41"/>
  <c r="G1118" i="41"/>
  <c r="G1119" i="41"/>
  <c r="G1120" i="41"/>
  <c r="G1121" i="41"/>
  <c r="G1122" i="41"/>
  <c r="G1123" i="41"/>
  <c r="G1124" i="41"/>
  <c r="G1125" i="41"/>
  <c r="G1126" i="41"/>
  <c r="G1127" i="41"/>
  <c r="G1128" i="41"/>
  <c r="G1129" i="41"/>
  <c r="G1130" i="41"/>
  <c r="G1131" i="41"/>
  <c r="G1132" i="41"/>
  <c r="G1133" i="41"/>
  <c r="G1134" i="41"/>
  <c r="G1135" i="41"/>
  <c r="G1136" i="41"/>
  <c r="G1137" i="41"/>
  <c r="G1138" i="41"/>
  <c r="G1139" i="41"/>
  <c r="G1140" i="41"/>
  <c r="G1141" i="41"/>
  <c r="G1142" i="41"/>
  <c r="G1143" i="41"/>
  <c r="G1144" i="41"/>
  <c r="G1145" i="41"/>
  <c r="G1146" i="41"/>
  <c r="G1147" i="41"/>
  <c r="G1148" i="41"/>
  <c r="G1149" i="41"/>
  <c r="G1150" i="41"/>
  <c r="G1151" i="41"/>
  <c r="G1152" i="41"/>
  <c r="G1153" i="41"/>
  <c r="G1154" i="41"/>
  <c r="G1155" i="41"/>
  <c r="G1156" i="41"/>
  <c r="G1157" i="41"/>
  <c r="G1158" i="41"/>
  <c r="G1159" i="41"/>
  <c r="G1160" i="41"/>
  <c r="G1161" i="41"/>
  <c r="G1162" i="41"/>
  <c r="G1163" i="41"/>
  <c r="G1164" i="41"/>
  <c r="G1165" i="41"/>
  <c r="G1166" i="41"/>
  <c r="G1167" i="41"/>
  <c r="G1168" i="41"/>
  <c r="G1169" i="41"/>
  <c r="G1170" i="41"/>
  <c r="G1171" i="41"/>
  <c r="G1172" i="41"/>
  <c r="G1173" i="41"/>
  <c r="G1174" i="41"/>
  <c r="G1175" i="41"/>
  <c r="G1176" i="41"/>
  <c r="G1177" i="41"/>
  <c r="G1178" i="41"/>
  <c r="G1179" i="41"/>
  <c r="G1180" i="41"/>
  <c r="G1181" i="41"/>
  <c r="G1182" i="41"/>
  <c r="G1183" i="41"/>
  <c r="G1184" i="41"/>
  <c r="G1185" i="41"/>
  <c r="G1186" i="41"/>
  <c r="G1187" i="41"/>
  <c r="G1188" i="41"/>
  <c r="G1189" i="41"/>
  <c r="G1190" i="41"/>
  <c r="G1191" i="41"/>
  <c r="G1192" i="41"/>
  <c r="G1193" i="41"/>
  <c r="G1194" i="41"/>
  <c r="G1195" i="41"/>
  <c r="G1196" i="41"/>
  <c r="G1197" i="41"/>
  <c r="G1198" i="41"/>
  <c r="G1199" i="41"/>
  <c r="G1200" i="41"/>
  <c r="G1201" i="41"/>
  <c r="G1202" i="41"/>
  <c r="G1203" i="41"/>
  <c r="G1204" i="41"/>
  <c r="G1205" i="41"/>
  <c r="G1206" i="41"/>
  <c r="G1207" i="41"/>
  <c r="G1208" i="41"/>
  <c r="G1209" i="41"/>
  <c r="G1210" i="41"/>
  <c r="G1211" i="41"/>
  <c r="G1212" i="41"/>
  <c r="G1213" i="41"/>
  <c r="G1214" i="41"/>
  <c r="G1215" i="41"/>
  <c r="G1216" i="41"/>
  <c r="G1217" i="41"/>
  <c r="G1218" i="41"/>
  <c r="G1219" i="41"/>
  <c r="G1220" i="41"/>
  <c r="G1221" i="41"/>
  <c r="G1222" i="41"/>
  <c r="G1223" i="41"/>
  <c r="G1224" i="41"/>
  <c r="G1225" i="41"/>
  <c r="G1226" i="41"/>
  <c r="G1227" i="41"/>
  <c r="G1228" i="41"/>
  <c r="G1229" i="41"/>
  <c r="G1230" i="41"/>
  <c r="G1231" i="41"/>
  <c r="G1232" i="41"/>
  <c r="G1233" i="41"/>
  <c r="G1234" i="41"/>
  <c r="G1235" i="41"/>
  <c r="G1236" i="41"/>
  <c r="G1237" i="41"/>
  <c r="G1238" i="41"/>
  <c r="G1239" i="41"/>
  <c r="G1240" i="41"/>
  <c r="G1241" i="41"/>
  <c r="G1242" i="41"/>
  <c r="G1243" i="41"/>
  <c r="G1244" i="41"/>
  <c r="G1245" i="41"/>
  <c r="G1246" i="41"/>
  <c r="G1247" i="41"/>
  <c r="G1248" i="41"/>
  <c r="G1249" i="41"/>
  <c r="G1250" i="41"/>
  <c r="G1251" i="41"/>
  <c r="G1252" i="41"/>
  <c r="G1253" i="41"/>
  <c r="G1254" i="41"/>
  <c r="G1255" i="41"/>
  <c r="G1256" i="41"/>
  <c r="G1257" i="41"/>
  <c r="G1258" i="41"/>
  <c r="G1259" i="41"/>
  <c r="G1260" i="41"/>
  <c r="G1261" i="41"/>
  <c r="G1262" i="41"/>
  <c r="G1263" i="41"/>
  <c r="G1264" i="41"/>
  <c r="G1265" i="41"/>
  <c r="G1266" i="41"/>
  <c r="G1267" i="41"/>
  <c r="G1268" i="41"/>
  <c r="G1269" i="41"/>
  <c r="G1270" i="41"/>
  <c r="G1271" i="41"/>
  <c r="G1272" i="41"/>
  <c r="G1273" i="41"/>
  <c r="G1274" i="41"/>
  <c r="G1275" i="41"/>
  <c r="G1276" i="41"/>
  <c r="G1277" i="41"/>
  <c r="G1278" i="41"/>
  <c r="G1279" i="41"/>
  <c r="G1280" i="41"/>
  <c r="G1281" i="41"/>
  <c r="G1282" i="41"/>
  <c r="G1283" i="41"/>
  <c r="G1284" i="41"/>
  <c r="G1285" i="41"/>
  <c r="G1286" i="41"/>
  <c r="G1287" i="41"/>
  <c r="G1288" i="41"/>
  <c r="G1289" i="41"/>
  <c r="G1290" i="41"/>
  <c r="G1291" i="41"/>
  <c r="G1292" i="41"/>
  <c r="G1293" i="41"/>
  <c r="G1294" i="41"/>
  <c r="G1295" i="41"/>
  <c r="G1296" i="41"/>
  <c r="G1297" i="41"/>
  <c r="G1298" i="41"/>
  <c r="G1299" i="41"/>
  <c r="G1300" i="41"/>
  <c r="G1301" i="41"/>
  <c r="G1302" i="41"/>
  <c r="G1303" i="41"/>
  <c r="G1304" i="41"/>
  <c r="G1305" i="41"/>
  <c r="G1306" i="41"/>
  <c r="G1307" i="41"/>
  <c r="G1308" i="41"/>
  <c r="G1309" i="41"/>
  <c r="G1310" i="41"/>
  <c r="G1311" i="41"/>
  <c r="G1312" i="41"/>
  <c r="G1313" i="41"/>
  <c r="G1314" i="41"/>
  <c r="G1315" i="41"/>
  <c r="G1316" i="41"/>
  <c r="G1317" i="41"/>
  <c r="G1318" i="41"/>
  <c r="G1319" i="41"/>
  <c r="G1320" i="41"/>
  <c r="G1321" i="41"/>
  <c r="G1322" i="41"/>
  <c r="G1323" i="41"/>
  <c r="G1324" i="41"/>
  <c r="G1325" i="41"/>
  <c r="G1326" i="41"/>
  <c r="G1327" i="41"/>
  <c r="G1328" i="41"/>
  <c r="G1329" i="41"/>
  <c r="G1330" i="41"/>
  <c r="G1331" i="41"/>
  <c r="G1332" i="41"/>
  <c r="G1333" i="41"/>
  <c r="G1334" i="41"/>
  <c r="G1335" i="41"/>
  <c r="G1336" i="41"/>
  <c r="G1337" i="41"/>
  <c r="G1338" i="41"/>
  <c r="G1339" i="41"/>
  <c r="G1340" i="41"/>
  <c r="G1341" i="41"/>
  <c r="G1342" i="41"/>
  <c r="G1343" i="41"/>
  <c r="G1344" i="41"/>
  <c r="G1345" i="41"/>
  <c r="G1346" i="41"/>
  <c r="G1347" i="41"/>
  <c r="G1348" i="41"/>
  <c r="G1349" i="41"/>
  <c r="G1350" i="41"/>
  <c r="G1351" i="41"/>
  <c r="G1352" i="41"/>
  <c r="G1353" i="41"/>
  <c r="G1354" i="41"/>
  <c r="G1355" i="41"/>
  <c r="G1356" i="41"/>
  <c r="G1357" i="41"/>
  <c r="G1358" i="41"/>
  <c r="G1359" i="41"/>
  <c r="G1360" i="41"/>
  <c r="G1361" i="41"/>
  <c r="G1362" i="41"/>
  <c r="G1363" i="41"/>
  <c r="G1364" i="41"/>
  <c r="G1365" i="41"/>
  <c r="G1366" i="41"/>
  <c r="G1367" i="41"/>
  <c r="G1368" i="41"/>
  <c r="G1369" i="41"/>
  <c r="G1370" i="41"/>
  <c r="G1371" i="41"/>
  <c r="G1372" i="41"/>
  <c r="G1373" i="41"/>
  <c r="G1374" i="41"/>
  <c r="G1375" i="41"/>
  <c r="G1376" i="41"/>
  <c r="G1377" i="41"/>
  <c r="G1378" i="41"/>
  <c r="G1379" i="41"/>
  <c r="G1380" i="41"/>
  <c r="G1381" i="41"/>
  <c r="G1382" i="41"/>
  <c r="G1383" i="41"/>
  <c r="G1384" i="41"/>
  <c r="G1385" i="41"/>
  <c r="G1386" i="41"/>
  <c r="G1387" i="41"/>
  <c r="G1388" i="41"/>
  <c r="G1389" i="41"/>
  <c r="G1390" i="41"/>
  <c r="G1391" i="41"/>
  <c r="G1392" i="41"/>
  <c r="G1393" i="41"/>
  <c r="G1394" i="41"/>
  <c r="G1395" i="41"/>
  <c r="G1396" i="41"/>
  <c r="G1397" i="41"/>
  <c r="G1398" i="41"/>
  <c r="G1399" i="41"/>
  <c r="G1400" i="41"/>
  <c r="G1401" i="41"/>
  <c r="G1402" i="41"/>
  <c r="G1403" i="41"/>
  <c r="G1404" i="41"/>
  <c r="G1405" i="41"/>
  <c r="G1406" i="41"/>
  <c r="G1407" i="41"/>
  <c r="G1408" i="41"/>
  <c r="G1409" i="41"/>
  <c r="G1410" i="41"/>
  <c r="G1411" i="41"/>
  <c r="G1412" i="41"/>
  <c r="G1413" i="41"/>
  <c r="G1414" i="41"/>
  <c r="G1415" i="41"/>
  <c r="G1416" i="41"/>
  <c r="G1417" i="41"/>
  <c r="G1418" i="41"/>
  <c r="G1419" i="41"/>
  <c r="G1420" i="41"/>
  <c r="G1421" i="41"/>
  <c r="G1422" i="41"/>
  <c r="G1423" i="41"/>
  <c r="G1424" i="41"/>
  <c r="G1425" i="41"/>
  <c r="G1426" i="41"/>
  <c r="G1427" i="41"/>
  <c r="G1428" i="41"/>
  <c r="G1429" i="41"/>
  <c r="G1430" i="41"/>
  <c r="G1431" i="41"/>
  <c r="G1432" i="41"/>
  <c r="G1433" i="41"/>
  <c r="G1434" i="41"/>
  <c r="G1435" i="41"/>
  <c r="G1436" i="41"/>
  <c r="G1437" i="41"/>
  <c r="G1438" i="41"/>
  <c r="G1439" i="41"/>
  <c r="G1440" i="41"/>
  <c r="G1441" i="41"/>
  <c r="G1442" i="41"/>
  <c r="G1443" i="41"/>
  <c r="G1444" i="41"/>
  <c r="G1445" i="41"/>
  <c r="G1446" i="41"/>
  <c r="G1447" i="41"/>
  <c r="G1448" i="41"/>
  <c r="G1449" i="41"/>
  <c r="G1450" i="41"/>
  <c r="G1451" i="41"/>
  <c r="G1452" i="41"/>
  <c r="G1453" i="41"/>
  <c r="G1454" i="41"/>
  <c r="G1455" i="41"/>
  <c r="G1456" i="41"/>
  <c r="G1457" i="41"/>
  <c r="G1458" i="41"/>
  <c r="G1459" i="41"/>
  <c r="G1460" i="41"/>
  <c r="G1461" i="41"/>
  <c r="G1462" i="41"/>
  <c r="G1463" i="41"/>
  <c r="G1464" i="41"/>
  <c r="G1465" i="41"/>
  <c r="G1466" i="41"/>
  <c r="G1467" i="41"/>
  <c r="G1468" i="41"/>
  <c r="G1469" i="41"/>
  <c r="G1470" i="41"/>
  <c r="G1471" i="41"/>
  <c r="G1472" i="41"/>
  <c r="G1473" i="41"/>
  <c r="G1474" i="41"/>
  <c r="G1475" i="41"/>
  <c r="G1476" i="41"/>
  <c r="G1477" i="41"/>
  <c r="G1478" i="41"/>
  <c r="G1479" i="41"/>
  <c r="G1480" i="41"/>
  <c r="G1481" i="41"/>
  <c r="G1482" i="41"/>
  <c r="G1483" i="41"/>
  <c r="G1484" i="41"/>
  <c r="G1485" i="41"/>
  <c r="G1486" i="41"/>
  <c r="G1487" i="41"/>
  <c r="G1488" i="41"/>
  <c r="G1489" i="41"/>
  <c r="G1490" i="41"/>
  <c r="G1491" i="41"/>
  <c r="G1492" i="41"/>
  <c r="G1493" i="41"/>
  <c r="G1494" i="41"/>
  <c r="G1495" i="41"/>
  <c r="G1496" i="41"/>
  <c r="G1497" i="41"/>
  <c r="G1498" i="41"/>
  <c r="G1499" i="41"/>
  <c r="G1500" i="41"/>
  <c r="G1501" i="41"/>
  <c r="G1502" i="41"/>
  <c r="G1503" i="41"/>
  <c r="G1504" i="41"/>
  <c r="G1505" i="41"/>
  <c r="G1506" i="41"/>
  <c r="G1507" i="41"/>
  <c r="G1508" i="41"/>
  <c r="G1509" i="41"/>
  <c r="G1510" i="41"/>
  <c r="G1511" i="41"/>
  <c r="G1512" i="41"/>
  <c r="G1513" i="41"/>
  <c r="G1514" i="41"/>
  <c r="H2" i="41"/>
  <c r="H3" i="4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H66" i="41"/>
  <c r="H67" i="41"/>
  <c r="H68" i="41"/>
  <c r="H69" i="41"/>
  <c r="H70" i="41"/>
  <c r="H71" i="41"/>
  <c r="H72" i="41"/>
  <c r="H73" i="41"/>
  <c r="H74" i="41"/>
  <c r="H75" i="41"/>
  <c r="H76" i="41"/>
  <c r="H77" i="41"/>
  <c r="H78" i="41"/>
  <c r="H79" i="41"/>
  <c r="H80" i="41"/>
  <c r="H81" i="41"/>
  <c r="H82" i="41"/>
  <c r="H83" i="41"/>
  <c r="H84" i="41"/>
  <c r="H85" i="41"/>
  <c r="H86" i="41"/>
  <c r="H87" i="41"/>
  <c r="H88" i="41"/>
  <c r="H89" i="41"/>
  <c r="H90" i="41"/>
  <c r="H91" i="41"/>
  <c r="H92" i="41"/>
  <c r="H93" i="41"/>
  <c r="H94" i="41"/>
  <c r="H95" i="41"/>
  <c r="H96" i="41"/>
  <c r="H97" i="41"/>
  <c r="H98" i="41"/>
  <c r="H99" i="41"/>
  <c r="H100" i="41"/>
  <c r="H101" i="41"/>
  <c r="H102" i="41"/>
  <c r="H103" i="41"/>
  <c r="H104" i="41"/>
  <c r="H105" i="41"/>
  <c r="H106" i="41"/>
  <c r="H107" i="41"/>
  <c r="H108" i="41"/>
  <c r="H109" i="41"/>
  <c r="H110" i="41"/>
  <c r="H111" i="41"/>
  <c r="H112" i="41"/>
  <c r="H113" i="41"/>
  <c r="H114" i="41"/>
  <c r="H115" i="41"/>
  <c r="H116" i="41"/>
  <c r="H117" i="41"/>
  <c r="H118" i="41"/>
  <c r="H119" i="41"/>
  <c r="H120" i="41"/>
  <c r="H121" i="41"/>
  <c r="H122" i="41"/>
  <c r="H123" i="41"/>
  <c r="H124" i="41"/>
  <c r="H125" i="41"/>
  <c r="H126" i="41"/>
  <c r="H127" i="41"/>
  <c r="H128" i="41"/>
  <c r="H129" i="41"/>
  <c r="H130" i="41"/>
  <c r="H131" i="41"/>
  <c r="H132" i="41"/>
  <c r="H133" i="41"/>
  <c r="H134" i="41"/>
  <c r="H135" i="41"/>
  <c r="H136" i="41"/>
  <c r="H137" i="41"/>
  <c r="H138" i="41"/>
  <c r="H139" i="41"/>
  <c r="H140" i="41"/>
  <c r="H141" i="41"/>
  <c r="H142" i="41"/>
  <c r="H143" i="41"/>
  <c r="H144" i="41"/>
  <c r="H145" i="41"/>
  <c r="H146" i="41"/>
  <c r="H147" i="41"/>
  <c r="H148" i="41"/>
  <c r="H149" i="41"/>
  <c r="H150" i="41"/>
  <c r="H151" i="41"/>
  <c r="H152" i="41"/>
  <c r="H153" i="41"/>
  <c r="H154" i="41"/>
  <c r="H155" i="41"/>
  <c r="H156" i="41"/>
  <c r="H157" i="41"/>
  <c r="H158" i="41"/>
  <c r="H159" i="41"/>
  <c r="H160" i="41"/>
  <c r="H161" i="41"/>
  <c r="H162" i="41"/>
  <c r="H163" i="41"/>
  <c r="H164" i="41"/>
  <c r="H165" i="41"/>
  <c r="H166" i="41"/>
  <c r="H167" i="41"/>
  <c r="H168" i="41"/>
  <c r="H169" i="41"/>
  <c r="H170" i="41"/>
  <c r="H171" i="41"/>
  <c r="H172" i="41"/>
  <c r="H173" i="41"/>
  <c r="H174" i="41"/>
  <c r="H175" i="41"/>
  <c r="H176" i="41"/>
  <c r="H177" i="41"/>
  <c r="H178" i="41"/>
  <c r="H179" i="41"/>
  <c r="H180" i="41"/>
  <c r="H181" i="41"/>
  <c r="H182" i="41"/>
  <c r="H183" i="41"/>
  <c r="H184" i="41"/>
  <c r="H185" i="41"/>
  <c r="H186" i="41"/>
  <c r="H187" i="41"/>
  <c r="H188" i="41"/>
  <c r="H189" i="41"/>
  <c r="H190" i="41"/>
  <c r="H191" i="41"/>
  <c r="H192" i="41"/>
  <c r="H193" i="41"/>
  <c r="H194" i="41"/>
  <c r="H195" i="41"/>
  <c r="H196" i="41"/>
  <c r="H197" i="41"/>
  <c r="H198" i="41"/>
  <c r="H199" i="41"/>
  <c r="H200" i="41"/>
  <c r="H201" i="41"/>
  <c r="H202" i="41"/>
  <c r="H203" i="41"/>
  <c r="H204" i="41"/>
  <c r="H205" i="41"/>
  <c r="H206" i="41"/>
  <c r="H207" i="41"/>
  <c r="H208" i="41"/>
  <c r="H209" i="41"/>
  <c r="H210" i="41"/>
  <c r="H211" i="41"/>
  <c r="H212" i="41"/>
  <c r="H213" i="41"/>
  <c r="H214" i="41"/>
  <c r="H215" i="41"/>
  <c r="H216" i="41"/>
  <c r="H217" i="41"/>
  <c r="H218" i="41"/>
  <c r="H219" i="41"/>
  <c r="H220" i="41"/>
  <c r="H221" i="41"/>
  <c r="H222" i="41"/>
  <c r="H223" i="41"/>
  <c r="H224" i="41"/>
  <c r="H225" i="41"/>
  <c r="H226" i="41"/>
  <c r="H227" i="41"/>
  <c r="H228" i="41"/>
  <c r="H229" i="41"/>
  <c r="H230" i="41"/>
  <c r="H231" i="41"/>
  <c r="H232" i="41"/>
  <c r="H233" i="41"/>
  <c r="H234" i="41"/>
  <c r="H235" i="41"/>
  <c r="H236" i="41"/>
  <c r="H237" i="41"/>
  <c r="H238" i="41"/>
  <c r="H239" i="41"/>
  <c r="H240" i="41"/>
  <c r="H241" i="41"/>
  <c r="H242" i="41"/>
  <c r="H243" i="41"/>
  <c r="H244" i="41"/>
  <c r="H245" i="41"/>
  <c r="H246" i="41"/>
  <c r="H247" i="41"/>
  <c r="H248" i="41"/>
  <c r="H249" i="41"/>
  <c r="H250" i="41"/>
  <c r="H251" i="41"/>
  <c r="H252" i="41"/>
  <c r="H253" i="41"/>
  <c r="H254" i="41"/>
  <c r="H255" i="41"/>
  <c r="H256" i="41"/>
  <c r="H257" i="41"/>
  <c r="H258" i="41"/>
  <c r="H259" i="41"/>
  <c r="H260" i="41"/>
  <c r="H261" i="41"/>
  <c r="H262" i="41"/>
  <c r="H263" i="41"/>
  <c r="H264" i="41"/>
  <c r="H265" i="41"/>
  <c r="H266" i="41"/>
  <c r="H267" i="41"/>
  <c r="H268" i="41"/>
  <c r="H269" i="41"/>
  <c r="H270" i="41"/>
  <c r="H271" i="41"/>
  <c r="H272" i="41"/>
  <c r="H273" i="41"/>
  <c r="H274" i="41"/>
  <c r="H275" i="41"/>
  <c r="H276" i="41"/>
  <c r="H277" i="41"/>
  <c r="H278" i="41"/>
  <c r="H279" i="41"/>
  <c r="H280" i="41"/>
  <c r="H281" i="41"/>
  <c r="H282" i="41"/>
  <c r="H283" i="41"/>
  <c r="H284" i="41"/>
  <c r="H285" i="41"/>
  <c r="H286" i="41"/>
  <c r="H287" i="41"/>
  <c r="H288" i="41"/>
  <c r="H289" i="41"/>
  <c r="H290" i="41"/>
  <c r="H291" i="41"/>
  <c r="H292" i="41"/>
  <c r="H293" i="41"/>
  <c r="H294" i="41"/>
  <c r="H295" i="41"/>
  <c r="H296" i="41"/>
  <c r="H297" i="41"/>
  <c r="H298" i="41"/>
  <c r="H299" i="41"/>
  <c r="H300" i="41"/>
  <c r="H301" i="41"/>
  <c r="H302" i="41"/>
  <c r="H303" i="41"/>
  <c r="H304" i="41"/>
  <c r="H305" i="41"/>
  <c r="H306" i="41"/>
  <c r="H307" i="41"/>
  <c r="H308" i="41"/>
  <c r="H309" i="41"/>
  <c r="H310" i="41"/>
  <c r="H311" i="41"/>
  <c r="H312" i="41"/>
  <c r="H313" i="41"/>
  <c r="H314" i="41"/>
  <c r="H315" i="41"/>
  <c r="H316" i="41"/>
  <c r="H317" i="41"/>
  <c r="H318" i="41"/>
  <c r="H319" i="41"/>
  <c r="H320" i="41"/>
  <c r="H321" i="41"/>
  <c r="H322" i="41"/>
  <c r="H323" i="41"/>
  <c r="H324" i="41"/>
  <c r="H325" i="41"/>
  <c r="H326" i="41"/>
  <c r="H327" i="41"/>
  <c r="H328" i="41"/>
  <c r="H329" i="41"/>
  <c r="H330" i="41"/>
  <c r="H331" i="41"/>
  <c r="H332" i="41"/>
  <c r="H333" i="41"/>
  <c r="H334" i="41"/>
  <c r="H335" i="41"/>
  <c r="H336" i="41"/>
  <c r="H337" i="41"/>
  <c r="H338" i="41"/>
  <c r="H339" i="41"/>
  <c r="H340" i="41"/>
  <c r="H341" i="41"/>
  <c r="H342" i="41"/>
  <c r="H343" i="41"/>
  <c r="H344" i="41"/>
  <c r="H345" i="41"/>
  <c r="H346" i="41"/>
  <c r="H347" i="41"/>
  <c r="H348" i="41"/>
  <c r="H349" i="41"/>
  <c r="H350" i="41"/>
  <c r="H351" i="41"/>
  <c r="H352" i="41"/>
  <c r="H353" i="41"/>
  <c r="H354" i="41"/>
  <c r="H355" i="41"/>
  <c r="H356" i="41"/>
  <c r="H357" i="41"/>
  <c r="H358" i="41"/>
  <c r="H359" i="41"/>
  <c r="H360" i="41"/>
  <c r="H361" i="41"/>
  <c r="H362" i="41"/>
  <c r="H363" i="41"/>
  <c r="H364" i="41"/>
  <c r="H365" i="41"/>
  <c r="H366" i="41"/>
  <c r="H367" i="41"/>
  <c r="H368" i="41"/>
  <c r="H369" i="41"/>
  <c r="H370" i="41"/>
  <c r="H371" i="41"/>
  <c r="H372" i="41"/>
  <c r="H373" i="41"/>
  <c r="H374" i="41"/>
  <c r="H375" i="41"/>
  <c r="H376" i="41"/>
  <c r="H377" i="41"/>
  <c r="H378" i="41"/>
  <c r="H379" i="41"/>
  <c r="H380" i="41"/>
  <c r="H381" i="41"/>
  <c r="H382" i="41"/>
  <c r="H383" i="41"/>
  <c r="H384" i="41"/>
  <c r="H385" i="41"/>
  <c r="H386" i="41"/>
  <c r="H387" i="41"/>
  <c r="H388" i="41"/>
  <c r="H389" i="41"/>
  <c r="H390" i="41"/>
  <c r="H391" i="41"/>
  <c r="H392" i="41"/>
  <c r="H393" i="41"/>
  <c r="H394" i="41"/>
  <c r="H395" i="41"/>
  <c r="H396" i="41"/>
  <c r="H397" i="41"/>
  <c r="H398" i="41"/>
  <c r="H399" i="41"/>
  <c r="H400" i="41"/>
  <c r="H401" i="41"/>
  <c r="H402" i="41"/>
  <c r="H403" i="41"/>
  <c r="H404" i="41"/>
  <c r="H405" i="41"/>
  <c r="H406" i="41"/>
  <c r="H407" i="41"/>
  <c r="H408" i="41"/>
  <c r="H409" i="41"/>
  <c r="H410" i="41"/>
  <c r="H411" i="41"/>
  <c r="H412" i="41"/>
  <c r="H413" i="41"/>
  <c r="H414" i="41"/>
  <c r="H415" i="41"/>
  <c r="H416" i="41"/>
  <c r="H417" i="41"/>
  <c r="H418" i="41"/>
  <c r="H419" i="41"/>
  <c r="H420" i="41"/>
  <c r="H421" i="41"/>
  <c r="H422" i="41"/>
  <c r="H423" i="41"/>
  <c r="H424" i="41"/>
  <c r="H425" i="41"/>
  <c r="H426" i="41"/>
  <c r="H427" i="41"/>
  <c r="H428" i="41"/>
  <c r="H429" i="41"/>
  <c r="H430" i="41"/>
  <c r="H431" i="41"/>
  <c r="H432" i="41"/>
  <c r="H433" i="41"/>
  <c r="H434" i="41"/>
  <c r="H435" i="41"/>
  <c r="H436" i="41"/>
  <c r="H437" i="41"/>
  <c r="H438" i="41"/>
  <c r="H439" i="41"/>
  <c r="H440" i="41"/>
  <c r="H441" i="41"/>
  <c r="H442" i="41"/>
  <c r="H443" i="41"/>
  <c r="H444" i="41"/>
  <c r="H445" i="41"/>
  <c r="H446" i="41"/>
  <c r="H447" i="41"/>
  <c r="H448" i="41"/>
  <c r="H449" i="41"/>
  <c r="H450" i="41"/>
  <c r="H451" i="41"/>
  <c r="H452" i="41"/>
  <c r="H453" i="41"/>
  <c r="H454" i="41"/>
  <c r="H455" i="41"/>
  <c r="H456" i="41"/>
  <c r="H457" i="41"/>
  <c r="H458" i="41"/>
  <c r="H459" i="41"/>
  <c r="H460" i="41"/>
  <c r="H461" i="41"/>
  <c r="H462" i="41"/>
  <c r="H463" i="41"/>
  <c r="H464" i="41"/>
  <c r="H465" i="41"/>
  <c r="H466" i="41"/>
  <c r="H467" i="41"/>
  <c r="H468" i="41"/>
  <c r="H469" i="41"/>
  <c r="H470" i="41"/>
  <c r="H471" i="41"/>
  <c r="H472" i="41"/>
  <c r="H473" i="41"/>
  <c r="H474" i="41"/>
  <c r="H475" i="41"/>
  <c r="H476" i="41"/>
  <c r="H477" i="41"/>
  <c r="H478" i="41"/>
  <c r="H479" i="41"/>
  <c r="H480" i="41"/>
  <c r="H481" i="41"/>
  <c r="H482" i="41"/>
  <c r="H483" i="41"/>
  <c r="H484" i="41"/>
  <c r="H485" i="41"/>
  <c r="H486" i="41"/>
  <c r="H487" i="41"/>
  <c r="H488" i="41"/>
  <c r="H489" i="41"/>
  <c r="H490" i="41"/>
  <c r="H491" i="41"/>
  <c r="H492" i="41"/>
  <c r="H493" i="41"/>
  <c r="H494" i="41"/>
  <c r="H495" i="41"/>
  <c r="H496" i="41"/>
  <c r="H497" i="41"/>
  <c r="H498" i="41"/>
  <c r="H499" i="41"/>
  <c r="H500" i="41"/>
  <c r="H501" i="41"/>
  <c r="H502" i="41"/>
  <c r="H503" i="41"/>
  <c r="H504" i="41"/>
  <c r="H505" i="41"/>
  <c r="H506" i="41"/>
  <c r="H507" i="41"/>
  <c r="H508" i="41"/>
  <c r="H509" i="41"/>
  <c r="H510" i="41"/>
  <c r="H511" i="41"/>
  <c r="H512" i="41"/>
  <c r="H513" i="41"/>
  <c r="H514" i="41"/>
  <c r="H515" i="41"/>
  <c r="H516" i="41"/>
  <c r="H517" i="41"/>
  <c r="H518" i="41"/>
  <c r="H519" i="41"/>
  <c r="H520" i="41"/>
  <c r="H521" i="41"/>
  <c r="H522" i="41"/>
  <c r="H523" i="41"/>
  <c r="H524" i="41"/>
  <c r="H525" i="41"/>
  <c r="H526" i="41"/>
  <c r="H527" i="41"/>
  <c r="H528" i="41"/>
  <c r="H529" i="41"/>
  <c r="H530" i="41"/>
  <c r="H531" i="41"/>
  <c r="H532" i="41"/>
  <c r="H533" i="41"/>
  <c r="H534" i="41"/>
  <c r="H535" i="41"/>
  <c r="H536" i="41"/>
  <c r="H537" i="41"/>
  <c r="H538" i="41"/>
  <c r="H539" i="41"/>
  <c r="H540" i="41"/>
  <c r="H541" i="41"/>
  <c r="H542" i="41"/>
  <c r="H543" i="41"/>
  <c r="H544" i="41"/>
  <c r="H545" i="41"/>
  <c r="H546" i="41"/>
  <c r="H547" i="41"/>
  <c r="H548" i="41"/>
  <c r="H549" i="41"/>
  <c r="H550" i="41"/>
  <c r="H551" i="41"/>
  <c r="H552" i="41"/>
  <c r="H553" i="41"/>
  <c r="H554" i="41"/>
  <c r="H555" i="41"/>
  <c r="H556" i="41"/>
  <c r="H557" i="41"/>
  <c r="H558" i="41"/>
  <c r="H559" i="41"/>
  <c r="H560" i="41"/>
  <c r="H561" i="41"/>
  <c r="H562" i="41"/>
  <c r="H563" i="41"/>
  <c r="H564" i="41"/>
  <c r="H565" i="41"/>
  <c r="H566" i="41"/>
  <c r="H567" i="41"/>
  <c r="H568" i="41"/>
  <c r="H569" i="41"/>
  <c r="H570" i="41"/>
  <c r="H571" i="41"/>
  <c r="H572" i="41"/>
  <c r="H573" i="41"/>
  <c r="H574" i="41"/>
  <c r="H575" i="41"/>
  <c r="H576" i="41"/>
  <c r="H577" i="41"/>
  <c r="H578" i="41"/>
  <c r="H579" i="41"/>
  <c r="H580" i="41"/>
  <c r="H581" i="41"/>
  <c r="H582" i="41"/>
  <c r="H583" i="41"/>
  <c r="H584" i="41"/>
  <c r="H585" i="41"/>
  <c r="H586" i="41"/>
  <c r="H587" i="41"/>
  <c r="H588" i="41"/>
  <c r="H589" i="41"/>
  <c r="H590" i="41"/>
  <c r="H591" i="41"/>
  <c r="H592" i="41"/>
  <c r="H593" i="41"/>
  <c r="H594" i="41"/>
  <c r="H595" i="41"/>
  <c r="H596" i="41"/>
  <c r="H597" i="41"/>
  <c r="H598" i="41"/>
  <c r="H599" i="41"/>
  <c r="H600" i="41"/>
  <c r="H601" i="41"/>
  <c r="H602" i="41"/>
  <c r="H603" i="41"/>
  <c r="H604" i="41"/>
  <c r="H605" i="41"/>
  <c r="H606" i="41"/>
  <c r="H607" i="41"/>
  <c r="H608" i="41"/>
  <c r="H609" i="41"/>
  <c r="H610" i="41"/>
  <c r="H611" i="41"/>
  <c r="H612" i="41"/>
  <c r="H613" i="41"/>
  <c r="H614" i="41"/>
  <c r="H615" i="41"/>
  <c r="H616" i="41"/>
  <c r="H617" i="41"/>
  <c r="H618" i="41"/>
  <c r="H619" i="41"/>
  <c r="H620" i="41"/>
  <c r="H621" i="41"/>
  <c r="H622" i="41"/>
  <c r="H623" i="41"/>
  <c r="H624" i="41"/>
  <c r="H625" i="41"/>
  <c r="H626" i="41"/>
  <c r="H627" i="41"/>
  <c r="H628" i="41"/>
  <c r="H629" i="41"/>
  <c r="H630" i="41"/>
  <c r="H631" i="41"/>
  <c r="H632" i="41"/>
  <c r="H633" i="41"/>
  <c r="H634" i="41"/>
  <c r="H635" i="41"/>
  <c r="H636" i="41"/>
  <c r="H637" i="41"/>
  <c r="H638" i="41"/>
  <c r="H639" i="41"/>
  <c r="H640" i="41"/>
  <c r="H641" i="41"/>
  <c r="H642" i="41"/>
  <c r="H643" i="41"/>
  <c r="H644" i="41"/>
  <c r="H645" i="41"/>
  <c r="H646" i="41"/>
  <c r="H647" i="41"/>
  <c r="H648" i="41"/>
  <c r="H649" i="41"/>
  <c r="H650" i="41"/>
  <c r="H651" i="41"/>
  <c r="H652" i="41"/>
  <c r="H653" i="41"/>
  <c r="H654" i="41"/>
  <c r="H655" i="41"/>
  <c r="H656" i="41"/>
  <c r="H657" i="41"/>
  <c r="H658" i="41"/>
  <c r="H659" i="41"/>
  <c r="H660" i="41"/>
  <c r="H661" i="41"/>
  <c r="H662" i="41"/>
  <c r="H663" i="41"/>
  <c r="H664" i="41"/>
  <c r="H665" i="41"/>
  <c r="H666" i="41"/>
  <c r="H667" i="41"/>
  <c r="H668" i="41"/>
  <c r="H669" i="41"/>
  <c r="H670" i="41"/>
  <c r="H671" i="41"/>
  <c r="H672" i="41"/>
  <c r="H673" i="41"/>
  <c r="H674" i="41"/>
  <c r="H675" i="41"/>
  <c r="H676" i="41"/>
  <c r="H677" i="41"/>
  <c r="H678" i="41"/>
  <c r="H679" i="41"/>
  <c r="H680" i="41"/>
  <c r="H681" i="41"/>
  <c r="H682" i="41"/>
  <c r="H683" i="41"/>
  <c r="H684" i="41"/>
  <c r="H685" i="41"/>
  <c r="H686" i="41"/>
  <c r="H687" i="41"/>
  <c r="H688" i="41"/>
  <c r="H689" i="41"/>
  <c r="H690" i="41"/>
  <c r="H691" i="41"/>
  <c r="H692" i="41"/>
  <c r="H693" i="41"/>
  <c r="H694" i="41"/>
  <c r="H695" i="41"/>
  <c r="H696" i="41"/>
  <c r="H697" i="41"/>
  <c r="H698" i="41"/>
  <c r="H699" i="41"/>
  <c r="H700" i="41"/>
  <c r="H701" i="41"/>
  <c r="H702" i="41"/>
  <c r="H703" i="41"/>
  <c r="H704" i="41"/>
  <c r="H705" i="41"/>
  <c r="H706" i="41"/>
  <c r="H707" i="41"/>
  <c r="H708" i="41"/>
  <c r="H709" i="41"/>
  <c r="H710" i="41"/>
  <c r="H711" i="41"/>
  <c r="H712" i="41"/>
  <c r="H713" i="41"/>
  <c r="H714" i="41"/>
  <c r="H715" i="41"/>
  <c r="H716" i="41"/>
  <c r="H717" i="41"/>
  <c r="H718" i="41"/>
  <c r="H719" i="41"/>
  <c r="H720" i="41"/>
  <c r="H721" i="41"/>
  <c r="H722" i="41"/>
  <c r="H723" i="41"/>
  <c r="H724" i="41"/>
  <c r="H725" i="41"/>
  <c r="H726" i="41"/>
  <c r="H727" i="41"/>
  <c r="H728" i="41"/>
  <c r="H729" i="41"/>
  <c r="H730" i="41"/>
  <c r="H731" i="41"/>
  <c r="H732" i="41"/>
  <c r="H733" i="41"/>
  <c r="H734" i="41"/>
  <c r="H735" i="41"/>
  <c r="H736" i="41"/>
  <c r="H737" i="41"/>
  <c r="H738" i="41"/>
  <c r="H739" i="41"/>
  <c r="H740" i="41"/>
  <c r="H741" i="41"/>
  <c r="H742" i="41"/>
  <c r="H743" i="41"/>
  <c r="H744" i="41"/>
  <c r="H745" i="41"/>
  <c r="H746" i="41"/>
  <c r="H747" i="41"/>
  <c r="H748" i="41"/>
  <c r="H749" i="41"/>
  <c r="H750" i="41"/>
  <c r="H751" i="41"/>
  <c r="H752" i="41"/>
  <c r="H753" i="41"/>
  <c r="H754" i="41"/>
  <c r="H755" i="41"/>
  <c r="H756" i="41"/>
  <c r="H757" i="41"/>
  <c r="H758" i="41"/>
  <c r="H759" i="41"/>
  <c r="H760" i="41"/>
  <c r="H761" i="41"/>
  <c r="H762" i="41"/>
  <c r="H763" i="41"/>
  <c r="H764" i="41"/>
  <c r="H765" i="41"/>
  <c r="H766" i="41"/>
  <c r="H767" i="41"/>
  <c r="H768" i="41"/>
  <c r="H769" i="41"/>
  <c r="H770" i="41"/>
  <c r="H771" i="41"/>
  <c r="H772" i="41"/>
  <c r="H773" i="41"/>
  <c r="H774" i="41"/>
  <c r="H775" i="41"/>
  <c r="H776" i="41"/>
  <c r="H777" i="41"/>
  <c r="H778" i="41"/>
  <c r="H779" i="41"/>
  <c r="H780" i="41"/>
  <c r="H781" i="41"/>
  <c r="H782" i="41"/>
  <c r="H783" i="41"/>
  <c r="H784" i="41"/>
  <c r="H785" i="41"/>
  <c r="H786" i="41"/>
  <c r="H787" i="41"/>
  <c r="H788" i="41"/>
  <c r="H789" i="41"/>
  <c r="H790" i="41"/>
  <c r="H791" i="41"/>
  <c r="H792" i="41"/>
  <c r="H793" i="41"/>
  <c r="H794" i="41"/>
  <c r="H795" i="41"/>
  <c r="H796" i="41"/>
  <c r="H797" i="41"/>
  <c r="H798" i="41"/>
  <c r="H799" i="41"/>
  <c r="H800" i="41"/>
  <c r="H801" i="41"/>
  <c r="H802" i="41"/>
  <c r="H803" i="41"/>
  <c r="H804" i="41"/>
  <c r="H805" i="41"/>
  <c r="H806" i="41"/>
  <c r="H807" i="41"/>
  <c r="H808" i="41"/>
  <c r="H809" i="41"/>
  <c r="H810" i="41"/>
  <c r="H811" i="41"/>
  <c r="H812" i="41"/>
  <c r="H813" i="41"/>
  <c r="H814" i="41"/>
  <c r="H815" i="41"/>
  <c r="H816" i="41"/>
  <c r="H817" i="41"/>
  <c r="H818" i="41"/>
  <c r="H819" i="41"/>
  <c r="H820" i="41"/>
  <c r="H821" i="41"/>
  <c r="H822" i="41"/>
  <c r="H823" i="41"/>
  <c r="H824" i="41"/>
  <c r="H825" i="41"/>
  <c r="H826" i="41"/>
  <c r="H827" i="41"/>
  <c r="H828" i="41"/>
  <c r="H829" i="41"/>
  <c r="H830" i="41"/>
  <c r="H831" i="41"/>
  <c r="H832" i="41"/>
  <c r="H833" i="41"/>
  <c r="H834" i="41"/>
  <c r="H835" i="41"/>
  <c r="H836" i="41"/>
  <c r="H837" i="41"/>
  <c r="H838" i="41"/>
  <c r="H839" i="41"/>
  <c r="H840" i="41"/>
  <c r="H841" i="41"/>
  <c r="H842" i="41"/>
  <c r="H843" i="41"/>
  <c r="H844" i="41"/>
  <c r="H845" i="41"/>
  <c r="H846" i="41"/>
  <c r="H847" i="41"/>
  <c r="H848" i="41"/>
  <c r="H849" i="41"/>
  <c r="H850" i="41"/>
  <c r="H851" i="41"/>
  <c r="H852" i="41"/>
  <c r="H853" i="41"/>
  <c r="H854" i="41"/>
  <c r="H855" i="41"/>
  <c r="H856" i="41"/>
  <c r="H857" i="41"/>
  <c r="H858" i="41"/>
  <c r="H859" i="41"/>
  <c r="H860" i="41"/>
  <c r="H861" i="41"/>
  <c r="H862" i="41"/>
  <c r="H863" i="41"/>
  <c r="H864" i="41"/>
  <c r="H865" i="41"/>
  <c r="H866" i="41"/>
  <c r="H867" i="41"/>
  <c r="H868" i="41"/>
  <c r="H869" i="41"/>
  <c r="H870" i="41"/>
  <c r="H871" i="41"/>
  <c r="H872" i="41"/>
  <c r="H873" i="41"/>
  <c r="H874" i="41"/>
  <c r="H875" i="41"/>
  <c r="H876" i="41"/>
  <c r="H877" i="41"/>
  <c r="H878" i="41"/>
  <c r="H879" i="41"/>
  <c r="H880" i="41"/>
  <c r="H881" i="41"/>
  <c r="H882" i="41"/>
  <c r="H883" i="41"/>
  <c r="H884" i="41"/>
  <c r="H885" i="41"/>
  <c r="H886" i="41"/>
  <c r="H887" i="41"/>
  <c r="H888" i="41"/>
  <c r="H889" i="41"/>
  <c r="H890" i="41"/>
  <c r="H891" i="41"/>
  <c r="H892" i="41"/>
  <c r="H893" i="41"/>
  <c r="H894" i="41"/>
  <c r="H895" i="41"/>
  <c r="H896" i="41"/>
  <c r="H897" i="41"/>
  <c r="H898" i="41"/>
  <c r="H899" i="41"/>
  <c r="H900" i="41"/>
  <c r="H901" i="41"/>
  <c r="H902" i="41"/>
  <c r="H903" i="41"/>
  <c r="H904" i="41"/>
  <c r="H905" i="41"/>
  <c r="H906" i="41"/>
  <c r="H907" i="41"/>
  <c r="H908" i="41"/>
  <c r="H909" i="41"/>
  <c r="H910" i="41"/>
  <c r="H911" i="41"/>
  <c r="H912" i="41"/>
  <c r="H913" i="41"/>
  <c r="H914" i="41"/>
  <c r="H915" i="41"/>
  <c r="H916" i="41"/>
  <c r="H917" i="41"/>
  <c r="H918" i="41"/>
  <c r="H919" i="41"/>
  <c r="H920" i="41"/>
  <c r="H921" i="41"/>
  <c r="H922" i="41"/>
  <c r="H923" i="41"/>
  <c r="H924" i="41"/>
  <c r="H925" i="41"/>
  <c r="H926" i="41"/>
  <c r="H927" i="41"/>
  <c r="H928" i="41"/>
  <c r="H929" i="41"/>
  <c r="H930" i="41"/>
  <c r="H931" i="41"/>
  <c r="H932" i="41"/>
  <c r="H933" i="41"/>
  <c r="H934" i="41"/>
  <c r="H935" i="41"/>
  <c r="H936" i="41"/>
  <c r="H937" i="41"/>
  <c r="H938" i="41"/>
  <c r="H939" i="41"/>
  <c r="H940" i="41"/>
  <c r="H941" i="41"/>
  <c r="H942" i="41"/>
  <c r="H943" i="41"/>
  <c r="H944" i="41"/>
  <c r="H945" i="41"/>
  <c r="H946" i="41"/>
  <c r="H947" i="41"/>
  <c r="H948" i="41"/>
  <c r="H949" i="41"/>
  <c r="H950" i="41"/>
  <c r="H951" i="41"/>
  <c r="H952" i="41"/>
  <c r="H953" i="41"/>
  <c r="H954" i="41"/>
  <c r="H955" i="41"/>
  <c r="H956" i="41"/>
  <c r="H957" i="41"/>
  <c r="H958" i="41"/>
  <c r="H959" i="41"/>
  <c r="H960" i="41"/>
  <c r="H961" i="41"/>
  <c r="H962" i="41"/>
  <c r="H963" i="41"/>
  <c r="H964" i="41"/>
  <c r="H965" i="41"/>
  <c r="H966" i="41"/>
  <c r="H967" i="41"/>
  <c r="H968" i="41"/>
  <c r="H969" i="41"/>
  <c r="H970" i="41"/>
  <c r="H971" i="41"/>
  <c r="H972" i="41"/>
  <c r="H973" i="41"/>
  <c r="H974" i="41"/>
  <c r="H975" i="41"/>
  <c r="H976" i="41"/>
  <c r="H977" i="41"/>
  <c r="H978" i="41"/>
  <c r="H979" i="41"/>
  <c r="H980" i="41"/>
  <c r="H981" i="41"/>
  <c r="H982" i="41"/>
  <c r="H983" i="41"/>
  <c r="H984" i="41"/>
  <c r="H985" i="41"/>
  <c r="H986" i="41"/>
  <c r="H987" i="41"/>
  <c r="H988" i="41"/>
  <c r="H989" i="41"/>
  <c r="H990" i="41"/>
  <c r="H991" i="41"/>
  <c r="H992" i="41"/>
  <c r="H993" i="41"/>
  <c r="H994" i="41"/>
  <c r="H995" i="41"/>
  <c r="H996" i="41"/>
  <c r="H997" i="41"/>
  <c r="H998" i="41"/>
  <c r="H999" i="41"/>
  <c r="H1000" i="41"/>
  <c r="H1001" i="41"/>
  <c r="H1002" i="41"/>
  <c r="H1003" i="41"/>
  <c r="H1004" i="41"/>
  <c r="H1005" i="41"/>
  <c r="H1006" i="41"/>
  <c r="H1007" i="41"/>
  <c r="H1008" i="41"/>
  <c r="H1009" i="41"/>
  <c r="H1010" i="41"/>
  <c r="H1011" i="41"/>
  <c r="H1012" i="41"/>
  <c r="H1013" i="41"/>
  <c r="H1014" i="41"/>
  <c r="H1015" i="41"/>
  <c r="H1016" i="41"/>
  <c r="H1017" i="41"/>
  <c r="H1018" i="41"/>
  <c r="H1019" i="41"/>
  <c r="H1020" i="41"/>
  <c r="H1021" i="41"/>
  <c r="H1022" i="41"/>
  <c r="H1023" i="41"/>
  <c r="H1024" i="41"/>
  <c r="H1025" i="41"/>
  <c r="H1026" i="41"/>
  <c r="H1027" i="41"/>
  <c r="H1028" i="41"/>
  <c r="H1029" i="41"/>
  <c r="H1030" i="41"/>
  <c r="H1031" i="41"/>
  <c r="H1032" i="41"/>
  <c r="H1033" i="41"/>
  <c r="H1034" i="41"/>
  <c r="H1035" i="41"/>
  <c r="H1036" i="41"/>
  <c r="H1037" i="41"/>
  <c r="H1038" i="41"/>
  <c r="H1039" i="41"/>
  <c r="H1040" i="41"/>
  <c r="H1041" i="41"/>
  <c r="H1042" i="41"/>
  <c r="H1043" i="41"/>
  <c r="H1044" i="41"/>
  <c r="H1045" i="41"/>
  <c r="H1046" i="41"/>
  <c r="H1047" i="41"/>
  <c r="H1048" i="41"/>
  <c r="H1049" i="41"/>
  <c r="H1050" i="41"/>
  <c r="H1051" i="41"/>
  <c r="H1052" i="41"/>
  <c r="H1053" i="41"/>
  <c r="H1054" i="41"/>
  <c r="H1055" i="41"/>
  <c r="H1056" i="41"/>
  <c r="H1057" i="41"/>
  <c r="H1058" i="41"/>
  <c r="H1059" i="41"/>
  <c r="H1060" i="41"/>
  <c r="H1061" i="41"/>
  <c r="H1062" i="41"/>
  <c r="H1063" i="41"/>
  <c r="H1064" i="41"/>
  <c r="H1065" i="41"/>
  <c r="H1066" i="41"/>
  <c r="H1067" i="41"/>
  <c r="H1068" i="41"/>
  <c r="H1069" i="41"/>
  <c r="H1070" i="41"/>
  <c r="H1071" i="41"/>
  <c r="H1072" i="41"/>
  <c r="H1073" i="41"/>
  <c r="H1074" i="41"/>
  <c r="H1075" i="41"/>
  <c r="H1076" i="41"/>
  <c r="H1077" i="41"/>
  <c r="H1078" i="41"/>
  <c r="H1079" i="41"/>
  <c r="H1080" i="41"/>
  <c r="H1081" i="41"/>
  <c r="H1082" i="41"/>
  <c r="H1083" i="41"/>
  <c r="H1084" i="41"/>
  <c r="H1085" i="41"/>
  <c r="H1086" i="41"/>
  <c r="H1087" i="41"/>
  <c r="H1088" i="41"/>
  <c r="H1089" i="41"/>
  <c r="H1090" i="41"/>
  <c r="H1091" i="41"/>
  <c r="H1092" i="41"/>
  <c r="H1093" i="41"/>
  <c r="H1094" i="41"/>
  <c r="H1095" i="41"/>
  <c r="H1096" i="41"/>
  <c r="H1097" i="41"/>
  <c r="H1098" i="41"/>
  <c r="H1099" i="41"/>
  <c r="H1100" i="41"/>
  <c r="H1101" i="41"/>
  <c r="H1102" i="41"/>
  <c r="H1103" i="41"/>
  <c r="H1104" i="41"/>
  <c r="H1105" i="41"/>
  <c r="H1106" i="41"/>
  <c r="H1107" i="41"/>
  <c r="H1108" i="41"/>
  <c r="H1109" i="41"/>
  <c r="H1110" i="41"/>
  <c r="H1111" i="41"/>
  <c r="H1112" i="41"/>
  <c r="H1113" i="41"/>
  <c r="H1114" i="41"/>
  <c r="H1115" i="41"/>
  <c r="H1116" i="41"/>
  <c r="H1117" i="41"/>
  <c r="H1118" i="41"/>
  <c r="H1119" i="41"/>
  <c r="H1120" i="41"/>
  <c r="H1121" i="41"/>
  <c r="H1122" i="41"/>
  <c r="H1123" i="41"/>
  <c r="H1124" i="41"/>
  <c r="H1125" i="41"/>
  <c r="H1126" i="41"/>
  <c r="H1127" i="41"/>
  <c r="H1128" i="41"/>
  <c r="H1129" i="41"/>
  <c r="H1130" i="41"/>
  <c r="H1131" i="41"/>
  <c r="H1132" i="41"/>
  <c r="H1133" i="41"/>
  <c r="H1134" i="41"/>
  <c r="H1135" i="41"/>
  <c r="H1136" i="41"/>
  <c r="H1137" i="41"/>
  <c r="H1138" i="41"/>
  <c r="H1139" i="41"/>
  <c r="H1140" i="41"/>
  <c r="H1141" i="41"/>
  <c r="H1142" i="41"/>
  <c r="H1143" i="41"/>
  <c r="H1144" i="41"/>
  <c r="H1145" i="41"/>
  <c r="H1146" i="41"/>
  <c r="H1147" i="41"/>
  <c r="H1148" i="41"/>
  <c r="H1149" i="41"/>
  <c r="H1150" i="41"/>
  <c r="H1151" i="41"/>
  <c r="H1152" i="41"/>
  <c r="H1153" i="41"/>
  <c r="H1154" i="41"/>
  <c r="H1155" i="41"/>
  <c r="H1156" i="41"/>
  <c r="H1157" i="41"/>
  <c r="H1158" i="41"/>
  <c r="H1159" i="41"/>
  <c r="H1160" i="41"/>
  <c r="H1161" i="41"/>
  <c r="H1162" i="41"/>
  <c r="H1163" i="41"/>
  <c r="H1164" i="41"/>
  <c r="H1165" i="41"/>
  <c r="H1166" i="41"/>
  <c r="H1167" i="41"/>
  <c r="H1168" i="41"/>
  <c r="H1169" i="41"/>
  <c r="H1170" i="41"/>
  <c r="H1171" i="41"/>
  <c r="H1172" i="41"/>
  <c r="H1173" i="41"/>
  <c r="H1174" i="41"/>
  <c r="H1175" i="41"/>
  <c r="H1176" i="41"/>
  <c r="H1177" i="41"/>
  <c r="H1178" i="41"/>
  <c r="H1179" i="41"/>
  <c r="H1180" i="41"/>
  <c r="H1181" i="41"/>
  <c r="H1182" i="41"/>
  <c r="H1183" i="41"/>
  <c r="H1184" i="41"/>
  <c r="H1185" i="41"/>
  <c r="H1186" i="41"/>
  <c r="H1187" i="41"/>
  <c r="H1188" i="41"/>
  <c r="H1189" i="41"/>
  <c r="H1190" i="41"/>
  <c r="H1191" i="41"/>
  <c r="H1192" i="41"/>
  <c r="H1193" i="41"/>
  <c r="H1194" i="41"/>
  <c r="H1195" i="41"/>
  <c r="H1196" i="41"/>
  <c r="H1197" i="41"/>
  <c r="H1198" i="41"/>
  <c r="H1199" i="41"/>
  <c r="H1200" i="41"/>
  <c r="H1201" i="41"/>
  <c r="H1202" i="41"/>
  <c r="H1203" i="41"/>
  <c r="H1204" i="41"/>
  <c r="H1205" i="41"/>
  <c r="H1206" i="41"/>
  <c r="H1207" i="41"/>
  <c r="H1208" i="41"/>
  <c r="H1209" i="41"/>
  <c r="H1210" i="41"/>
  <c r="H1211" i="41"/>
  <c r="H1212" i="41"/>
  <c r="H1213" i="41"/>
  <c r="H1214" i="41"/>
  <c r="H1215" i="41"/>
  <c r="H1216" i="41"/>
  <c r="H1217" i="41"/>
  <c r="H1218" i="41"/>
  <c r="H1219" i="41"/>
  <c r="H1220" i="41"/>
  <c r="H1221" i="41"/>
  <c r="H1222" i="41"/>
  <c r="H1223" i="41"/>
  <c r="H1224" i="41"/>
  <c r="H1225" i="41"/>
  <c r="H1226" i="41"/>
  <c r="H1227" i="41"/>
  <c r="H1228" i="41"/>
  <c r="H1229" i="41"/>
  <c r="H1230" i="41"/>
  <c r="H1231" i="41"/>
  <c r="H1232" i="41"/>
  <c r="H1233" i="41"/>
  <c r="H1234" i="41"/>
  <c r="H1235" i="41"/>
  <c r="H1236" i="41"/>
  <c r="H1237" i="41"/>
  <c r="H1238" i="41"/>
  <c r="H1239" i="41"/>
  <c r="H1240" i="41"/>
  <c r="H1241" i="41"/>
  <c r="H1242" i="41"/>
  <c r="H1243" i="41"/>
  <c r="H1244" i="41"/>
  <c r="H1245" i="41"/>
  <c r="H1246" i="41"/>
  <c r="H1247" i="41"/>
  <c r="H1248" i="41"/>
  <c r="H1249" i="41"/>
  <c r="H1250" i="41"/>
  <c r="H1251" i="41"/>
  <c r="H1252" i="41"/>
  <c r="H1253" i="41"/>
  <c r="H1254" i="41"/>
  <c r="H1255" i="41"/>
  <c r="H1256" i="41"/>
  <c r="H1257" i="41"/>
  <c r="H1258" i="41"/>
  <c r="H1259" i="41"/>
  <c r="H1260" i="41"/>
  <c r="H1261" i="41"/>
  <c r="H1262" i="41"/>
  <c r="H1263" i="41"/>
  <c r="H1264" i="41"/>
  <c r="H1265" i="41"/>
  <c r="H1266" i="41"/>
  <c r="H1267" i="41"/>
  <c r="H1268" i="41"/>
  <c r="H1269" i="41"/>
  <c r="H1270" i="41"/>
  <c r="H1271" i="41"/>
  <c r="H1272" i="41"/>
  <c r="H1273" i="41"/>
  <c r="H1274" i="41"/>
  <c r="H1275" i="41"/>
  <c r="H1276" i="41"/>
  <c r="H1277" i="41"/>
  <c r="H1278" i="41"/>
  <c r="H1279" i="41"/>
  <c r="H1280" i="41"/>
  <c r="H1281" i="41"/>
  <c r="H1282" i="41"/>
  <c r="H1283" i="41"/>
  <c r="H1284" i="41"/>
  <c r="H1285" i="41"/>
  <c r="H1286" i="41"/>
  <c r="H1287" i="41"/>
  <c r="H1288" i="41"/>
  <c r="H1289" i="41"/>
  <c r="H1290" i="41"/>
  <c r="H1291" i="41"/>
  <c r="H1292" i="41"/>
  <c r="H1293" i="41"/>
  <c r="H1294" i="41"/>
  <c r="H1295" i="41"/>
  <c r="H1296" i="41"/>
  <c r="H1297" i="41"/>
  <c r="H1298" i="41"/>
  <c r="H1299" i="41"/>
  <c r="H1300" i="41"/>
  <c r="H1301" i="41"/>
  <c r="H1302" i="41"/>
  <c r="H1303" i="41"/>
  <c r="H1304" i="41"/>
  <c r="H1305" i="41"/>
  <c r="H1306" i="41"/>
  <c r="H1307" i="41"/>
  <c r="H1308" i="41"/>
  <c r="H1309" i="41"/>
  <c r="H1310" i="41"/>
  <c r="H1311" i="41"/>
  <c r="H1312" i="41"/>
  <c r="H1313" i="41"/>
  <c r="H1314" i="41"/>
  <c r="H1315" i="41"/>
  <c r="H1316" i="41"/>
  <c r="H1317" i="41"/>
  <c r="H1318" i="41"/>
  <c r="H1319" i="41"/>
  <c r="H1320" i="41"/>
  <c r="H1321" i="41"/>
  <c r="H1322" i="41"/>
  <c r="H1323" i="41"/>
  <c r="H1324" i="41"/>
  <c r="H1325" i="41"/>
  <c r="H1326" i="41"/>
  <c r="H1327" i="41"/>
  <c r="H1328" i="41"/>
  <c r="H1329" i="41"/>
  <c r="H1330" i="41"/>
  <c r="H1331" i="41"/>
  <c r="H1332" i="41"/>
  <c r="H1333" i="41"/>
  <c r="H1334" i="41"/>
  <c r="H1335" i="41"/>
  <c r="H1336" i="41"/>
  <c r="H1337" i="41"/>
  <c r="H1338" i="41"/>
  <c r="H1339" i="41"/>
  <c r="H1340" i="41"/>
  <c r="H1341" i="41"/>
  <c r="H1342" i="41"/>
  <c r="H1343" i="41"/>
  <c r="H1344" i="41"/>
  <c r="H1345" i="41"/>
  <c r="H1346" i="41"/>
  <c r="H1347" i="41"/>
  <c r="H1348" i="41"/>
  <c r="H1349" i="41"/>
  <c r="H1350" i="41"/>
  <c r="H1351" i="41"/>
  <c r="H1352" i="41"/>
  <c r="H1353" i="41"/>
  <c r="H1354" i="41"/>
  <c r="H1355" i="41"/>
  <c r="H1356" i="41"/>
  <c r="H1357" i="41"/>
  <c r="H1358" i="41"/>
  <c r="H1359" i="41"/>
  <c r="H1360" i="41"/>
  <c r="H1361" i="41"/>
  <c r="H1362" i="41"/>
  <c r="H1363" i="41"/>
  <c r="H1364" i="41"/>
  <c r="H1365" i="41"/>
  <c r="H1366" i="41"/>
  <c r="H1367" i="41"/>
  <c r="H1368" i="41"/>
  <c r="H1369" i="41"/>
  <c r="H1370" i="41"/>
  <c r="H1371" i="41"/>
  <c r="H1372" i="41"/>
  <c r="H1373" i="41"/>
  <c r="H1374" i="41"/>
  <c r="H1375" i="41"/>
  <c r="H1376" i="41"/>
  <c r="H1377" i="41"/>
  <c r="H1378" i="41"/>
  <c r="H1379" i="41"/>
  <c r="H1380" i="41"/>
  <c r="H1381" i="41"/>
  <c r="H1382" i="41"/>
  <c r="H1383" i="41"/>
  <c r="H1384" i="41"/>
  <c r="H1385" i="41"/>
  <c r="H1386" i="41"/>
  <c r="H1387" i="41"/>
  <c r="H1388" i="41"/>
  <c r="H1389" i="41"/>
  <c r="H1390" i="41"/>
  <c r="H1391" i="41"/>
  <c r="H1392" i="41"/>
  <c r="H1393" i="41"/>
  <c r="H1394" i="41"/>
  <c r="H1395" i="41"/>
  <c r="H1396" i="41"/>
  <c r="H1397" i="41"/>
  <c r="H1398" i="41"/>
  <c r="H1399" i="41"/>
  <c r="H1400" i="41"/>
  <c r="H1401" i="41"/>
  <c r="H1402" i="41"/>
  <c r="H1403" i="41"/>
  <c r="H1404" i="41"/>
  <c r="H1405" i="41"/>
  <c r="H1406" i="41"/>
  <c r="H1407" i="41"/>
  <c r="H1408" i="41"/>
  <c r="H1409" i="41"/>
  <c r="H1410" i="41"/>
  <c r="H1411" i="41"/>
  <c r="H1412" i="41"/>
  <c r="H1413" i="41"/>
  <c r="H1414" i="41"/>
  <c r="H1415" i="41"/>
  <c r="H1416" i="41"/>
  <c r="H1417" i="41"/>
  <c r="H1418" i="41"/>
  <c r="H1419" i="41"/>
  <c r="H1420" i="41"/>
  <c r="H1421" i="41"/>
  <c r="H1422" i="41"/>
  <c r="H1423" i="41"/>
  <c r="H1424" i="41"/>
  <c r="H1425" i="41"/>
  <c r="H1426" i="41"/>
  <c r="H1427" i="41"/>
  <c r="H1428" i="41"/>
  <c r="H1429" i="41"/>
  <c r="H1430" i="41"/>
  <c r="H1431" i="41"/>
  <c r="H1432" i="41"/>
  <c r="H1433" i="41"/>
  <c r="H1434" i="41"/>
  <c r="H1435" i="41"/>
  <c r="H1436" i="41"/>
  <c r="H1437" i="41"/>
  <c r="H1438" i="41"/>
  <c r="H1439" i="41"/>
  <c r="H1440" i="41"/>
  <c r="H1441" i="41"/>
  <c r="H1442" i="41"/>
  <c r="H1443" i="41"/>
  <c r="H1444" i="41"/>
  <c r="H1445" i="41"/>
  <c r="H1446" i="41"/>
  <c r="H1447" i="41"/>
  <c r="H1448" i="41"/>
  <c r="H1449" i="41"/>
  <c r="H1450" i="41"/>
  <c r="H1451" i="41"/>
  <c r="H1452" i="41"/>
  <c r="H1453" i="41"/>
  <c r="H1454" i="41"/>
  <c r="H1455" i="41"/>
  <c r="H1456" i="41"/>
  <c r="H1457" i="41"/>
  <c r="H1458" i="41"/>
  <c r="H1459" i="41"/>
  <c r="H1460" i="41"/>
  <c r="H1461" i="41"/>
  <c r="H1462" i="41"/>
  <c r="H1463" i="41"/>
  <c r="H1464" i="41"/>
  <c r="H1465" i="41"/>
  <c r="H1466" i="41"/>
  <c r="H1467" i="41"/>
  <c r="H1468" i="41"/>
  <c r="H1469" i="41"/>
  <c r="H1470" i="41"/>
  <c r="H1471" i="41"/>
  <c r="H1472" i="41"/>
  <c r="H1473" i="41"/>
  <c r="H1474" i="41"/>
  <c r="H1475" i="41"/>
  <c r="H1476" i="41"/>
  <c r="H1477" i="41"/>
  <c r="H1478" i="41"/>
  <c r="H1479" i="41"/>
  <c r="H1480" i="41"/>
  <c r="H1481" i="41"/>
  <c r="H1482" i="41"/>
  <c r="H1483" i="41"/>
  <c r="H1484" i="41"/>
  <c r="H1485" i="41"/>
  <c r="H1486" i="41"/>
  <c r="H1487" i="41"/>
  <c r="H1488" i="41"/>
  <c r="H1489" i="41"/>
  <c r="H1490" i="41"/>
  <c r="H1491" i="41"/>
  <c r="H1492" i="41"/>
  <c r="H1493" i="41"/>
  <c r="H1494" i="41"/>
  <c r="H1495" i="41"/>
  <c r="H1496" i="41"/>
  <c r="H1497" i="41"/>
  <c r="H1498" i="41"/>
  <c r="H1499" i="41"/>
  <c r="H1500" i="41"/>
  <c r="H1501" i="41"/>
  <c r="H1502" i="41"/>
  <c r="H1503" i="41"/>
  <c r="H1504" i="41"/>
  <c r="H1505" i="41"/>
  <c r="H1506" i="41"/>
  <c r="H1507" i="41"/>
  <c r="H1508" i="41"/>
  <c r="H1509" i="41"/>
  <c r="H1510" i="41"/>
  <c r="H1511" i="41"/>
  <c r="H1512" i="41"/>
  <c r="H1513" i="41"/>
  <c r="H1514" i="41"/>
  <c r="AG34" i="40"/>
  <c r="AG33" i="40"/>
  <c r="J24" i="47"/>
  <c r="I24" i="47"/>
  <c r="AN38" i="40"/>
  <c r="AG29" i="40" l="1"/>
  <c r="E5" i="54"/>
  <c r="F5" i="5"/>
  <c r="F5" i="3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Z23" i="8" l="1"/>
  <c r="AF29" i="40"/>
  <c r="AF34" i="40"/>
  <c r="AF33" i="40"/>
  <c r="Z22" i="8"/>
  <c r="E22" i="8"/>
  <c r="AE29" i="40" l="1"/>
  <c r="AE34" i="40"/>
  <c r="AE33" i="40"/>
  <c r="S22" i="29"/>
  <c r="S23" i="29"/>
  <c r="S21" i="29"/>
  <c r="Z21" i="8"/>
  <c r="E21" i="8"/>
  <c r="Z22" i="5"/>
  <c r="Z23" i="5"/>
  <c r="Z21" i="5"/>
  <c r="E22" i="5"/>
  <c r="E23" i="5" s="1"/>
  <c r="E21" i="5"/>
  <c r="J23" i="33" l="1"/>
  <c r="J24" i="33" s="1"/>
  <c r="K23" i="33"/>
  <c r="I24" i="33"/>
  <c r="I23" i="33"/>
  <c r="AD29" i="40"/>
  <c r="T21" i="50"/>
  <c r="T22" i="50"/>
  <c r="T23" i="50"/>
  <c r="E21" i="50"/>
  <c r="E22" i="50" s="1"/>
  <c r="E23" i="50" s="1"/>
  <c r="T21" i="3"/>
  <c r="T22" i="3"/>
  <c r="T23" i="3"/>
  <c r="E21" i="3"/>
  <c r="E22" i="3" s="1"/>
  <c r="E23" i="3" s="1"/>
  <c r="S20" i="29" l="1"/>
  <c r="T20" i="50"/>
  <c r="E20" i="50"/>
  <c r="Z20" i="8"/>
  <c r="E20" i="8"/>
  <c r="Z20" i="5"/>
  <c r="E20" i="5"/>
  <c r="E20" i="3"/>
  <c r="T20" i="3"/>
  <c r="AD34" i="40"/>
  <c r="AD33" i="40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9" i="29"/>
  <c r="E5" i="29"/>
  <c r="X10" i="8"/>
  <c r="X11" i="8"/>
  <c r="X12" i="8"/>
  <c r="X18" i="8"/>
  <c r="X19" i="8"/>
  <c r="X20" i="8"/>
  <c r="D5" i="8"/>
  <c r="X14" i="8" s="1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9" i="5"/>
  <c r="E5" i="5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9" i="2"/>
  <c r="E5" i="2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9" i="3"/>
  <c r="E5" i="3"/>
  <c r="E5" i="50"/>
  <c r="R17" i="50" s="1"/>
  <c r="P10" i="50"/>
  <c r="P11" i="50"/>
  <c r="P12" i="50"/>
  <c r="P13" i="50"/>
  <c r="P14" i="50"/>
  <c r="P15" i="50"/>
  <c r="P16" i="50"/>
  <c r="P17" i="50"/>
  <c r="P18" i="50"/>
  <c r="P19" i="50"/>
  <c r="P20" i="50"/>
  <c r="P21" i="50"/>
  <c r="P22" i="50"/>
  <c r="P23" i="50"/>
  <c r="P9" i="50"/>
  <c r="T9" i="50"/>
  <c r="T10" i="50"/>
  <c r="T11" i="50"/>
  <c r="T12" i="50"/>
  <c r="T13" i="50"/>
  <c r="T14" i="50"/>
  <c r="T15" i="50"/>
  <c r="T16" i="50"/>
  <c r="T17" i="50"/>
  <c r="T18" i="50"/>
  <c r="T19" i="50"/>
  <c r="B10" i="50"/>
  <c r="B11" i="50"/>
  <c r="B12" i="50"/>
  <c r="B13" i="50"/>
  <c r="B14" i="50"/>
  <c r="B15" i="50"/>
  <c r="B16" i="50"/>
  <c r="B17" i="50"/>
  <c r="B18" i="50"/>
  <c r="B19" i="50"/>
  <c r="B20" i="50"/>
  <c r="B21" i="50"/>
  <c r="B22" i="50"/>
  <c r="B23" i="50"/>
  <c r="B9" i="50"/>
  <c r="X17" i="8" l="1"/>
  <c r="X9" i="8"/>
  <c r="X23" i="8"/>
  <c r="X15" i="8"/>
  <c r="X22" i="8"/>
  <c r="X21" i="8"/>
  <c r="X13" i="8"/>
  <c r="R9" i="50"/>
  <c r="R16" i="50"/>
  <c r="R23" i="50"/>
  <c r="R15" i="50"/>
  <c r="R22" i="50"/>
  <c r="R21" i="50"/>
  <c r="R13" i="50"/>
  <c r="R14" i="50"/>
  <c r="R20" i="50"/>
  <c r="R12" i="50"/>
  <c r="R11" i="50"/>
  <c r="R19" i="50"/>
  <c r="R18" i="50"/>
  <c r="R10" i="50"/>
  <c r="E5" i="26"/>
  <c r="AC34" i="40"/>
  <c r="AC33" i="40"/>
  <c r="AC29" i="40"/>
  <c r="S19" i="29"/>
  <c r="Z19" i="8" l="1"/>
  <c r="Z19" i="5" l="1"/>
  <c r="T19" i="3"/>
  <c r="E24" i="47"/>
  <c r="D24" i="47" s="1"/>
  <c r="AB34" i="40"/>
  <c r="AB33" i="40"/>
  <c r="AB29" i="40"/>
  <c r="E18" i="28"/>
  <c r="E19" i="28" s="1"/>
  <c r="E20" i="28" s="1"/>
  <c r="E21" i="28" s="1"/>
  <c r="E22" i="28" s="1"/>
  <c r="E23" i="28" s="1"/>
  <c r="S18" i="29"/>
  <c r="Z18" i="5"/>
  <c r="Z18" i="8"/>
  <c r="E18" i="8"/>
  <c r="E18" i="5"/>
  <c r="T18" i="3"/>
  <c r="AA34" i="40"/>
  <c r="AA33" i="40"/>
  <c r="AA29" i="40"/>
  <c r="E17" i="28"/>
  <c r="S17" i="29"/>
  <c r="Z17" i="8"/>
  <c r="Z17" i="5"/>
  <c r="T17" i="3"/>
  <c r="E17" i="3"/>
  <c r="C8" i="24" l="1"/>
  <c r="Z34" i="40" l="1"/>
  <c r="Z33" i="40"/>
  <c r="Z29" i="40"/>
  <c r="E16" i="28" l="1"/>
  <c r="E16" i="18"/>
  <c r="S16" i="29"/>
  <c r="Z16" i="8"/>
  <c r="E16" i="8"/>
  <c r="Z16" i="5" l="1"/>
  <c r="E16" i="3"/>
  <c r="T16" i="3"/>
  <c r="Y34" i="40" l="1"/>
  <c r="Y33" i="40"/>
  <c r="Y29" i="40"/>
  <c r="E15" i="28"/>
  <c r="S15" i="29"/>
  <c r="Z15" i="5" l="1"/>
  <c r="E15" i="5"/>
  <c r="Z15" i="8" l="1"/>
  <c r="E15" i="8"/>
  <c r="J14" i="8" l="1"/>
  <c r="K14" i="8" s="1"/>
  <c r="X29" i="40"/>
  <c r="S14" i="29" l="1"/>
  <c r="Z14" i="8"/>
  <c r="Z14" i="5"/>
  <c r="T14" i="3"/>
  <c r="E14" i="3"/>
  <c r="X34" i="40"/>
  <c r="X33" i="40"/>
  <c r="E14" i="28"/>
  <c r="W29" i="40"/>
  <c r="S13" i="29" l="1"/>
  <c r="Z13" i="8"/>
  <c r="Z13" i="5"/>
  <c r="T13" i="3"/>
  <c r="E13" i="28"/>
  <c r="V29" i="40" l="1"/>
  <c r="V34" i="40"/>
  <c r="E12" i="28"/>
  <c r="S12" i="29"/>
  <c r="T12" i="3" l="1"/>
  <c r="Z12" i="8"/>
  <c r="Z12" i="5"/>
  <c r="U34" i="40"/>
  <c r="U29" i="40"/>
  <c r="T29" i="40"/>
  <c r="Z11" i="5"/>
  <c r="S11" i="29"/>
  <c r="Z11" i="8"/>
  <c r="T11" i="3"/>
  <c r="S29" i="40" l="1"/>
  <c r="T13" i="2" l="1"/>
  <c r="T14" i="2"/>
  <c r="T15" i="2"/>
  <c r="T16" i="2"/>
  <c r="T17" i="2"/>
  <c r="T18" i="2"/>
  <c r="T19" i="2"/>
  <c r="T20" i="2"/>
  <c r="T21" i="2"/>
  <c r="T22" i="2"/>
  <c r="T23" i="2"/>
  <c r="T10" i="2"/>
  <c r="T11" i="2"/>
  <c r="T12" i="2"/>
  <c r="K35" i="40" l="1"/>
  <c r="K36" i="40"/>
  <c r="K37" i="40"/>
  <c r="K38" i="40"/>
  <c r="K39" i="40"/>
  <c r="K40" i="40"/>
  <c r="K41" i="40"/>
  <c r="K42" i="40"/>
  <c r="K43" i="40"/>
  <c r="K44" i="40"/>
  <c r="K45" i="40"/>
  <c r="K46" i="40"/>
  <c r="K47" i="40"/>
  <c r="K34" i="40"/>
  <c r="K33" i="40"/>
  <c r="J47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S10" i="29" l="1"/>
  <c r="Z10" i="8"/>
  <c r="Z10" i="5"/>
  <c r="T10" i="3"/>
  <c r="E5" i="9" l="1"/>
  <c r="E257" i="39" l="1"/>
  <c r="E258" i="39"/>
  <c r="E259" i="39"/>
  <c r="E260" i="39"/>
  <c r="E261" i="39"/>
  <c r="E262" i="39"/>
  <c r="E263" i="39"/>
  <c r="E264" i="39"/>
  <c r="E265" i="39"/>
  <c r="E266" i="39"/>
  <c r="E267" i="39"/>
  <c r="E268" i="39"/>
  <c r="E269" i="39"/>
  <c r="E270" i="39"/>
  <c r="E271" i="39"/>
  <c r="E272" i="39"/>
  <c r="E273" i="39"/>
  <c r="E274" i="39"/>
  <c r="E275" i="39"/>
  <c r="E276" i="39"/>
  <c r="E277" i="39"/>
  <c r="E278" i="39"/>
  <c r="E279" i="39"/>
  <c r="E280" i="39"/>
  <c r="E281" i="39"/>
  <c r="E282" i="39"/>
  <c r="E283" i="39"/>
  <c r="E284" i="39"/>
  <c r="E285" i="39"/>
  <c r="E286" i="39"/>
  <c r="E287" i="39"/>
  <c r="E288" i="39"/>
  <c r="E289" i="39"/>
  <c r="E290" i="39"/>
  <c r="E291" i="39"/>
  <c r="E292" i="39"/>
  <c r="E293" i="39"/>
  <c r="E294" i="39"/>
  <c r="E295" i="39"/>
  <c r="E252" i="39"/>
  <c r="E253" i="39"/>
  <c r="E254" i="39"/>
  <c r="E255" i="39"/>
  <c r="E256" i="39"/>
  <c r="E239" i="39"/>
  <c r="E209" i="39"/>
  <c r="F239" i="39" l="1"/>
  <c r="G239" i="39" s="1"/>
  <c r="C34" i="35" l="1"/>
  <c r="D13" i="27" l="1"/>
  <c r="D12" i="27"/>
  <c r="D12" i="19"/>
  <c r="D13" i="19" s="1"/>
  <c r="O23" i="29" l="1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9" i="3"/>
  <c r="S34" i="40" l="1"/>
  <c r="I11" i="33" l="1"/>
  <c r="I12" i="33"/>
  <c r="I13" i="33"/>
  <c r="I14" i="33"/>
  <c r="I15" i="33"/>
  <c r="I16" i="33"/>
  <c r="I17" i="33"/>
  <c r="I18" i="33"/>
  <c r="I19" i="33"/>
  <c r="I20" i="33"/>
  <c r="I21" i="33"/>
  <c r="I22" i="33"/>
  <c r="I10" i="33"/>
  <c r="F13" i="18" l="1"/>
  <c r="E13" i="18" s="1"/>
  <c r="F14" i="18"/>
  <c r="E14" i="18" s="1"/>
  <c r="F15" i="18"/>
  <c r="E15" i="18" s="1"/>
  <c r="F16" i="18"/>
  <c r="F17" i="18"/>
  <c r="E17" i="18" s="1"/>
  <c r="U32" i="50" l="1"/>
  <c r="V39" i="40" l="1"/>
  <c r="Y39" i="40"/>
  <c r="AC39" i="40"/>
  <c r="W39" i="40"/>
  <c r="X39" i="40"/>
  <c r="AD39" i="40"/>
  <c r="AG39" i="40"/>
  <c r="Z39" i="40"/>
  <c r="AA39" i="40"/>
  <c r="AF39" i="40"/>
  <c r="AE39" i="40"/>
  <c r="AB39" i="40"/>
  <c r="E51" i="40" l="1"/>
  <c r="E52" i="40"/>
  <c r="I27" i="49"/>
  <c r="J27" i="49" s="1"/>
  <c r="I28" i="49"/>
  <c r="J28" i="49" s="1"/>
  <c r="A27" i="9"/>
  <c r="E27" i="9"/>
  <c r="I27" i="9"/>
  <c r="J27" i="9" s="1"/>
  <c r="A28" i="9"/>
  <c r="E28" i="9"/>
  <c r="I28" i="9"/>
  <c r="J28" i="9" s="1"/>
  <c r="A27" i="53"/>
  <c r="B27" i="53"/>
  <c r="F27" i="53"/>
  <c r="J27" i="53"/>
  <c r="K27" i="53" s="1"/>
  <c r="A28" i="53"/>
  <c r="B28" i="53"/>
  <c r="F28" i="53"/>
  <c r="J28" i="53"/>
  <c r="K28" i="53" s="1"/>
  <c r="D52" i="40" l="1"/>
  <c r="D51" i="40"/>
  <c r="E32" i="27" l="1"/>
  <c r="A18" i="28" l="1"/>
  <c r="A19" i="28"/>
  <c r="A20" i="28"/>
  <c r="A21" i="28"/>
  <c r="A22" i="28"/>
  <c r="A23" i="28"/>
  <c r="B34" i="35" l="1"/>
  <c r="E14" i="51" l="1"/>
  <c r="C34" i="38"/>
  <c r="C7" i="19"/>
  <c r="C7" i="27"/>
  <c r="E7" i="28"/>
  <c r="B34" i="38" l="1"/>
  <c r="G31" i="18"/>
  <c r="H31" i="18"/>
  <c r="C6" i="58"/>
  <c r="B9" i="58" s="1"/>
  <c r="C7" i="58"/>
  <c r="C31" i="58" s="1"/>
  <c r="A9" i="58"/>
  <c r="C9" i="58"/>
  <c r="E9" i="58"/>
  <c r="D9" i="58" s="1"/>
  <c r="K9" i="58"/>
  <c r="A10" i="58"/>
  <c r="E10" i="58"/>
  <c r="K10" i="58"/>
  <c r="A11" i="58"/>
  <c r="E11" i="58"/>
  <c r="K11" i="58"/>
  <c r="A12" i="58"/>
  <c r="E12" i="58"/>
  <c r="K12" i="58"/>
  <c r="A13" i="58"/>
  <c r="E13" i="58"/>
  <c r="K13" i="58"/>
  <c r="A14" i="58"/>
  <c r="E14" i="58"/>
  <c r="K14" i="58"/>
  <c r="A15" i="58"/>
  <c r="E15" i="58"/>
  <c r="K15" i="58"/>
  <c r="A16" i="58"/>
  <c r="E16" i="58"/>
  <c r="K16" i="58"/>
  <c r="A17" i="58"/>
  <c r="E17" i="58"/>
  <c r="K17" i="58"/>
  <c r="A18" i="58"/>
  <c r="E18" i="58"/>
  <c r="K18" i="58"/>
  <c r="A19" i="58"/>
  <c r="E19" i="58"/>
  <c r="K19" i="58"/>
  <c r="A20" i="58"/>
  <c r="E20" i="58"/>
  <c r="K20" i="58"/>
  <c r="A21" i="58"/>
  <c r="E21" i="58"/>
  <c r="K21" i="58"/>
  <c r="A22" i="58"/>
  <c r="E22" i="58"/>
  <c r="K22" i="58"/>
  <c r="A23" i="58"/>
  <c r="E23" i="58"/>
  <c r="K23" i="58"/>
  <c r="L31" i="58"/>
  <c r="M31" i="58"/>
  <c r="N31" i="58"/>
  <c r="O31" i="58"/>
  <c r="N28" i="40" s="1"/>
  <c r="A23" i="2"/>
  <c r="B23" i="2"/>
  <c r="F23" i="2"/>
  <c r="J23" i="2"/>
  <c r="K23" i="2" s="1"/>
  <c r="E193" i="39"/>
  <c r="E194" i="39"/>
  <c r="E195" i="39"/>
  <c r="E196" i="39"/>
  <c r="E197" i="39"/>
  <c r="E198" i="39"/>
  <c r="E199" i="39"/>
  <c r="E200" i="39"/>
  <c r="E201" i="39"/>
  <c r="E202" i="39"/>
  <c r="E203" i="39"/>
  <c r="E204" i="39"/>
  <c r="E205" i="39"/>
  <c r="E206" i="39"/>
  <c r="E207" i="39"/>
  <c r="E208" i="39"/>
  <c r="E210" i="39"/>
  <c r="E211" i="39"/>
  <c r="E212" i="39"/>
  <c r="E213" i="39"/>
  <c r="E214" i="39"/>
  <c r="E215" i="39"/>
  <c r="E216" i="39"/>
  <c r="E217" i="39"/>
  <c r="E218" i="39"/>
  <c r="E219" i="39"/>
  <c r="E220" i="39"/>
  <c r="E221" i="39"/>
  <c r="E222" i="39"/>
  <c r="E223" i="39"/>
  <c r="E224" i="39"/>
  <c r="E225" i="39"/>
  <c r="E226" i="39"/>
  <c r="E227" i="39"/>
  <c r="E228" i="39"/>
  <c r="E229" i="39"/>
  <c r="E230" i="39"/>
  <c r="E231" i="39"/>
  <c r="E232" i="39"/>
  <c r="E233" i="39"/>
  <c r="E234" i="39"/>
  <c r="E235" i="39"/>
  <c r="E236" i="39"/>
  <c r="E237" i="39"/>
  <c r="E238" i="39"/>
  <c r="E240" i="39"/>
  <c r="E241" i="39"/>
  <c r="E242" i="39"/>
  <c r="E243" i="39"/>
  <c r="E244" i="39"/>
  <c r="E245" i="39"/>
  <c r="E246" i="39"/>
  <c r="E247" i="39"/>
  <c r="E248" i="39"/>
  <c r="E249" i="39"/>
  <c r="E250" i="39"/>
  <c r="E251" i="39"/>
  <c r="E192" i="39"/>
  <c r="S39" i="40" l="1"/>
  <c r="T39" i="40"/>
  <c r="U39" i="40"/>
  <c r="D10" i="58"/>
  <c r="C10" i="58"/>
  <c r="C11" i="58" s="1"/>
  <c r="M32" i="58"/>
  <c r="B10" i="58"/>
  <c r="E31" i="58"/>
  <c r="G1" i="58" s="1"/>
  <c r="F21" i="3"/>
  <c r="F21" i="18"/>
  <c r="E21" i="18" s="1"/>
  <c r="F20" i="29"/>
  <c r="J21" i="53"/>
  <c r="K21" i="53" s="1"/>
  <c r="J22" i="53"/>
  <c r="K22" i="53" s="1"/>
  <c r="J23" i="53"/>
  <c r="K23" i="53" s="1"/>
  <c r="J24" i="53"/>
  <c r="K24" i="53" s="1"/>
  <c r="J25" i="53"/>
  <c r="K25" i="53" s="1"/>
  <c r="J26" i="53"/>
  <c r="K26" i="53" s="1"/>
  <c r="J22" i="26"/>
  <c r="J23" i="26"/>
  <c r="F19" i="3"/>
  <c r="E19" i="3" s="1"/>
  <c r="F19" i="5"/>
  <c r="E19" i="5" s="1"/>
  <c r="D11" i="58" l="1"/>
  <c r="C12" i="58"/>
  <c r="C13" i="58" s="1"/>
  <c r="C14" i="58" s="1"/>
  <c r="C15" i="58" s="1"/>
  <c r="C16" i="58" s="1"/>
  <c r="C17" i="58" s="1"/>
  <c r="B12" i="58"/>
  <c r="B11" i="58"/>
  <c r="D12" i="58" l="1"/>
  <c r="B13" i="58"/>
  <c r="B18" i="58"/>
  <c r="B14" i="58"/>
  <c r="C18" i="58"/>
  <c r="C19" i="58" s="1"/>
  <c r="C20" i="58" s="1"/>
  <c r="B15" i="58"/>
  <c r="B17" i="58"/>
  <c r="B16" i="58"/>
  <c r="I12" i="49"/>
  <c r="D13" i="58" l="1"/>
  <c r="B19" i="58"/>
  <c r="C21" i="58"/>
  <c r="C22" i="58" s="1"/>
  <c r="B20" i="58"/>
  <c r="B21" i="58"/>
  <c r="D14" i="58" l="1"/>
  <c r="C23" i="58"/>
  <c r="E5" i="58" s="1"/>
  <c r="B23" i="58"/>
  <c r="B22" i="58"/>
  <c r="E43" i="40"/>
  <c r="E44" i="40"/>
  <c r="E45" i="40"/>
  <c r="E46" i="40"/>
  <c r="E47" i="40"/>
  <c r="E48" i="40"/>
  <c r="E49" i="40"/>
  <c r="E50" i="40"/>
  <c r="A18" i="54"/>
  <c r="A19" i="54"/>
  <c r="A20" i="54"/>
  <c r="A21" i="54"/>
  <c r="A22" i="54"/>
  <c r="A23" i="54"/>
  <c r="A13" i="47"/>
  <c r="A14" i="47"/>
  <c r="A15" i="47"/>
  <c r="A16" i="47"/>
  <c r="A17" i="47"/>
  <c r="A18" i="47"/>
  <c r="A13" i="53"/>
  <c r="A14" i="53"/>
  <c r="A15" i="53"/>
  <c r="A16" i="53"/>
  <c r="A17" i="53"/>
  <c r="A18" i="53"/>
  <c r="A19" i="53"/>
  <c r="A20" i="53"/>
  <c r="A21" i="53"/>
  <c r="A22" i="53"/>
  <c r="A23" i="53"/>
  <c r="A24" i="53"/>
  <c r="A25" i="53"/>
  <c r="A26" i="53"/>
  <c r="A12" i="3"/>
  <c r="A13" i="3"/>
  <c r="A14" i="3"/>
  <c r="A15" i="3"/>
  <c r="A16" i="3"/>
  <c r="A17" i="3"/>
  <c r="A18" i="3"/>
  <c r="A19" i="3"/>
  <c r="A20" i="3"/>
  <c r="A21" i="3"/>
  <c r="A22" i="3"/>
  <c r="A23" i="3"/>
  <c r="D15" i="58" l="1"/>
  <c r="D16" i="58"/>
  <c r="D17" i="58" l="1"/>
  <c r="D18" i="58" l="1"/>
  <c r="A12" i="47"/>
  <c r="E12" i="47"/>
  <c r="I12" i="47"/>
  <c r="A10" i="47"/>
  <c r="E10" i="47"/>
  <c r="I10" i="47"/>
  <c r="J10" i="47" l="1"/>
  <c r="D19" i="58"/>
  <c r="J12" i="47"/>
  <c r="D20" i="58" l="1"/>
  <c r="D21" i="58" l="1"/>
  <c r="O24" i="33"/>
  <c r="E150" i="39"/>
  <c r="E151" i="39"/>
  <c r="E152" i="39"/>
  <c r="E153" i="39"/>
  <c r="E154" i="39"/>
  <c r="E155" i="39"/>
  <c r="E156" i="39"/>
  <c r="E157" i="39"/>
  <c r="E159" i="39"/>
  <c r="E160" i="39"/>
  <c r="E161" i="39"/>
  <c r="E162" i="39"/>
  <c r="E163" i="39"/>
  <c r="E164" i="39"/>
  <c r="E166" i="39"/>
  <c r="E167" i="39"/>
  <c r="E168" i="39"/>
  <c r="E169" i="39"/>
  <c r="E170" i="39"/>
  <c r="E171" i="39"/>
  <c r="E172" i="39"/>
  <c r="E173" i="39"/>
  <c r="E174" i="39"/>
  <c r="E175" i="39"/>
  <c r="E176" i="39"/>
  <c r="E177" i="39"/>
  <c r="E178" i="39"/>
  <c r="E179" i="39"/>
  <c r="E180" i="39"/>
  <c r="E181" i="39"/>
  <c r="E182" i="39"/>
  <c r="E183" i="39"/>
  <c r="E184" i="39"/>
  <c r="E185" i="39"/>
  <c r="E186" i="39"/>
  <c r="E187" i="39"/>
  <c r="E188" i="39"/>
  <c r="E189" i="39"/>
  <c r="E190" i="39"/>
  <c r="E191" i="39"/>
  <c r="D24" i="33"/>
  <c r="P24" i="33"/>
  <c r="D22" i="58" l="1"/>
  <c r="D23" i="58" l="1"/>
  <c r="I23" i="47"/>
  <c r="A23" i="18" l="1"/>
  <c r="A23" i="26"/>
  <c r="A23" i="25"/>
  <c r="A23" i="15"/>
  <c r="A23" i="14"/>
  <c r="A23" i="49"/>
  <c r="A22" i="51"/>
  <c r="A23" i="51"/>
  <c r="A23" i="29"/>
  <c r="A23" i="50"/>
  <c r="A23" i="9"/>
  <c r="A24" i="9"/>
  <c r="A25" i="9"/>
  <c r="A26" i="9"/>
  <c r="I22" i="47"/>
  <c r="E138" i="39"/>
  <c r="E140" i="39"/>
  <c r="E141" i="39"/>
  <c r="E142" i="39"/>
  <c r="E143" i="39"/>
  <c r="E144" i="39"/>
  <c r="E146" i="39"/>
  <c r="E147" i="39"/>
  <c r="E148" i="39"/>
  <c r="E149" i="39"/>
  <c r="D23" i="33"/>
  <c r="O23" i="33"/>
  <c r="P23" i="33"/>
  <c r="E125" i="39" l="1"/>
  <c r="E126" i="39"/>
  <c r="E127" i="39"/>
  <c r="E128" i="39"/>
  <c r="E129" i="39"/>
  <c r="E130" i="39"/>
  <c r="E131" i="39"/>
  <c r="E132" i="39"/>
  <c r="E133" i="39"/>
  <c r="E134" i="39"/>
  <c r="E135" i="39"/>
  <c r="E136" i="39"/>
  <c r="E137" i="39"/>
  <c r="D22" i="33"/>
  <c r="E106" i="39" l="1"/>
  <c r="E107" i="39"/>
  <c r="E109" i="39"/>
  <c r="E110" i="39"/>
  <c r="E111" i="39"/>
  <c r="E112" i="39"/>
  <c r="E113" i="39"/>
  <c r="E114" i="39"/>
  <c r="E115" i="39"/>
  <c r="E116" i="39"/>
  <c r="E118" i="39"/>
  <c r="E120" i="39"/>
  <c r="E121" i="39"/>
  <c r="E122" i="39"/>
  <c r="E123" i="39"/>
  <c r="E124" i="39"/>
  <c r="I18" i="49" l="1"/>
  <c r="F23" i="18" l="1"/>
  <c r="E23" i="18" s="1"/>
  <c r="E61" i="39" l="1"/>
  <c r="E62" i="39"/>
  <c r="E63" i="39"/>
  <c r="E64" i="39"/>
  <c r="E65" i="39"/>
  <c r="E66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60" i="39"/>
  <c r="E59" i="39"/>
  <c r="E58" i="39"/>
  <c r="E57" i="39"/>
  <c r="E55" i="39"/>
  <c r="E42" i="39" l="1"/>
  <c r="E43" i="39"/>
  <c r="E44" i="39"/>
  <c r="E45" i="39"/>
  <c r="E46" i="39"/>
  <c r="E48" i="39"/>
  <c r="E49" i="39"/>
  <c r="E50" i="39"/>
  <c r="E33" i="39"/>
  <c r="E34" i="39"/>
  <c r="E35" i="39"/>
  <c r="E36" i="39"/>
  <c r="E37" i="39"/>
  <c r="E38" i="39"/>
  <c r="E39" i="39"/>
  <c r="E40" i="39"/>
  <c r="E41" i="39"/>
  <c r="E24" i="39"/>
  <c r="E26" i="39"/>
  <c r="E27" i="39"/>
  <c r="E29" i="39"/>
  <c r="E30" i="39"/>
  <c r="E31" i="39"/>
  <c r="E32" i="39"/>
  <c r="E18" i="39"/>
  <c r="E19" i="39"/>
  <c r="E20" i="39"/>
  <c r="E21" i="39"/>
  <c r="E22" i="39"/>
  <c r="E23" i="39"/>
  <c r="E13" i="39"/>
  <c r="E14" i="39"/>
  <c r="E15" i="39"/>
  <c r="E16" i="39"/>
  <c r="E17" i="39"/>
  <c r="E12" i="39"/>
  <c r="D7" i="57" l="1"/>
  <c r="C3" i="57"/>
  <c r="D3" i="57" s="1"/>
  <c r="D4" i="57"/>
  <c r="D5" i="57"/>
  <c r="D2" i="57"/>
  <c r="A20" i="18"/>
  <c r="A21" i="18"/>
  <c r="A22" i="18"/>
  <c r="A20" i="26"/>
  <c r="A21" i="26"/>
  <c r="A22" i="26"/>
  <c r="A20" i="25"/>
  <c r="A21" i="25"/>
  <c r="A22" i="25"/>
  <c r="A19" i="15"/>
  <c r="A20" i="15"/>
  <c r="A21" i="15"/>
  <c r="A22" i="15"/>
  <c r="A20" i="14"/>
  <c r="A21" i="14"/>
  <c r="A22" i="14"/>
  <c r="A20" i="49"/>
  <c r="A21" i="49"/>
  <c r="A22" i="49"/>
  <c r="A14" i="54"/>
  <c r="A15" i="54"/>
  <c r="A16" i="54"/>
  <c r="A17" i="54"/>
  <c r="A20" i="51"/>
  <c r="A21" i="51"/>
  <c r="A20" i="29"/>
  <c r="A21" i="29"/>
  <c r="A22" i="29"/>
  <c r="A20" i="50"/>
  <c r="A21" i="50"/>
  <c r="A22" i="50"/>
  <c r="A20" i="9"/>
  <c r="A21" i="9"/>
  <c r="A22" i="9"/>
  <c r="A20" i="8"/>
  <c r="A21" i="8"/>
  <c r="A22" i="8"/>
  <c r="A23" i="8"/>
  <c r="A19" i="5"/>
  <c r="A20" i="5"/>
  <c r="A21" i="5"/>
  <c r="A22" i="5"/>
  <c r="A23" i="5"/>
  <c r="A19" i="2"/>
  <c r="A20" i="2"/>
  <c r="A21" i="2"/>
  <c r="A22" i="2"/>
  <c r="A10" i="28"/>
  <c r="A11" i="28"/>
  <c r="A12" i="28"/>
  <c r="A13" i="28"/>
  <c r="A14" i="28"/>
  <c r="A15" i="28"/>
  <c r="A16" i="28"/>
  <c r="A17" i="28"/>
  <c r="A10" i="18"/>
  <c r="A11" i="18"/>
  <c r="A12" i="18"/>
  <c r="A13" i="18"/>
  <c r="A14" i="18"/>
  <c r="A15" i="18"/>
  <c r="A16" i="18"/>
  <c r="A17" i="18"/>
  <c r="A18" i="18"/>
  <c r="A19" i="18"/>
  <c r="E22" i="26"/>
  <c r="E23" i="26"/>
  <c r="A10" i="26"/>
  <c r="A11" i="26"/>
  <c r="A12" i="26"/>
  <c r="A13" i="26"/>
  <c r="A14" i="26"/>
  <c r="A15" i="26"/>
  <c r="A16" i="26"/>
  <c r="A17" i="26"/>
  <c r="A18" i="26"/>
  <c r="A19" i="26"/>
  <c r="E22" i="25"/>
  <c r="K22" i="25"/>
  <c r="E23" i="25"/>
  <c r="K23" i="25"/>
  <c r="A10" i="25"/>
  <c r="A11" i="25"/>
  <c r="A12" i="25"/>
  <c r="A13" i="25"/>
  <c r="A14" i="25"/>
  <c r="A15" i="25"/>
  <c r="A16" i="25"/>
  <c r="A17" i="25"/>
  <c r="A18" i="25"/>
  <c r="A19" i="25"/>
  <c r="K22" i="15"/>
  <c r="K23" i="15"/>
  <c r="E22" i="15"/>
  <c r="E23" i="15"/>
  <c r="A10" i="15"/>
  <c r="A11" i="15"/>
  <c r="A12" i="15"/>
  <c r="A13" i="15"/>
  <c r="A14" i="15"/>
  <c r="A15" i="15"/>
  <c r="A16" i="15"/>
  <c r="A17" i="15"/>
  <c r="A18" i="15"/>
  <c r="E22" i="14"/>
  <c r="E23" i="14"/>
  <c r="A10" i="14"/>
  <c r="A11" i="14"/>
  <c r="A12" i="14"/>
  <c r="A13" i="14"/>
  <c r="A14" i="14"/>
  <c r="A15" i="14"/>
  <c r="A16" i="14"/>
  <c r="A17" i="14"/>
  <c r="A18" i="14"/>
  <c r="A19" i="14"/>
  <c r="I22" i="49"/>
  <c r="J22" i="49" s="1"/>
  <c r="I23" i="49"/>
  <c r="I24" i="49"/>
  <c r="J24" i="49" s="1"/>
  <c r="I25" i="49"/>
  <c r="J25" i="49" s="1"/>
  <c r="I26" i="49"/>
  <c r="J26" i="49" s="1"/>
  <c r="E22" i="49"/>
  <c r="E23" i="49"/>
  <c r="A10" i="49"/>
  <c r="A11" i="49"/>
  <c r="A12" i="49"/>
  <c r="A13" i="49"/>
  <c r="A14" i="49"/>
  <c r="A15" i="49"/>
  <c r="A16" i="49"/>
  <c r="A17" i="49"/>
  <c r="A18" i="49"/>
  <c r="A19" i="49"/>
  <c r="E22" i="54"/>
  <c r="I22" i="54"/>
  <c r="E23" i="54"/>
  <c r="I23" i="54"/>
  <c r="A10" i="54"/>
  <c r="A11" i="54"/>
  <c r="A12" i="54"/>
  <c r="A13" i="54"/>
  <c r="E22" i="51"/>
  <c r="I22" i="51"/>
  <c r="E23" i="51"/>
  <c r="I23" i="51"/>
  <c r="A10" i="51"/>
  <c r="A11" i="51"/>
  <c r="A12" i="51"/>
  <c r="A13" i="51"/>
  <c r="A14" i="51"/>
  <c r="A15" i="51"/>
  <c r="A16" i="51"/>
  <c r="A17" i="51"/>
  <c r="A18" i="51"/>
  <c r="A19" i="51"/>
  <c r="B22" i="29"/>
  <c r="F22" i="29"/>
  <c r="J22" i="29"/>
  <c r="B23" i="29"/>
  <c r="F23" i="29"/>
  <c r="J23" i="29"/>
  <c r="F22" i="50"/>
  <c r="J22" i="50"/>
  <c r="F23" i="50"/>
  <c r="J23" i="50"/>
  <c r="E22" i="9"/>
  <c r="I22" i="9"/>
  <c r="J22" i="9" s="1"/>
  <c r="E23" i="9"/>
  <c r="I23" i="9"/>
  <c r="J23" i="9" s="1"/>
  <c r="E24" i="9"/>
  <c r="I24" i="9"/>
  <c r="J24" i="9" s="1"/>
  <c r="E25" i="9"/>
  <c r="I25" i="9"/>
  <c r="J25" i="9" s="1"/>
  <c r="E26" i="9"/>
  <c r="I26" i="9"/>
  <c r="J26" i="9" s="1"/>
  <c r="B22" i="8"/>
  <c r="F22" i="8"/>
  <c r="J22" i="8"/>
  <c r="B23" i="8"/>
  <c r="F23" i="8"/>
  <c r="E23" i="8" s="1"/>
  <c r="F5" i="8" s="1"/>
  <c r="J23" i="8"/>
  <c r="B22" i="5"/>
  <c r="F22" i="5"/>
  <c r="J22" i="5"/>
  <c r="B23" i="5"/>
  <c r="F23" i="5"/>
  <c r="J23" i="5"/>
  <c r="B22" i="2"/>
  <c r="F22" i="2"/>
  <c r="J22" i="2"/>
  <c r="K22" i="2" s="1"/>
  <c r="B22" i="53"/>
  <c r="F22" i="53"/>
  <c r="B23" i="53"/>
  <c r="F23" i="53"/>
  <c r="B24" i="53"/>
  <c r="F24" i="53"/>
  <c r="B25" i="53"/>
  <c r="F25" i="53"/>
  <c r="B26" i="53"/>
  <c r="F26" i="53"/>
  <c r="B22" i="3"/>
  <c r="F22" i="3"/>
  <c r="J22" i="3"/>
  <c r="B23" i="3"/>
  <c r="F23" i="3"/>
  <c r="J23" i="3"/>
  <c r="K23" i="3" s="1"/>
  <c r="E22" i="47"/>
  <c r="E23" i="47"/>
  <c r="A11" i="47"/>
  <c r="A10" i="29"/>
  <c r="A11" i="29"/>
  <c r="A12" i="29"/>
  <c r="A13" i="29"/>
  <c r="A14" i="29"/>
  <c r="A15" i="29"/>
  <c r="A16" i="29"/>
  <c r="A17" i="29"/>
  <c r="A18" i="29"/>
  <c r="A19" i="29"/>
  <c r="A10" i="50"/>
  <c r="A11" i="50"/>
  <c r="A12" i="50"/>
  <c r="A13" i="50"/>
  <c r="A14" i="50"/>
  <c r="A15" i="50"/>
  <c r="A16" i="50"/>
  <c r="A17" i="50"/>
  <c r="A18" i="50"/>
  <c r="A19" i="50"/>
  <c r="A10" i="9"/>
  <c r="A11" i="9"/>
  <c r="A12" i="9"/>
  <c r="A13" i="9"/>
  <c r="A14" i="9"/>
  <c r="A15" i="9"/>
  <c r="A16" i="9"/>
  <c r="A17" i="9"/>
  <c r="A18" i="9"/>
  <c r="A19" i="9"/>
  <c r="A10" i="8"/>
  <c r="A11" i="8"/>
  <c r="A12" i="8"/>
  <c r="A13" i="8"/>
  <c r="A14" i="8"/>
  <c r="A15" i="8"/>
  <c r="A16" i="8"/>
  <c r="A17" i="8"/>
  <c r="A18" i="8"/>
  <c r="A19" i="8"/>
  <c r="A10" i="5"/>
  <c r="A11" i="5"/>
  <c r="A12" i="5"/>
  <c r="A13" i="5"/>
  <c r="A14" i="5"/>
  <c r="A15" i="5"/>
  <c r="A16" i="5"/>
  <c r="A17" i="5"/>
  <c r="A18" i="5"/>
  <c r="A10" i="2"/>
  <c r="A11" i="2"/>
  <c r="A12" i="2"/>
  <c r="A13" i="2"/>
  <c r="A14" i="2"/>
  <c r="A15" i="2"/>
  <c r="A16" i="2"/>
  <c r="A17" i="2"/>
  <c r="A18" i="2"/>
  <c r="A10" i="53"/>
  <c r="A11" i="53"/>
  <c r="A12" i="53"/>
  <c r="A10" i="3"/>
  <c r="A11" i="3"/>
  <c r="F22" i="18"/>
  <c r="E22" i="18" s="1"/>
  <c r="J23" i="49" l="1"/>
  <c r="K22" i="50"/>
  <c r="K22" i="5"/>
  <c r="K23" i="5"/>
  <c r="K23" i="8"/>
  <c r="K23" i="50"/>
  <c r="K23" i="29"/>
  <c r="J23" i="54"/>
  <c r="K22" i="3"/>
  <c r="K22" i="8"/>
  <c r="J23" i="51"/>
  <c r="K22" i="29"/>
  <c r="J23" i="47"/>
  <c r="J22" i="54"/>
  <c r="J22" i="51"/>
  <c r="J22" i="47"/>
  <c r="D6" i="57"/>
  <c r="E7" i="57" s="1"/>
  <c r="F142" i="39" l="1"/>
  <c r="G142" i="39" s="1"/>
  <c r="F143" i="39"/>
  <c r="G143" i="39" s="1"/>
  <c r="F144" i="39"/>
  <c r="G144" i="39" s="1"/>
  <c r="F145" i="39"/>
  <c r="G145" i="39" s="1"/>
  <c r="F146" i="39"/>
  <c r="G146" i="39" s="1"/>
  <c r="F147" i="39"/>
  <c r="G147" i="39" s="1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10" i="38"/>
  <c r="K11" i="33" l="1"/>
  <c r="K12" i="33" s="1"/>
  <c r="K13" i="33" s="1"/>
  <c r="K14" i="33" s="1"/>
  <c r="K15" i="33" s="1"/>
  <c r="K16" i="33" s="1"/>
  <c r="K17" i="33" s="1"/>
  <c r="K19" i="33" s="1"/>
  <c r="K20" i="33" s="1"/>
  <c r="K21" i="33" s="1"/>
  <c r="K22" i="33" s="1"/>
  <c r="P21" i="29" l="1"/>
  <c r="P20" i="29"/>
  <c r="P19" i="29"/>
  <c r="P18" i="29"/>
  <c r="P17" i="29"/>
  <c r="P16" i="29"/>
  <c r="P15" i="29"/>
  <c r="P14" i="29"/>
  <c r="P13" i="29"/>
  <c r="P12" i="29"/>
  <c r="P11" i="29"/>
  <c r="P10" i="29"/>
  <c r="P9" i="29"/>
  <c r="W10" i="8" l="1"/>
  <c r="W11" i="8"/>
  <c r="W12" i="8"/>
  <c r="W13" i="8"/>
  <c r="W14" i="8"/>
  <c r="W15" i="8"/>
  <c r="W16" i="8"/>
  <c r="W17" i="8"/>
  <c r="W18" i="8"/>
  <c r="W19" i="8"/>
  <c r="W20" i="8"/>
  <c r="W21" i="8"/>
  <c r="W9" i="8"/>
  <c r="S9" i="29" l="1"/>
  <c r="P31" i="47" l="1"/>
  <c r="R25" i="40" l="1"/>
  <c r="Z9" i="8" l="1"/>
  <c r="J9" i="5" l="1"/>
  <c r="J10" i="5"/>
  <c r="E34" i="40"/>
  <c r="E35" i="40"/>
  <c r="E36" i="40"/>
  <c r="E37" i="40"/>
  <c r="E38" i="40"/>
  <c r="E39" i="40"/>
  <c r="E40" i="40"/>
  <c r="E41" i="40"/>
  <c r="E42" i="40"/>
  <c r="A9" i="50" l="1"/>
  <c r="S20" i="33" l="1"/>
  <c r="P20" i="33"/>
  <c r="R20" i="33" s="1"/>
  <c r="D6" i="3" l="1"/>
  <c r="L5" i="3" l="1"/>
  <c r="P15" i="33"/>
  <c r="A11" i="10" l="1"/>
  <c r="A12" i="10"/>
  <c r="A13" i="10"/>
  <c r="A14" i="10"/>
  <c r="A15" i="10"/>
  <c r="A16" i="10"/>
  <c r="A17" i="10"/>
  <c r="A18" i="10"/>
  <c r="A19" i="10"/>
  <c r="A20" i="10"/>
  <c r="A21" i="10"/>
  <c r="A22" i="10"/>
  <c r="A23" i="10"/>
  <c r="A10" i="10"/>
  <c r="A9" i="10"/>
  <c r="A9" i="5"/>
  <c r="J18" i="50" l="1"/>
  <c r="O17" i="33" l="1"/>
  <c r="J11" i="26" l="1"/>
  <c r="J12" i="26"/>
  <c r="J13" i="26"/>
  <c r="E9" i="10" l="1"/>
  <c r="C9" i="10"/>
  <c r="C10" i="10" s="1"/>
  <c r="A9" i="3"/>
  <c r="D9" i="10" l="1"/>
  <c r="S31" i="8" l="1"/>
  <c r="Q31" i="5"/>
  <c r="D7" i="50" l="1"/>
  <c r="E16" i="49" l="1"/>
  <c r="AC9" i="24" l="1"/>
  <c r="O14" i="40" s="1"/>
  <c r="J17" i="29" l="1"/>
  <c r="F17" i="29"/>
  <c r="B18" i="29"/>
  <c r="B19" i="29"/>
  <c r="B20" i="29"/>
  <c r="B21" i="29"/>
  <c r="B17" i="29"/>
  <c r="K17" i="29" l="1"/>
  <c r="F17" i="2" l="1"/>
  <c r="J17" i="2"/>
  <c r="K17" i="2" s="1"/>
  <c r="B18" i="2"/>
  <c r="B19" i="2"/>
  <c r="B20" i="2"/>
  <c r="B21" i="2"/>
  <c r="B17" i="2"/>
  <c r="F17" i="3"/>
  <c r="J17" i="3"/>
  <c r="B17" i="3"/>
  <c r="B18" i="3"/>
  <c r="K17" i="3" l="1"/>
  <c r="P16" i="33"/>
  <c r="P14" i="33" l="1"/>
  <c r="B13" i="3" l="1"/>
  <c r="F13" i="3"/>
  <c r="E13" i="3" s="1"/>
  <c r="J13" i="3"/>
  <c r="K13" i="3" l="1"/>
  <c r="J9" i="8" l="1"/>
  <c r="N31" i="47"/>
  <c r="A9" i="47" l="1"/>
  <c r="D14" i="33" l="1"/>
  <c r="J13" i="8"/>
  <c r="I13" i="51" l="1"/>
  <c r="E13" i="51"/>
  <c r="J13" i="51" l="1"/>
  <c r="I13" i="47"/>
  <c r="I14" i="47"/>
  <c r="B13" i="5" l="1"/>
  <c r="B14" i="5"/>
  <c r="B15" i="5"/>
  <c r="B16" i="5"/>
  <c r="B17" i="5"/>
  <c r="B18" i="5"/>
  <c r="B19" i="5"/>
  <c r="B20" i="5"/>
  <c r="B21" i="5"/>
  <c r="B13" i="8"/>
  <c r="B14" i="8"/>
  <c r="B15" i="8"/>
  <c r="B16" i="8"/>
  <c r="B17" i="8"/>
  <c r="B18" i="8"/>
  <c r="B19" i="8"/>
  <c r="B20" i="8"/>
  <c r="B21" i="8"/>
  <c r="B13" i="29"/>
  <c r="B14" i="29"/>
  <c r="B15" i="29"/>
  <c r="B16" i="29"/>
  <c r="E14" i="47"/>
  <c r="J14" i="47" s="1"/>
  <c r="E15" i="47"/>
  <c r="E16" i="47"/>
  <c r="E17" i="47"/>
  <c r="E18" i="47"/>
  <c r="E19" i="47"/>
  <c r="E20" i="47"/>
  <c r="E21" i="47"/>
  <c r="E13" i="47"/>
  <c r="J13" i="29"/>
  <c r="F13" i="29"/>
  <c r="F13" i="8"/>
  <c r="E13" i="8" s="1"/>
  <c r="J13" i="5"/>
  <c r="K13" i="8" l="1"/>
  <c r="K13" i="29"/>
  <c r="J13" i="47"/>
  <c r="F13" i="5"/>
  <c r="E13" i="5" s="1"/>
  <c r="K13" i="5" l="1"/>
  <c r="J13" i="2"/>
  <c r="K13" i="2" s="1"/>
  <c r="F13" i="2"/>
  <c r="B13" i="2"/>
  <c r="B14" i="2"/>
  <c r="B15" i="2"/>
  <c r="B16" i="2"/>
  <c r="J13" i="53"/>
  <c r="J14" i="53"/>
  <c r="F13" i="53"/>
  <c r="F14" i="53"/>
  <c r="F15" i="53"/>
  <c r="F16" i="53"/>
  <c r="B13" i="53"/>
  <c r="B14" i="53"/>
  <c r="B15" i="53"/>
  <c r="B16" i="53"/>
  <c r="B17" i="53"/>
  <c r="B18" i="53"/>
  <c r="B19" i="53"/>
  <c r="B20" i="53"/>
  <c r="B21" i="53"/>
  <c r="J14" i="3"/>
  <c r="F14" i="3"/>
  <c r="B14" i="3"/>
  <c r="B15" i="3"/>
  <c r="B16" i="3"/>
  <c r="B19" i="3"/>
  <c r="B20" i="3"/>
  <c r="B21" i="3"/>
  <c r="K14" i="53" l="1"/>
  <c r="K13" i="53"/>
  <c r="K14" i="3"/>
  <c r="N31" i="15"/>
  <c r="L31" i="26"/>
  <c r="T9" i="3" l="1"/>
  <c r="Z9" i="5"/>
  <c r="S33" i="40"/>
  <c r="D27" i="35"/>
  <c r="D26" i="35"/>
  <c r="H46" i="40" l="1"/>
  <c r="H47" i="40"/>
  <c r="I46" i="40"/>
  <c r="I47" i="40"/>
  <c r="L45" i="40"/>
  <c r="L46" i="40"/>
  <c r="L47" i="40"/>
  <c r="G47" i="40" l="1"/>
  <c r="M47" i="40" s="1"/>
  <c r="G46" i="40"/>
  <c r="M46" i="40" s="1"/>
  <c r="D6" i="50" l="1"/>
  <c r="M5" i="50" s="1"/>
  <c r="E3" i="39" l="1"/>
  <c r="E4" i="39"/>
  <c r="E5" i="39"/>
  <c r="E6" i="39"/>
  <c r="E7" i="39"/>
  <c r="E8" i="39"/>
  <c r="E9" i="39"/>
  <c r="E10" i="39"/>
  <c r="E11" i="39"/>
  <c r="E51" i="39"/>
  <c r="E52" i="39"/>
  <c r="E53" i="39"/>
  <c r="E54" i="39"/>
  <c r="E56" i="39"/>
  <c r="E296" i="39"/>
  <c r="E297" i="39"/>
  <c r="E298" i="39"/>
  <c r="E299" i="39"/>
  <c r="E300" i="39"/>
  <c r="E301" i="39"/>
  <c r="E302" i="39"/>
  <c r="E303" i="39"/>
  <c r="E304" i="39"/>
  <c r="E305" i="39"/>
  <c r="E306" i="39"/>
  <c r="E307" i="39"/>
  <c r="E308" i="39"/>
  <c r="E309" i="39"/>
  <c r="E310" i="39"/>
  <c r="E311" i="39"/>
  <c r="E312" i="39"/>
  <c r="E313" i="39"/>
  <c r="E314" i="39"/>
  <c r="E315" i="39"/>
  <c r="E316" i="39"/>
  <c r="E317" i="39"/>
  <c r="E318" i="39"/>
  <c r="E319" i="39"/>
  <c r="E320" i="39"/>
  <c r="E321" i="39"/>
  <c r="E322" i="39"/>
  <c r="E323" i="39"/>
  <c r="E324" i="39"/>
  <c r="E325" i="39"/>
  <c r="E326" i="39"/>
  <c r="E327" i="39"/>
  <c r="E328" i="39"/>
  <c r="E329" i="39"/>
  <c r="E330" i="39"/>
  <c r="E331" i="39"/>
  <c r="E332" i="39"/>
  <c r="E333" i="39"/>
  <c r="E334" i="39"/>
  <c r="E335" i="39"/>
  <c r="E336" i="39"/>
  <c r="E337" i="39"/>
  <c r="E338" i="39"/>
  <c r="E339" i="39"/>
  <c r="E340" i="39"/>
  <c r="E341" i="39"/>
  <c r="E342" i="39"/>
  <c r="E343" i="39"/>
  <c r="E344" i="39"/>
  <c r="E345" i="39"/>
  <c r="E346" i="39"/>
  <c r="E347" i="39"/>
  <c r="E348" i="39"/>
  <c r="E349" i="39"/>
  <c r="E350" i="39"/>
  <c r="E351" i="39"/>
  <c r="E352" i="39"/>
  <c r="E353" i="39"/>
  <c r="E354" i="39"/>
  <c r="E355" i="39"/>
  <c r="E356" i="39"/>
  <c r="E357" i="39"/>
  <c r="E358" i="39"/>
  <c r="E359" i="39"/>
  <c r="E360" i="39"/>
  <c r="E361" i="39"/>
  <c r="E362" i="39"/>
  <c r="E363" i="39"/>
  <c r="E364" i="39"/>
  <c r="E365" i="39"/>
  <c r="E366" i="39"/>
  <c r="E367" i="39"/>
  <c r="E368" i="39"/>
  <c r="E369" i="39"/>
  <c r="E370" i="39"/>
  <c r="E371" i="39"/>
  <c r="E372" i="39"/>
  <c r="E373" i="39"/>
  <c r="E374" i="39"/>
  <c r="E375" i="39"/>
  <c r="E376" i="39"/>
  <c r="E377" i="39"/>
  <c r="E378" i="39"/>
  <c r="E379" i="39"/>
  <c r="E380" i="39"/>
  <c r="E381" i="39"/>
  <c r="E382" i="39"/>
  <c r="E383" i="39"/>
  <c r="E384" i="39"/>
  <c r="E385" i="39"/>
  <c r="E386" i="39"/>
  <c r="E387" i="39"/>
  <c r="E388" i="39"/>
  <c r="E389" i="39"/>
  <c r="E390" i="39"/>
  <c r="E391" i="39"/>
  <c r="E392" i="39"/>
  <c r="E393" i="39"/>
  <c r="E394" i="39"/>
  <c r="E395" i="39"/>
  <c r="E396" i="39"/>
  <c r="E397" i="39"/>
  <c r="E398" i="39"/>
  <c r="E399" i="39"/>
  <c r="E400" i="39"/>
  <c r="E401" i="39"/>
  <c r="E402" i="39"/>
  <c r="E403" i="39"/>
  <c r="E404" i="39"/>
  <c r="E405" i="39"/>
  <c r="E406" i="39"/>
  <c r="E407" i="39"/>
  <c r="E408" i="39"/>
  <c r="E409" i="39"/>
  <c r="E410" i="39"/>
  <c r="E411" i="39"/>
  <c r="E412" i="39"/>
  <c r="E413" i="39"/>
  <c r="E414" i="39"/>
  <c r="E415" i="39"/>
  <c r="E416" i="39"/>
  <c r="E417" i="39"/>
  <c r="E418" i="39"/>
  <c r="E419" i="39"/>
  <c r="E420" i="39"/>
  <c r="E421" i="39"/>
  <c r="E422" i="39"/>
  <c r="E423" i="39"/>
  <c r="E424" i="39"/>
  <c r="E425" i="39"/>
  <c r="E426" i="39"/>
  <c r="E427" i="39"/>
  <c r="E428" i="39"/>
  <c r="E429" i="39"/>
  <c r="E430" i="39"/>
  <c r="E431" i="39"/>
  <c r="E432" i="39"/>
  <c r="E433" i="39"/>
  <c r="E434" i="39"/>
  <c r="E435" i="39"/>
  <c r="E436" i="39"/>
  <c r="E437" i="39"/>
  <c r="E438" i="39"/>
  <c r="E439" i="39"/>
  <c r="E440" i="39"/>
  <c r="E441" i="39"/>
  <c r="E442" i="39"/>
  <c r="E443" i="39"/>
  <c r="E444" i="39"/>
  <c r="E445" i="39"/>
  <c r="E446" i="39"/>
  <c r="E447" i="39"/>
  <c r="E448" i="39"/>
  <c r="E449" i="39"/>
  <c r="E450" i="39"/>
  <c r="E451" i="39"/>
  <c r="E452" i="39"/>
  <c r="E453" i="39"/>
  <c r="E454" i="39"/>
  <c r="E455" i="39"/>
  <c r="E456" i="39"/>
  <c r="E457" i="39"/>
  <c r="E458" i="39"/>
  <c r="E459" i="39"/>
  <c r="E460" i="39"/>
  <c r="E461" i="39"/>
  <c r="E462" i="39"/>
  <c r="E463" i="39"/>
  <c r="E464" i="39"/>
  <c r="E465" i="39"/>
  <c r="E466" i="39"/>
  <c r="E467" i="39"/>
  <c r="E468" i="39"/>
  <c r="E469" i="39"/>
  <c r="E470" i="39"/>
  <c r="E471" i="39"/>
  <c r="E472" i="39"/>
  <c r="E473" i="39"/>
  <c r="E474" i="39"/>
  <c r="E475" i="39"/>
  <c r="E476" i="39"/>
  <c r="E477" i="39"/>
  <c r="E2" i="39"/>
  <c r="F3" i="39"/>
  <c r="G3" i="39" s="1"/>
  <c r="F4" i="39"/>
  <c r="G4" i="39" s="1"/>
  <c r="F5" i="39"/>
  <c r="G5" i="39" s="1"/>
  <c r="F6" i="39"/>
  <c r="G6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F47" i="39"/>
  <c r="G47" i="39" s="1"/>
  <c r="F48" i="39"/>
  <c r="G48" i="39" s="1"/>
  <c r="F49" i="39"/>
  <c r="G49" i="39" s="1"/>
  <c r="F50" i="39"/>
  <c r="G50" i="39" s="1"/>
  <c r="F51" i="39"/>
  <c r="G51" i="39" s="1"/>
  <c r="F52" i="39"/>
  <c r="G52" i="39" s="1"/>
  <c r="F53" i="39"/>
  <c r="G53" i="39" s="1"/>
  <c r="F54" i="39"/>
  <c r="G54" i="39" s="1"/>
  <c r="F55" i="39"/>
  <c r="G55" i="39" s="1"/>
  <c r="F56" i="39"/>
  <c r="G56" i="39" s="1"/>
  <c r="F57" i="39"/>
  <c r="G57" i="39" s="1"/>
  <c r="F58" i="39"/>
  <c r="G58" i="39" s="1"/>
  <c r="F59" i="39"/>
  <c r="G59" i="39" s="1"/>
  <c r="F60" i="39"/>
  <c r="G60" i="39" s="1"/>
  <c r="F61" i="39"/>
  <c r="G61" i="39" s="1"/>
  <c r="F62" i="39"/>
  <c r="G62" i="39" s="1"/>
  <c r="F63" i="39"/>
  <c r="G63" i="39" s="1"/>
  <c r="F64" i="39"/>
  <c r="G64" i="39" s="1"/>
  <c r="F65" i="39"/>
  <c r="G65" i="39" s="1"/>
  <c r="F66" i="39"/>
  <c r="G66" i="39" s="1"/>
  <c r="F67" i="39"/>
  <c r="G67" i="39" s="1"/>
  <c r="F68" i="39"/>
  <c r="G68" i="39" s="1"/>
  <c r="F69" i="39"/>
  <c r="G69" i="39" s="1"/>
  <c r="F70" i="39"/>
  <c r="G70" i="39" s="1"/>
  <c r="F71" i="39"/>
  <c r="G71" i="39" s="1"/>
  <c r="F72" i="39"/>
  <c r="G72" i="39" s="1"/>
  <c r="F73" i="39"/>
  <c r="G73" i="39" s="1"/>
  <c r="F74" i="39"/>
  <c r="G74" i="39" s="1"/>
  <c r="F75" i="39"/>
  <c r="G75" i="39" s="1"/>
  <c r="F76" i="39"/>
  <c r="G76" i="39" s="1"/>
  <c r="F77" i="39"/>
  <c r="G77" i="39" s="1"/>
  <c r="F78" i="39"/>
  <c r="G78" i="39" s="1"/>
  <c r="F79" i="39"/>
  <c r="G79" i="39" s="1"/>
  <c r="F80" i="39"/>
  <c r="G80" i="39" s="1"/>
  <c r="F81" i="39"/>
  <c r="G81" i="39" s="1"/>
  <c r="F106" i="39"/>
  <c r="G106" i="39" s="1"/>
  <c r="F107" i="39"/>
  <c r="G107" i="39" s="1"/>
  <c r="F108" i="39"/>
  <c r="G108" i="39" s="1"/>
  <c r="F109" i="39"/>
  <c r="G109" i="39" s="1"/>
  <c r="F110" i="39"/>
  <c r="G110" i="39" s="1"/>
  <c r="F111" i="39"/>
  <c r="G111" i="39" s="1"/>
  <c r="F112" i="39"/>
  <c r="G112" i="39" s="1"/>
  <c r="F113" i="39"/>
  <c r="G113" i="39" s="1"/>
  <c r="F114" i="39"/>
  <c r="G114" i="39" s="1"/>
  <c r="F115" i="39"/>
  <c r="G115" i="39" s="1"/>
  <c r="F116" i="39"/>
  <c r="G116" i="39" s="1"/>
  <c r="F117" i="39"/>
  <c r="G117" i="39" s="1"/>
  <c r="F118" i="39"/>
  <c r="G118" i="39" s="1"/>
  <c r="F119" i="39"/>
  <c r="G119" i="39" s="1"/>
  <c r="F120" i="39"/>
  <c r="G120" i="39" s="1"/>
  <c r="F121" i="39"/>
  <c r="G121" i="39" s="1"/>
  <c r="F122" i="39"/>
  <c r="G122" i="39" s="1"/>
  <c r="F123" i="39"/>
  <c r="G123" i="39" s="1"/>
  <c r="F124" i="39"/>
  <c r="G124" i="39" s="1"/>
  <c r="F125" i="39"/>
  <c r="G125" i="39" s="1"/>
  <c r="F126" i="39"/>
  <c r="G126" i="39" s="1"/>
  <c r="F127" i="39"/>
  <c r="G127" i="39" s="1"/>
  <c r="F128" i="39"/>
  <c r="G128" i="39" s="1"/>
  <c r="F129" i="39"/>
  <c r="G129" i="39" s="1"/>
  <c r="F130" i="39"/>
  <c r="G130" i="39" s="1"/>
  <c r="F131" i="39"/>
  <c r="G131" i="39" s="1"/>
  <c r="F132" i="39"/>
  <c r="G132" i="39" s="1"/>
  <c r="F133" i="39"/>
  <c r="G133" i="39" s="1"/>
  <c r="F134" i="39"/>
  <c r="G134" i="39" s="1"/>
  <c r="F135" i="39"/>
  <c r="G135" i="39" s="1"/>
  <c r="F136" i="39"/>
  <c r="G136" i="39" s="1"/>
  <c r="F137" i="39"/>
  <c r="G137" i="39" s="1"/>
  <c r="F138" i="39"/>
  <c r="G138" i="39" s="1"/>
  <c r="F139" i="39"/>
  <c r="G139" i="39" s="1"/>
  <c r="F140" i="39"/>
  <c r="G140" i="39" s="1"/>
  <c r="F141" i="39"/>
  <c r="G141" i="39" s="1"/>
  <c r="F148" i="39"/>
  <c r="G148" i="39" s="1"/>
  <c r="F149" i="39"/>
  <c r="G149" i="39" s="1"/>
  <c r="F150" i="39"/>
  <c r="G150" i="39" s="1"/>
  <c r="F151" i="39"/>
  <c r="G151" i="39" s="1"/>
  <c r="F152" i="39"/>
  <c r="G152" i="39" s="1"/>
  <c r="F153" i="39"/>
  <c r="G153" i="39" s="1"/>
  <c r="F154" i="39"/>
  <c r="G154" i="39" s="1"/>
  <c r="F155" i="39"/>
  <c r="G155" i="39" s="1"/>
  <c r="F156" i="39"/>
  <c r="G156" i="39" s="1"/>
  <c r="F157" i="39"/>
  <c r="G157" i="39" s="1"/>
  <c r="F158" i="39"/>
  <c r="G158" i="39" s="1"/>
  <c r="F159" i="39"/>
  <c r="G159" i="39" s="1"/>
  <c r="F160" i="39"/>
  <c r="G160" i="39" s="1"/>
  <c r="F161" i="39"/>
  <c r="G161" i="39" s="1"/>
  <c r="F162" i="39"/>
  <c r="G162" i="39" s="1"/>
  <c r="F163" i="39"/>
  <c r="G163" i="39" s="1"/>
  <c r="F164" i="39"/>
  <c r="G164" i="39" s="1"/>
  <c r="F165" i="39"/>
  <c r="G165" i="39" s="1"/>
  <c r="F166" i="39"/>
  <c r="G166" i="39" s="1"/>
  <c r="F167" i="39"/>
  <c r="G167" i="39" s="1"/>
  <c r="F168" i="39"/>
  <c r="G168" i="39" s="1"/>
  <c r="F169" i="39"/>
  <c r="G169" i="39" s="1"/>
  <c r="F170" i="39"/>
  <c r="G170" i="39" s="1"/>
  <c r="F171" i="39"/>
  <c r="G171" i="39" s="1"/>
  <c r="F172" i="39"/>
  <c r="G172" i="39" s="1"/>
  <c r="F173" i="39"/>
  <c r="G173" i="39" s="1"/>
  <c r="F174" i="39"/>
  <c r="G174" i="39" s="1"/>
  <c r="F175" i="39"/>
  <c r="G175" i="39" s="1"/>
  <c r="F176" i="39"/>
  <c r="G176" i="39" s="1"/>
  <c r="F177" i="39"/>
  <c r="G177" i="39" s="1"/>
  <c r="F178" i="39"/>
  <c r="G178" i="39" s="1"/>
  <c r="F179" i="39"/>
  <c r="G179" i="39" s="1"/>
  <c r="F180" i="39"/>
  <c r="G180" i="39" s="1"/>
  <c r="F181" i="39"/>
  <c r="G181" i="39" s="1"/>
  <c r="F182" i="39"/>
  <c r="G182" i="39" s="1"/>
  <c r="F183" i="39"/>
  <c r="G183" i="39" s="1"/>
  <c r="F184" i="39"/>
  <c r="G184" i="39" s="1"/>
  <c r="F185" i="39"/>
  <c r="G185" i="39" s="1"/>
  <c r="F186" i="39"/>
  <c r="G186" i="39" s="1"/>
  <c r="F187" i="39"/>
  <c r="G187" i="39" s="1"/>
  <c r="F188" i="39"/>
  <c r="G188" i="39" s="1"/>
  <c r="F189" i="39"/>
  <c r="G189" i="39" s="1"/>
  <c r="F190" i="39"/>
  <c r="G190" i="39" s="1"/>
  <c r="F191" i="39"/>
  <c r="G191" i="39" s="1"/>
  <c r="F192" i="39"/>
  <c r="G192" i="39" s="1"/>
  <c r="F193" i="39"/>
  <c r="G193" i="39" s="1"/>
  <c r="F194" i="39"/>
  <c r="G194" i="39" s="1"/>
  <c r="F195" i="39"/>
  <c r="G195" i="39" s="1"/>
  <c r="F196" i="39"/>
  <c r="G196" i="39" s="1"/>
  <c r="F197" i="39"/>
  <c r="G197" i="39" s="1"/>
  <c r="F198" i="39"/>
  <c r="G198" i="39" s="1"/>
  <c r="F199" i="39"/>
  <c r="G199" i="39" s="1"/>
  <c r="F200" i="39"/>
  <c r="G200" i="39" s="1"/>
  <c r="F201" i="39"/>
  <c r="G201" i="39" s="1"/>
  <c r="F202" i="39"/>
  <c r="G202" i="39" s="1"/>
  <c r="F203" i="39"/>
  <c r="G203" i="39" s="1"/>
  <c r="F204" i="39"/>
  <c r="G204" i="39" s="1"/>
  <c r="F205" i="39"/>
  <c r="G205" i="39" s="1"/>
  <c r="F206" i="39"/>
  <c r="G206" i="39" s="1"/>
  <c r="F207" i="39"/>
  <c r="G207" i="39" s="1"/>
  <c r="F208" i="39"/>
  <c r="G208" i="39" s="1"/>
  <c r="F209" i="39"/>
  <c r="G209" i="39" s="1"/>
  <c r="F210" i="39"/>
  <c r="G210" i="39" s="1"/>
  <c r="F211" i="39"/>
  <c r="G211" i="39" s="1"/>
  <c r="F212" i="39"/>
  <c r="G212" i="39" s="1"/>
  <c r="F213" i="39"/>
  <c r="G213" i="39" s="1"/>
  <c r="F214" i="39"/>
  <c r="G214" i="39" s="1"/>
  <c r="F215" i="39"/>
  <c r="G215" i="39" s="1"/>
  <c r="F216" i="39"/>
  <c r="G216" i="39" s="1"/>
  <c r="F217" i="39"/>
  <c r="G217" i="39" s="1"/>
  <c r="F218" i="39"/>
  <c r="G218" i="39" s="1"/>
  <c r="F219" i="39"/>
  <c r="G219" i="39" s="1"/>
  <c r="F220" i="39"/>
  <c r="G220" i="39" s="1"/>
  <c r="F221" i="39"/>
  <c r="G221" i="39" s="1"/>
  <c r="F222" i="39"/>
  <c r="G222" i="39" s="1"/>
  <c r="F223" i="39"/>
  <c r="G223" i="39" s="1"/>
  <c r="F224" i="39"/>
  <c r="G224" i="39" s="1"/>
  <c r="F225" i="39"/>
  <c r="G225" i="39" s="1"/>
  <c r="F226" i="39"/>
  <c r="G226" i="39" s="1"/>
  <c r="F227" i="39"/>
  <c r="G227" i="39" s="1"/>
  <c r="F228" i="39"/>
  <c r="G228" i="39" s="1"/>
  <c r="F229" i="39"/>
  <c r="G229" i="39" s="1"/>
  <c r="F230" i="39"/>
  <c r="G230" i="39" s="1"/>
  <c r="F231" i="39"/>
  <c r="G231" i="39" s="1"/>
  <c r="F232" i="39"/>
  <c r="G232" i="39" s="1"/>
  <c r="F233" i="39"/>
  <c r="G233" i="39" s="1"/>
  <c r="F234" i="39"/>
  <c r="G234" i="39" s="1"/>
  <c r="F235" i="39"/>
  <c r="G235" i="39" s="1"/>
  <c r="F236" i="39"/>
  <c r="G236" i="39" s="1"/>
  <c r="F237" i="39"/>
  <c r="G237" i="39" s="1"/>
  <c r="F238" i="39"/>
  <c r="G238" i="39" s="1"/>
  <c r="F240" i="39"/>
  <c r="G240" i="39" s="1"/>
  <c r="F241" i="39"/>
  <c r="G241" i="39" s="1"/>
  <c r="F242" i="39"/>
  <c r="G242" i="39" s="1"/>
  <c r="F243" i="39"/>
  <c r="G243" i="39" s="1"/>
  <c r="F244" i="39"/>
  <c r="G244" i="39" s="1"/>
  <c r="F245" i="39"/>
  <c r="G245" i="39" s="1"/>
  <c r="F246" i="39"/>
  <c r="G246" i="39" s="1"/>
  <c r="F247" i="39"/>
  <c r="G247" i="39" s="1"/>
  <c r="F248" i="39"/>
  <c r="G248" i="39" s="1"/>
  <c r="F249" i="39"/>
  <c r="G249" i="39" s="1"/>
  <c r="F250" i="39"/>
  <c r="G250" i="39" s="1"/>
  <c r="F251" i="39"/>
  <c r="G251" i="39" s="1"/>
  <c r="F252" i="39"/>
  <c r="G252" i="39" s="1"/>
  <c r="F253" i="39"/>
  <c r="G253" i="39" s="1"/>
  <c r="F254" i="39"/>
  <c r="G254" i="39" s="1"/>
  <c r="F255" i="39"/>
  <c r="G255" i="39" s="1"/>
  <c r="F256" i="39"/>
  <c r="G256" i="39" s="1"/>
  <c r="F257" i="39"/>
  <c r="G257" i="39" s="1"/>
  <c r="F258" i="39"/>
  <c r="G258" i="39" s="1"/>
  <c r="F259" i="39"/>
  <c r="G259" i="39" s="1"/>
  <c r="F260" i="39"/>
  <c r="G260" i="39" s="1"/>
  <c r="F261" i="39"/>
  <c r="G261" i="39" s="1"/>
  <c r="F262" i="39"/>
  <c r="G262" i="39" s="1"/>
  <c r="F263" i="39"/>
  <c r="G263" i="39" s="1"/>
  <c r="F264" i="39"/>
  <c r="G264" i="39" s="1"/>
  <c r="F265" i="39"/>
  <c r="G265" i="39" s="1"/>
  <c r="F266" i="39"/>
  <c r="G266" i="39" s="1"/>
  <c r="F267" i="39"/>
  <c r="G267" i="39" s="1"/>
  <c r="F268" i="39"/>
  <c r="G268" i="39" s="1"/>
  <c r="F269" i="39"/>
  <c r="G269" i="39" s="1"/>
  <c r="F270" i="39"/>
  <c r="G270" i="39" s="1"/>
  <c r="F271" i="39"/>
  <c r="G271" i="39" s="1"/>
  <c r="F272" i="39"/>
  <c r="G272" i="39" s="1"/>
  <c r="F273" i="39"/>
  <c r="G273" i="39" s="1"/>
  <c r="F274" i="39"/>
  <c r="G274" i="39" s="1"/>
  <c r="F275" i="39"/>
  <c r="G275" i="39" s="1"/>
  <c r="F276" i="39"/>
  <c r="G276" i="39" s="1"/>
  <c r="F277" i="39"/>
  <c r="G277" i="39" s="1"/>
  <c r="F278" i="39"/>
  <c r="G278" i="39" s="1"/>
  <c r="F279" i="39"/>
  <c r="G279" i="39" s="1"/>
  <c r="F280" i="39"/>
  <c r="G280" i="39" s="1"/>
  <c r="F281" i="39"/>
  <c r="G281" i="39" s="1"/>
  <c r="F282" i="39"/>
  <c r="G282" i="39" s="1"/>
  <c r="F283" i="39"/>
  <c r="G283" i="39" s="1"/>
  <c r="F284" i="39"/>
  <c r="G284" i="39" s="1"/>
  <c r="F285" i="39"/>
  <c r="G285" i="39" s="1"/>
  <c r="F286" i="39"/>
  <c r="G286" i="39" s="1"/>
  <c r="F287" i="39"/>
  <c r="G287" i="39" s="1"/>
  <c r="F288" i="39"/>
  <c r="G288" i="39" s="1"/>
  <c r="F289" i="39"/>
  <c r="G289" i="39" s="1"/>
  <c r="F290" i="39"/>
  <c r="G290" i="39" s="1"/>
  <c r="F291" i="39"/>
  <c r="G291" i="39" s="1"/>
  <c r="F292" i="39"/>
  <c r="G292" i="39" s="1"/>
  <c r="F293" i="39"/>
  <c r="G293" i="39" s="1"/>
  <c r="F294" i="39"/>
  <c r="G294" i="39" s="1"/>
  <c r="F295" i="39"/>
  <c r="G295" i="39" s="1"/>
  <c r="F296" i="39"/>
  <c r="G296" i="39" s="1"/>
  <c r="F297" i="39"/>
  <c r="G297" i="39" s="1"/>
  <c r="F298" i="39"/>
  <c r="G298" i="39" s="1"/>
  <c r="F299" i="39"/>
  <c r="G299" i="39" s="1"/>
  <c r="F300" i="39"/>
  <c r="G300" i="39" s="1"/>
  <c r="F301" i="39"/>
  <c r="G301" i="39" s="1"/>
  <c r="F302" i="39"/>
  <c r="G302" i="39" s="1"/>
  <c r="F303" i="39"/>
  <c r="G303" i="39" s="1"/>
  <c r="F304" i="39"/>
  <c r="G304" i="39" s="1"/>
  <c r="F305" i="39"/>
  <c r="G305" i="39" s="1"/>
  <c r="F306" i="39"/>
  <c r="G306" i="39" s="1"/>
  <c r="F307" i="39"/>
  <c r="G307" i="39" s="1"/>
  <c r="F308" i="39"/>
  <c r="G308" i="39" s="1"/>
  <c r="F309" i="39"/>
  <c r="G309" i="39" s="1"/>
  <c r="F310" i="39"/>
  <c r="G310" i="39" s="1"/>
  <c r="F311" i="39"/>
  <c r="G311" i="39" s="1"/>
  <c r="F312" i="39"/>
  <c r="G312" i="39" s="1"/>
  <c r="F313" i="39"/>
  <c r="G313" i="39" s="1"/>
  <c r="F314" i="39"/>
  <c r="G314" i="39" s="1"/>
  <c r="F315" i="39"/>
  <c r="G315" i="39" s="1"/>
  <c r="F316" i="39"/>
  <c r="G316" i="39" s="1"/>
  <c r="F317" i="39"/>
  <c r="G317" i="39" s="1"/>
  <c r="F318" i="39"/>
  <c r="G318" i="39" s="1"/>
  <c r="F319" i="39"/>
  <c r="G319" i="39" s="1"/>
  <c r="F320" i="39"/>
  <c r="G320" i="39" s="1"/>
  <c r="F321" i="39"/>
  <c r="G321" i="39" s="1"/>
  <c r="F322" i="39"/>
  <c r="G322" i="39" s="1"/>
  <c r="F323" i="39"/>
  <c r="G323" i="39" s="1"/>
  <c r="F324" i="39"/>
  <c r="G324" i="39" s="1"/>
  <c r="F325" i="39"/>
  <c r="G325" i="39" s="1"/>
  <c r="F326" i="39"/>
  <c r="G326" i="39" s="1"/>
  <c r="F327" i="39"/>
  <c r="G327" i="39" s="1"/>
  <c r="F328" i="39"/>
  <c r="G328" i="39" s="1"/>
  <c r="F329" i="39"/>
  <c r="G329" i="39" s="1"/>
  <c r="F330" i="39"/>
  <c r="G330" i="39" s="1"/>
  <c r="F331" i="39"/>
  <c r="G331" i="39" s="1"/>
  <c r="F332" i="39"/>
  <c r="G332" i="39" s="1"/>
  <c r="F333" i="39"/>
  <c r="G333" i="39" s="1"/>
  <c r="F334" i="39"/>
  <c r="G334" i="39" s="1"/>
  <c r="F335" i="39"/>
  <c r="G335" i="39" s="1"/>
  <c r="F336" i="39"/>
  <c r="G336" i="39" s="1"/>
  <c r="F337" i="39"/>
  <c r="G337" i="39" s="1"/>
  <c r="F338" i="39"/>
  <c r="G338" i="39" s="1"/>
  <c r="F339" i="39"/>
  <c r="G339" i="39" s="1"/>
  <c r="F340" i="39"/>
  <c r="G340" i="39" s="1"/>
  <c r="F341" i="39"/>
  <c r="G341" i="39" s="1"/>
  <c r="F342" i="39"/>
  <c r="G342" i="39" s="1"/>
  <c r="F343" i="39"/>
  <c r="G343" i="39" s="1"/>
  <c r="F344" i="39"/>
  <c r="G344" i="39" s="1"/>
  <c r="F345" i="39"/>
  <c r="G345" i="39" s="1"/>
  <c r="F346" i="39"/>
  <c r="G346" i="39" s="1"/>
  <c r="F347" i="39"/>
  <c r="G347" i="39" s="1"/>
  <c r="F348" i="39"/>
  <c r="G348" i="39" s="1"/>
  <c r="F349" i="39"/>
  <c r="G349" i="39" s="1"/>
  <c r="F350" i="39"/>
  <c r="G350" i="39" s="1"/>
  <c r="F351" i="39"/>
  <c r="G351" i="39" s="1"/>
  <c r="F352" i="39"/>
  <c r="G352" i="39" s="1"/>
  <c r="F353" i="39"/>
  <c r="G353" i="39" s="1"/>
  <c r="F354" i="39"/>
  <c r="G354" i="39" s="1"/>
  <c r="F355" i="39"/>
  <c r="G355" i="39" s="1"/>
  <c r="F356" i="39"/>
  <c r="G356" i="39" s="1"/>
  <c r="F357" i="39"/>
  <c r="G357" i="39" s="1"/>
  <c r="F358" i="39"/>
  <c r="G358" i="39" s="1"/>
  <c r="F359" i="39"/>
  <c r="G359" i="39" s="1"/>
  <c r="F360" i="39"/>
  <c r="G360" i="39" s="1"/>
  <c r="F361" i="39"/>
  <c r="G361" i="39" s="1"/>
  <c r="F362" i="39"/>
  <c r="G362" i="39" s="1"/>
  <c r="F363" i="39"/>
  <c r="G363" i="39" s="1"/>
  <c r="F364" i="39"/>
  <c r="G364" i="39" s="1"/>
  <c r="F365" i="39"/>
  <c r="G365" i="39" s="1"/>
  <c r="F366" i="39"/>
  <c r="G366" i="39" s="1"/>
  <c r="F367" i="39"/>
  <c r="G367" i="39" s="1"/>
  <c r="F368" i="39"/>
  <c r="G368" i="39" s="1"/>
  <c r="F369" i="39"/>
  <c r="G369" i="39" s="1"/>
  <c r="F370" i="39"/>
  <c r="G370" i="39" s="1"/>
  <c r="F371" i="39"/>
  <c r="G371" i="39" s="1"/>
  <c r="F372" i="39"/>
  <c r="G372" i="39" s="1"/>
  <c r="F373" i="39"/>
  <c r="G373" i="39" s="1"/>
  <c r="F374" i="39"/>
  <c r="G374" i="39" s="1"/>
  <c r="F375" i="39"/>
  <c r="G375" i="39" s="1"/>
  <c r="F376" i="39"/>
  <c r="G376" i="39" s="1"/>
  <c r="F377" i="39"/>
  <c r="G377" i="39" s="1"/>
  <c r="F378" i="39"/>
  <c r="G378" i="39" s="1"/>
  <c r="F379" i="39"/>
  <c r="G379" i="39" s="1"/>
  <c r="F380" i="39"/>
  <c r="G380" i="39" s="1"/>
  <c r="F381" i="39"/>
  <c r="G381" i="39" s="1"/>
  <c r="F382" i="39"/>
  <c r="G382" i="39" s="1"/>
  <c r="F383" i="39"/>
  <c r="G383" i="39" s="1"/>
  <c r="F384" i="39"/>
  <c r="G384" i="39" s="1"/>
  <c r="F385" i="39"/>
  <c r="G385" i="39" s="1"/>
  <c r="F386" i="39"/>
  <c r="G386" i="39" s="1"/>
  <c r="F387" i="39"/>
  <c r="G387" i="39" s="1"/>
  <c r="F388" i="39"/>
  <c r="G388" i="39" s="1"/>
  <c r="F389" i="39"/>
  <c r="G389" i="39" s="1"/>
  <c r="F390" i="39"/>
  <c r="G390" i="39" s="1"/>
  <c r="F391" i="39"/>
  <c r="G391" i="39" s="1"/>
  <c r="F392" i="39"/>
  <c r="G392" i="39" s="1"/>
  <c r="F393" i="39"/>
  <c r="G393" i="39" s="1"/>
  <c r="F394" i="39"/>
  <c r="G394" i="39" s="1"/>
  <c r="F395" i="39"/>
  <c r="G395" i="39" s="1"/>
  <c r="F396" i="39"/>
  <c r="G396" i="39" s="1"/>
  <c r="F397" i="39"/>
  <c r="G397" i="39" s="1"/>
  <c r="F398" i="39"/>
  <c r="G398" i="39" s="1"/>
  <c r="F399" i="39"/>
  <c r="G399" i="39" s="1"/>
  <c r="F400" i="39"/>
  <c r="G400" i="39" s="1"/>
  <c r="F401" i="39"/>
  <c r="G401" i="39" s="1"/>
  <c r="F402" i="39"/>
  <c r="G402" i="39" s="1"/>
  <c r="F403" i="39"/>
  <c r="G403" i="39" s="1"/>
  <c r="F404" i="39"/>
  <c r="G404" i="39" s="1"/>
  <c r="F405" i="39"/>
  <c r="G405" i="39" s="1"/>
  <c r="F406" i="39"/>
  <c r="G406" i="39" s="1"/>
  <c r="F407" i="39"/>
  <c r="G407" i="39" s="1"/>
  <c r="F408" i="39"/>
  <c r="G408" i="39" s="1"/>
  <c r="F409" i="39"/>
  <c r="G409" i="39" s="1"/>
  <c r="F410" i="39"/>
  <c r="G410" i="39" s="1"/>
  <c r="F411" i="39"/>
  <c r="G411" i="39" s="1"/>
  <c r="F412" i="39"/>
  <c r="G412" i="39" s="1"/>
  <c r="F413" i="39"/>
  <c r="G413" i="39" s="1"/>
  <c r="F414" i="39"/>
  <c r="G414" i="39" s="1"/>
  <c r="F415" i="39"/>
  <c r="G415" i="39" s="1"/>
  <c r="F416" i="39"/>
  <c r="G416" i="39" s="1"/>
  <c r="F417" i="39"/>
  <c r="G417" i="39" s="1"/>
  <c r="F418" i="39"/>
  <c r="G418" i="39" s="1"/>
  <c r="F419" i="39"/>
  <c r="G419" i="39" s="1"/>
  <c r="F420" i="39"/>
  <c r="G420" i="39" s="1"/>
  <c r="F421" i="39"/>
  <c r="G421" i="39" s="1"/>
  <c r="F422" i="39"/>
  <c r="G422" i="39" s="1"/>
  <c r="F423" i="39"/>
  <c r="G423" i="39" s="1"/>
  <c r="F424" i="39"/>
  <c r="G424" i="39" s="1"/>
  <c r="F425" i="39"/>
  <c r="G425" i="39" s="1"/>
  <c r="F426" i="39"/>
  <c r="G426" i="39" s="1"/>
  <c r="F427" i="39"/>
  <c r="G427" i="39" s="1"/>
  <c r="F428" i="39"/>
  <c r="G428" i="39" s="1"/>
  <c r="F429" i="39"/>
  <c r="G429" i="39" s="1"/>
  <c r="F430" i="39"/>
  <c r="G430" i="39" s="1"/>
  <c r="F431" i="39"/>
  <c r="G431" i="39" s="1"/>
  <c r="F432" i="39"/>
  <c r="G432" i="39" s="1"/>
  <c r="F433" i="39"/>
  <c r="G433" i="39" s="1"/>
  <c r="F434" i="39"/>
  <c r="G434" i="39" s="1"/>
  <c r="F435" i="39"/>
  <c r="G435" i="39" s="1"/>
  <c r="F436" i="39"/>
  <c r="G436" i="39" s="1"/>
  <c r="F437" i="39"/>
  <c r="G437" i="39" s="1"/>
  <c r="F438" i="39"/>
  <c r="G438" i="39" s="1"/>
  <c r="F439" i="39"/>
  <c r="G439" i="39" s="1"/>
  <c r="F440" i="39"/>
  <c r="G440" i="39" s="1"/>
  <c r="F441" i="39"/>
  <c r="G441" i="39" s="1"/>
  <c r="F442" i="39"/>
  <c r="G442" i="39" s="1"/>
  <c r="F443" i="39"/>
  <c r="G443" i="39" s="1"/>
  <c r="F444" i="39"/>
  <c r="G444" i="39" s="1"/>
  <c r="F445" i="39"/>
  <c r="G445" i="39" s="1"/>
  <c r="F446" i="39"/>
  <c r="G446" i="39" s="1"/>
  <c r="F447" i="39"/>
  <c r="G447" i="39" s="1"/>
  <c r="F448" i="39"/>
  <c r="G448" i="39" s="1"/>
  <c r="F449" i="39"/>
  <c r="G449" i="39" s="1"/>
  <c r="F450" i="39"/>
  <c r="G450" i="39" s="1"/>
  <c r="F451" i="39"/>
  <c r="G451" i="39" s="1"/>
  <c r="F452" i="39"/>
  <c r="G452" i="39" s="1"/>
  <c r="F453" i="39"/>
  <c r="G453" i="39" s="1"/>
  <c r="F454" i="39"/>
  <c r="G454" i="39" s="1"/>
  <c r="F455" i="39"/>
  <c r="G455" i="39" s="1"/>
  <c r="F456" i="39"/>
  <c r="G456" i="39" s="1"/>
  <c r="F457" i="39"/>
  <c r="G457" i="39" s="1"/>
  <c r="F458" i="39"/>
  <c r="G458" i="39" s="1"/>
  <c r="F459" i="39"/>
  <c r="G459" i="39" s="1"/>
  <c r="F460" i="39"/>
  <c r="G460" i="39" s="1"/>
  <c r="F461" i="39"/>
  <c r="G461" i="39" s="1"/>
  <c r="F462" i="39"/>
  <c r="G462" i="39" s="1"/>
  <c r="F463" i="39"/>
  <c r="G463" i="39" s="1"/>
  <c r="F464" i="39"/>
  <c r="G464" i="39" s="1"/>
  <c r="F465" i="39"/>
  <c r="G465" i="39" s="1"/>
  <c r="F466" i="39"/>
  <c r="G466" i="39" s="1"/>
  <c r="F467" i="39"/>
  <c r="G467" i="39" s="1"/>
  <c r="F468" i="39"/>
  <c r="G468" i="39" s="1"/>
  <c r="F469" i="39"/>
  <c r="G469" i="39" s="1"/>
  <c r="F470" i="39"/>
  <c r="G470" i="39" s="1"/>
  <c r="F471" i="39"/>
  <c r="G471" i="39" s="1"/>
  <c r="F472" i="39"/>
  <c r="G472" i="39" s="1"/>
  <c r="F473" i="39"/>
  <c r="G473" i="39" s="1"/>
  <c r="F474" i="39"/>
  <c r="G474" i="39" s="1"/>
  <c r="F475" i="39"/>
  <c r="G475" i="39" s="1"/>
  <c r="F476" i="39"/>
  <c r="G476" i="39" s="1"/>
  <c r="F477" i="39"/>
  <c r="G477" i="39" s="1"/>
  <c r="F478" i="39"/>
  <c r="G478" i="39" s="1"/>
  <c r="F2" i="39"/>
  <c r="J2" i="39" l="1"/>
  <c r="B5" i="40" s="1"/>
  <c r="H45" i="40"/>
  <c r="H44" i="40"/>
  <c r="H43" i="40"/>
  <c r="I45" i="40"/>
  <c r="I44" i="40"/>
  <c r="I43" i="40"/>
  <c r="H42" i="40"/>
  <c r="I42" i="40"/>
  <c r="K18" i="25" l="1"/>
  <c r="K19" i="25"/>
  <c r="K20" i="25"/>
  <c r="K21" i="25"/>
  <c r="E18" i="25"/>
  <c r="E19" i="25"/>
  <c r="E20" i="25"/>
  <c r="E21" i="25"/>
  <c r="L31" i="25"/>
  <c r="L31" i="15"/>
  <c r="K18" i="15"/>
  <c r="K19" i="15"/>
  <c r="K20" i="15"/>
  <c r="K21" i="15"/>
  <c r="E18" i="15"/>
  <c r="E19" i="15"/>
  <c r="E20" i="15"/>
  <c r="E21" i="15"/>
  <c r="E18" i="14"/>
  <c r="E19" i="14"/>
  <c r="E20" i="14"/>
  <c r="E21" i="14"/>
  <c r="I20" i="49"/>
  <c r="J20" i="49" s="1"/>
  <c r="I21" i="49"/>
  <c r="E18" i="49"/>
  <c r="E19" i="49"/>
  <c r="E20" i="49"/>
  <c r="E21" i="49"/>
  <c r="I18" i="54"/>
  <c r="I19" i="54"/>
  <c r="I20" i="54"/>
  <c r="I21" i="54"/>
  <c r="E18" i="54"/>
  <c r="E19" i="54"/>
  <c r="E20" i="54"/>
  <c r="E21" i="54"/>
  <c r="I19" i="51"/>
  <c r="I20" i="51"/>
  <c r="I21" i="51"/>
  <c r="E19" i="51"/>
  <c r="E20" i="51"/>
  <c r="E21" i="51"/>
  <c r="I19" i="47"/>
  <c r="I20" i="47"/>
  <c r="I21" i="47"/>
  <c r="J20" i="29"/>
  <c r="J21" i="29"/>
  <c r="F21" i="29"/>
  <c r="F18" i="50"/>
  <c r="F19" i="50"/>
  <c r="F20" i="50"/>
  <c r="F21" i="50"/>
  <c r="I18" i="9"/>
  <c r="I19" i="9"/>
  <c r="I20" i="9"/>
  <c r="I21" i="9"/>
  <c r="E18" i="9"/>
  <c r="E19" i="9"/>
  <c r="E20" i="9"/>
  <c r="E21" i="9"/>
  <c r="J19" i="8"/>
  <c r="J20" i="8"/>
  <c r="J21" i="8"/>
  <c r="F19" i="8"/>
  <c r="E19" i="8" s="1"/>
  <c r="F20" i="8"/>
  <c r="F21" i="8"/>
  <c r="J19" i="5"/>
  <c r="J20" i="5"/>
  <c r="J21" i="5"/>
  <c r="F20" i="5"/>
  <c r="F21" i="5"/>
  <c r="J20" i="2"/>
  <c r="K20" i="2" s="1"/>
  <c r="J21" i="2"/>
  <c r="K21" i="2" s="1"/>
  <c r="F20" i="2"/>
  <c r="F21" i="2"/>
  <c r="J19" i="53"/>
  <c r="J20" i="53"/>
  <c r="F19" i="53"/>
  <c r="F20" i="53"/>
  <c r="F21" i="53"/>
  <c r="J20" i="3"/>
  <c r="J21" i="3"/>
  <c r="F20" i="3"/>
  <c r="S21" i="33"/>
  <c r="S22" i="33"/>
  <c r="S23" i="33"/>
  <c r="D46" i="40" s="1"/>
  <c r="N46" i="40" s="1"/>
  <c r="R24" i="33"/>
  <c r="S24" i="33"/>
  <c r="D47" i="40" s="1"/>
  <c r="N47" i="40" s="1"/>
  <c r="D48" i="40"/>
  <c r="D49" i="40"/>
  <c r="D50" i="40"/>
  <c r="O19" i="33"/>
  <c r="P19" i="33"/>
  <c r="R19" i="33" s="1"/>
  <c r="O20" i="33"/>
  <c r="O21" i="33"/>
  <c r="P21" i="33"/>
  <c r="O22" i="33"/>
  <c r="P22" i="33"/>
  <c r="R22" i="33" s="1"/>
  <c r="R23" i="33"/>
  <c r="D19" i="33"/>
  <c r="D20" i="33"/>
  <c r="F18" i="18"/>
  <c r="E18" i="18" s="1"/>
  <c r="F19" i="18"/>
  <c r="E19" i="18" s="1"/>
  <c r="F20" i="18"/>
  <c r="E20" i="18" s="1"/>
  <c r="J21" i="9" l="1"/>
  <c r="K18" i="50"/>
  <c r="J21" i="49"/>
  <c r="K20" i="53"/>
  <c r="J18" i="9"/>
  <c r="J18" i="49"/>
  <c r="J19" i="49"/>
  <c r="K19" i="53"/>
  <c r="J19" i="9"/>
  <c r="J21" i="54"/>
  <c r="J19" i="51"/>
  <c r="K21" i="5"/>
  <c r="J20" i="54"/>
  <c r="K21" i="8"/>
  <c r="J21" i="51"/>
  <c r="J20" i="9"/>
  <c r="J21" i="47"/>
  <c r="K20" i="3"/>
  <c r="J19" i="47"/>
  <c r="J19" i="54"/>
  <c r="K21" i="3"/>
  <c r="J20" i="47"/>
  <c r="J20" i="51"/>
  <c r="K21" i="29"/>
  <c r="K20" i="8"/>
  <c r="K20" i="5"/>
  <c r="K19" i="8"/>
  <c r="K20" i="29"/>
  <c r="K19" i="5"/>
  <c r="J18" i="54"/>
  <c r="K31" i="49" l="1"/>
  <c r="M31" i="25"/>
  <c r="M31" i="15"/>
  <c r="N31" i="14" l="1"/>
  <c r="L31" i="54" l="1"/>
  <c r="K31" i="54"/>
  <c r="K34" i="54" s="1"/>
  <c r="I17" i="54"/>
  <c r="E17" i="54"/>
  <c r="I16" i="54"/>
  <c r="E16" i="54"/>
  <c r="I15" i="54"/>
  <c r="E15" i="54"/>
  <c r="I14" i="54"/>
  <c r="E14" i="54"/>
  <c r="I13" i="54"/>
  <c r="E13" i="54"/>
  <c r="D13" i="54" s="1"/>
  <c r="I12" i="54"/>
  <c r="E12" i="54"/>
  <c r="I11" i="54"/>
  <c r="E11" i="54"/>
  <c r="I10" i="54"/>
  <c r="E10" i="54"/>
  <c r="I9" i="54"/>
  <c r="E9" i="54"/>
  <c r="C9" i="54"/>
  <c r="A9" i="54"/>
  <c r="C7" i="54"/>
  <c r="C31" i="54" s="1"/>
  <c r="C6" i="54"/>
  <c r="B9" i="54" s="1"/>
  <c r="M31" i="26"/>
  <c r="L32" i="26" s="1"/>
  <c r="N31" i="25"/>
  <c r="M32" i="25" s="1"/>
  <c r="J11" i="54" l="1"/>
  <c r="J10" i="54"/>
  <c r="C10" i="54"/>
  <c r="C11" i="54" s="1"/>
  <c r="C12" i="54" s="1"/>
  <c r="C13" i="54" s="1"/>
  <c r="C14" i="54" s="1"/>
  <c r="B15" i="54" s="1"/>
  <c r="J17" i="54"/>
  <c r="J16" i="54"/>
  <c r="J15" i="54"/>
  <c r="J14" i="54"/>
  <c r="J13" i="54"/>
  <c r="J9" i="54"/>
  <c r="J12" i="54"/>
  <c r="B10" i="54"/>
  <c r="D9" i="54"/>
  <c r="M31" i="54"/>
  <c r="K33" i="54"/>
  <c r="E31" i="54"/>
  <c r="G1" i="54" s="1"/>
  <c r="B11" i="54" l="1"/>
  <c r="B14" i="54"/>
  <c r="B12" i="54"/>
  <c r="C15" i="54"/>
  <c r="C16" i="54" s="1"/>
  <c r="C17" i="54" s="1"/>
  <c r="C18" i="54" s="1"/>
  <c r="B13" i="54"/>
  <c r="D10" i="54"/>
  <c r="C19" i="54" l="1"/>
  <c r="D11" i="54"/>
  <c r="B18" i="54"/>
  <c r="B16" i="54"/>
  <c r="B17" i="54"/>
  <c r="B19" i="54"/>
  <c r="M32" i="15"/>
  <c r="O31" i="14"/>
  <c r="P31" i="14" s="1"/>
  <c r="C20" i="54" l="1"/>
  <c r="C21" i="54" s="1"/>
  <c r="C22" i="54" s="1"/>
  <c r="B20" i="54"/>
  <c r="D12" i="54"/>
  <c r="B21" i="54" l="1"/>
  <c r="B22" i="54"/>
  <c r="C23" i="54"/>
  <c r="B23" i="54"/>
  <c r="A9" i="28"/>
  <c r="A9" i="18"/>
  <c r="A9" i="26"/>
  <c r="A9" i="25"/>
  <c r="A9" i="15"/>
  <c r="A9" i="14"/>
  <c r="A9" i="49"/>
  <c r="A9" i="51"/>
  <c r="A9" i="29"/>
  <c r="A9" i="9"/>
  <c r="A9" i="8"/>
  <c r="A9" i="2"/>
  <c r="A9" i="53"/>
  <c r="D14" i="54" l="1"/>
  <c r="D15" i="54" l="1"/>
  <c r="D16" i="54" l="1"/>
  <c r="D17" i="54" l="1"/>
  <c r="J21" i="26"/>
  <c r="E21" i="26"/>
  <c r="D18" i="54" l="1"/>
  <c r="D19" i="54" l="1"/>
  <c r="D20" i="54" l="1"/>
  <c r="D21" i="54" l="1"/>
  <c r="D21" i="33"/>
  <c r="D22" i="54" l="1"/>
  <c r="L42" i="40"/>
  <c r="D23" i="54" l="1"/>
  <c r="J10" i="26" l="1"/>
  <c r="J14" i="26"/>
  <c r="J15" i="26"/>
  <c r="J16" i="26"/>
  <c r="J17" i="26"/>
  <c r="J18" i="26"/>
  <c r="J19" i="26"/>
  <c r="J20" i="26"/>
  <c r="J9" i="26"/>
  <c r="T9" i="2"/>
  <c r="K17" i="25" l="1"/>
  <c r="K16" i="25"/>
  <c r="K15" i="25"/>
  <c r="K14" i="25"/>
  <c r="K13" i="25"/>
  <c r="K12" i="25"/>
  <c r="K11" i="25"/>
  <c r="K10" i="25"/>
  <c r="K9" i="25"/>
  <c r="G1" i="52" l="1"/>
  <c r="L39" i="40" l="1"/>
  <c r="F11" i="5" l="1"/>
  <c r="F12" i="5"/>
  <c r="E12" i="5" s="1"/>
  <c r="F14" i="5"/>
  <c r="E14" i="5" s="1"/>
  <c r="F15" i="5"/>
  <c r="D17" i="33" l="1"/>
  <c r="N31" i="53" l="1"/>
  <c r="M31" i="53"/>
  <c r="L31" i="53"/>
  <c r="J18" i="53"/>
  <c r="F18" i="53"/>
  <c r="J17" i="53"/>
  <c r="F17" i="53"/>
  <c r="J16" i="53"/>
  <c r="K16" i="53" s="1"/>
  <c r="J15" i="53"/>
  <c r="K15" i="53" s="1"/>
  <c r="J12" i="53"/>
  <c r="F12" i="53"/>
  <c r="B12" i="53"/>
  <c r="J11" i="53"/>
  <c r="F11" i="53"/>
  <c r="B11" i="53"/>
  <c r="J10" i="53"/>
  <c r="F10" i="53"/>
  <c r="B10" i="53"/>
  <c r="J9" i="53"/>
  <c r="F9" i="53"/>
  <c r="E9" i="53" s="1"/>
  <c r="D9" i="53"/>
  <c r="B9" i="53"/>
  <c r="D7" i="53"/>
  <c r="D31" i="53" s="1"/>
  <c r="D6" i="53"/>
  <c r="C9" i="53" s="1"/>
  <c r="O2" i="52"/>
  <c r="O1" i="52"/>
  <c r="I1" i="52" s="1"/>
  <c r="G2" i="52"/>
  <c r="F5" i="53" l="1"/>
  <c r="D10" i="53"/>
  <c r="D11" i="53" s="1"/>
  <c r="D12" i="53" s="1"/>
  <c r="D13" i="53" s="1"/>
  <c r="K10" i="53"/>
  <c r="K9" i="53"/>
  <c r="K17" i="53"/>
  <c r="K18" i="53"/>
  <c r="K11" i="53"/>
  <c r="O31" i="53"/>
  <c r="F31" i="53"/>
  <c r="H1" i="53" s="1"/>
  <c r="K12" i="53"/>
  <c r="C10" i="53"/>
  <c r="D14" i="53" l="1"/>
  <c r="D15" i="53" s="1"/>
  <c r="D16" i="53" s="1"/>
  <c r="D17" i="53" s="1"/>
  <c r="D18" i="53" s="1"/>
  <c r="D19" i="53" s="1"/>
  <c r="D20" i="53" s="1"/>
  <c r="C14" i="53"/>
  <c r="C11" i="53"/>
  <c r="E10" i="53"/>
  <c r="C12" i="53"/>
  <c r="D21" i="53" l="1"/>
  <c r="D22" i="53" s="1"/>
  <c r="C15" i="53"/>
  <c r="C13" i="53"/>
  <c r="C22" i="53" l="1"/>
  <c r="D23" i="53"/>
  <c r="C23" i="53"/>
  <c r="C24" i="53" l="1"/>
  <c r="D24" i="53"/>
  <c r="C16" i="53"/>
  <c r="D28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0" i="35"/>
  <c r="E33" i="40"/>
  <c r="F9" i="18"/>
  <c r="F10" i="18"/>
  <c r="B9" i="3"/>
  <c r="Q32" i="40"/>
  <c r="Q31" i="40"/>
  <c r="S18" i="33"/>
  <c r="P18" i="33"/>
  <c r="R18" i="33" s="1"/>
  <c r="S17" i="33"/>
  <c r="P17" i="33"/>
  <c r="R17" i="33" s="1"/>
  <c r="S16" i="33"/>
  <c r="R16" i="33"/>
  <c r="S15" i="33"/>
  <c r="R15" i="33"/>
  <c r="S14" i="33"/>
  <c r="R14" i="33"/>
  <c r="S13" i="33"/>
  <c r="P13" i="33"/>
  <c r="R13" i="33" s="1"/>
  <c r="S12" i="33"/>
  <c r="P12" i="33"/>
  <c r="R12" i="33" s="1"/>
  <c r="S11" i="33"/>
  <c r="P11" i="33"/>
  <c r="R11" i="33" s="1"/>
  <c r="D25" i="53" l="1"/>
  <c r="C25" i="53"/>
  <c r="C17" i="53"/>
  <c r="D26" i="53" l="1"/>
  <c r="C26" i="53"/>
  <c r="C18" i="53"/>
  <c r="C19" i="53"/>
  <c r="H1" i="35"/>
  <c r="D34" i="38"/>
  <c r="C35" i="35"/>
  <c r="C35" i="38"/>
  <c r="R24" i="40"/>
  <c r="H1" i="38"/>
  <c r="D11" i="35"/>
  <c r="D34" i="35" s="1"/>
  <c r="D27" i="53" l="1"/>
  <c r="C27" i="53"/>
  <c r="B8" i="28"/>
  <c r="D28" i="53" l="1"/>
  <c r="C28" i="53"/>
  <c r="C21" i="53"/>
  <c r="C20" i="53"/>
  <c r="D9" i="5"/>
  <c r="J10" i="33" l="1"/>
  <c r="C10" i="33"/>
  <c r="C11" i="33" s="1"/>
  <c r="F9" i="28"/>
  <c r="F18" i="8"/>
  <c r="F15" i="8"/>
  <c r="F16" i="8"/>
  <c r="F17" i="8"/>
  <c r="E17" i="8" s="1"/>
  <c r="F18" i="5"/>
  <c r="F16" i="5"/>
  <c r="E16" i="5" s="1"/>
  <c r="F17" i="5"/>
  <c r="E17" i="5" s="1"/>
  <c r="B10" i="29"/>
  <c r="B11" i="29"/>
  <c r="B12" i="29"/>
  <c r="B9" i="29"/>
  <c r="B10" i="8"/>
  <c r="B11" i="8"/>
  <c r="B12" i="8"/>
  <c r="B9" i="8"/>
  <c r="B10" i="5"/>
  <c r="B11" i="5"/>
  <c r="B12" i="5"/>
  <c r="B9" i="5"/>
  <c r="L34" i="40"/>
  <c r="L35" i="40"/>
  <c r="L36" i="40"/>
  <c r="L37" i="40"/>
  <c r="L38" i="40"/>
  <c r="L40" i="40"/>
  <c r="L41" i="40"/>
  <c r="L43" i="40"/>
  <c r="L44" i="40"/>
  <c r="L33" i="40"/>
  <c r="I34" i="40"/>
  <c r="I35" i="40"/>
  <c r="I36" i="40"/>
  <c r="I37" i="40"/>
  <c r="I38" i="40"/>
  <c r="I39" i="40"/>
  <c r="I40" i="40"/>
  <c r="I41" i="40"/>
  <c r="I33" i="40"/>
  <c r="H34" i="40"/>
  <c r="H35" i="40"/>
  <c r="H36" i="40"/>
  <c r="H37" i="40"/>
  <c r="H38" i="40"/>
  <c r="H39" i="40"/>
  <c r="H40" i="40"/>
  <c r="H41" i="40"/>
  <c r="H33" i="40"/>
  <c r="B8" i="18"/>
  <c r="B10" i="2"/>
  <c r="B11" i="2"/>
  <c r="B12" i="2"/>
  <c r="B9" i="2"/>
  <c r="B10" i="3"/>
  <c r="B11" i="3"/>
  <c r="B12" i="3"/>
  <c r="J11" i="33" l="1"/>
  <c r="J12" i="33" s="1"/>
  <c r="J13" i="33" s="1"/>
  <c r="J14" i="33" s="1"/>
  <c r="J15" i="33" s="1"/>
  <c r="J16" i="33" s="1"/>
  <c r="J17" i="33" s="1"/>
  <c r="J18" i="33" s="1"/>
  <c r="K10" i="33"/>
  <c r="G35" i="40"/>
  <c r="M35" i="40" s="1"/>
  <c r="G33" i="40"/>
  <c r="M33" i="40" s="1"/>
  <c r="G38" i="40"/>
  <c r="M38" i="40" s="1"/>
  <c r="G36" i="40"/>
  <c r="M36" i="40" s="1"/>
  <c r="G45" i="40"/>
  <c r="M45" i="40" s="1"/>
  <c r="G44" i="40"/>
  <c r="M44" i="40" s="1"/>
  <c r="G43" i="40"/>
  <c r="M43" i="40" s="1"/>
  <c r="G39" i="40"/>
  <c r="M39" i="40" s="1"/>
  <c r="G42" i="40"/>
  <c r="M42" i="40" s="1"/>
  <c r="G34" i="40"/>
  <c r="M34" i="40" s="1"/>
  <c r="C12" i="33"/>
  <c r="C13" i="33" s="1"/>
  <c r="C14" i="33" s="1"/>
  <c r="C15" i="33" s="1"/>
  <c r="C16" i="33" s="1"/>
  <c r="C17" i="33" s="1"/>
  <c r="F15" i="3"/>
  <c r="E15" i="3" s="1"/>
  <c r="F9" i="3"/>
  <c r="F10" i="3"/>
  <c r="F11" i="3"/>
  <c r="G40" i="40"/>
  <c r="M40" i="40" s="1"/>
  <c r="G41" i="40"/>
  <c r="M41" i="40" s="1"/>
  <c r="F18" i="3"/>
  <c r="E18" i="3" s="1"/>
  <c r="F16" i="3"/>
  <c r="F12" i="3"/>
  <c r="E12" i="3" s="1"/>
  <c r="G37" i="40"/>
  <c r="M37" i="40" s="1"/>
  <c r="D45" i="40" l="1"/>
  <c r="N45" i="40" s="1"/>
  <c r="D44" i="40"/>
  <c r="N44" i="40" s="1"/>
  <c r="D43" i="40"/>
  <c r="N43" i="40" s="1"/>
  <c r="D42" i="40"/>
  <c r="N42" i="40" s="1"/>
  <c r="D40" i="40"/>
  <c r="N40" i="40" s="1"/>
  <c r="D41" i="40"/>
  <c r="N41" i="40" s="1"/>
  <c r="J19" i="33"/>
  <c r="J20" i="33" s="1"/>
  <c r="J21" i="33" s="1"/>
  <c r="J22" i="33" s="1"/>
  <c r="D38" i="40"/>
  <c r="N38" i="40" s="1"/>
  <c r="D37" i="40"/>
  <c r="N37" i="40" s="1"/>
  <c r="D35" i="40"/>
  <c r="N35" i="40" s="1"/>
  <c r="D33" i="40"/>
  <c r="N33" i="40" s="1"/>
  <c r="D36" i="40"/>
  <c r="N36" i="40" s="1"/>
  <c r="D39" i="40"/>
  <c r="N39" i="40" s="1"/>
  <c r="D34" i="40"/>
  <c r="N34" i="40" s="1"/>
  <c r="C18" i="33"/>
  <c r="F27" i="3"/>
  <c r="C51" i="40" l="1"/>
  <c r="C52" i="40"/>
  <c r="C50" i="40"/>
  <c r="C49" i="40"/>
  <c r="C48" i="40"/>
  <c r="P46" i="40"/>
  <c r="P47" i="40"/>
  <c r="P45" i="40"/>
  <c r="P44" i="40"/>
  <c r="P43" i="40"/>
  <c r="P42" i="40"/>
  <c r="P41" i="40"/>
  <c r="P40" i="40"/>
  <c r="P38" i="40"/>
  <c r="P39" i="40"/>
  <c r="P37" i="40"/>
  <c r="P36" i="40"/>
  <c r="P35" i="40"/>
  <c r="C47" i="40"/>
  <c r="C45" i="40"/>
  <c r="C19" i="33"/>
  <c r="C20" i="33" s="1"/>
  <c r="C21" i="33" s="1"/>
  <c r="C22" i="33" s="1"/>
  <c r="C23" i="33" s="1"/>
  <c r="C24" i="33" s="1"/>
  <c r="P34" i="40"/>
  <c r="C33" i="40"/>
  <c r="C38" i="40"/>
  <c r="C39" i="40"/>
  <c r="C41" i="40"/>
  <c r="C43" i="40"/>
  <c r="C37" i="40"/>
  <c r="C36" i="40"/>
  <c r="C35" i="40"/>
  <c r="C42" i="40"/>
  <c r="C44" i="40"/>
  <c r="C46" i="40"/>
  <c r="C40" i="40"/>
  <c r="C34" i="40"/>
  <c r="D11" i="33" l="1"/>
  <c r="D12" i="33"/>
  <c r="D13" i="33"/>
  <c r="D15" i="33"/>
  <c r="D16" i="33"/>
  <c r="D18" i="33"/>
  <c r="D10" i="33" l="1"/>
  <c r="D9" i="19" l="1"/>
  <c r="D10" i="19" s="1"/>
  <c r="D11" i="19" s="1"/>
  <c r="D14" i="19" s="1"/>
  <c r="D15" i="19" s="1"/>
  <c r="D16" i="19" s="1"/>
  <c r="D17" i="19" s="1"/>
  <c r="D18" i="19" s="1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K11" i="15" l="1"/>
  <c r="K12" i="15"/>
  <c r="K13" i="15"/>
  <c r="K14" i="15"/>
  <c r="K15" i="15"/>
  <c r="K16" i="15"/>
  <c r="K17" i="15"/>
  <c r="K10" i="15"/>
  <c r="K9" i="15"/>
  <c r="J9" i="29" l="1"/>
  <c r="J10" i="29"/>
  <c r="J11" i="29"/>
  <c r="J12" i="29"/>
  <c r="J14" i="29"/>
  <c r="J15" i="29"/>
  <c r="J16" i="29"/>
  <c r="J18" i="29"/>
  <c r="J19" i="29"/>
  <c r="I16" i="47" l="1"/>
  <c r="O16" i="33" l="1"/>
  <c r="O18" i="33"/>
  <c r="O10" i="33"/>
  <c r="O11" i="33"/>
  <c r="O12" i="33"/>
  <c r="O13" i="33"/>
  <c r="O14" i="33"/>
  <c r="O15" i="33"/>
  <c r="C6" i="9" l="1"/>
  <c r="F11" i="18" l="1"/>
  <c r="F12" i="18"/>
  <c r="E12" i="18" s="1"/>
  <c r="F31" i="18" l="1"/>
  <c r="E9" i="18"/>
  <c r="AA12" i="30"/>
  <c r="E10" i="18" l="1"/>
  <c r="E11" i="18" l="1"/>
  <c r="C9" i="3"/>
  <c r="D6" i="2"/>
  <c r="L5" i="2" l="1"/>
  <c r="L4" i="3"/>
  <c r="M5" i="3" s="1"/>
  <c r="E32" i="10" l="1"/>
  <c r="I11" i="47" l="1"/>
  <c r="I9" i="9" l="1"/>
  <c r="D7" i="3" l="1"/>
  <c r="F19" i="29" l="1"/>
  <c r="K19" i="29" l="1"/>
  <c r="E18" i="10"/>
  <c r="J19" i="2" l="1"/>
  <c r="I9" i="51" l="1"/>
  <c r="I10" i="51"/>
  <c r="I11" i="51"/>
  <c r="I12" i="51"/>
  <c r="I14" i="51"/>
  <c r="J14" i="51" s="1"/>
  <c r="I15" i="51"/>
  <c r="I16" i="51"/>
  <c r="I17" i="51"/>
  <c r="I18" i="51"/>
  <c r="L31" i="51"/>
  <c r="K31" i="51"/>
  <c r="K34" i="51" s="1"/>
  <c r="E18" i="51"/>
  <c r="E17" i="51"/>
  <c r="E16" i="51"/>
  <c r="E15" i="51"/>
  <c r="E12" i="51"/>
  <c r="E11" i="51"/>
  <c r="E10" i="51"/>
  <c r="C9" i="51"/>
  <c r="C7" i="51"/>
  <c r="C31" i="51" s="1"/>
  <c r="C6" i="51"/>
  <c r="B9" i="51" s="1"/>
  <c r="B11" i="24"/>
  <c r="B13" i="24" s="1"/>
  <c r="I21" i="45"/>
  <c r="I20" i="45"/>
  <c r="I19" i="45"/>
  <c r="I18" i="45"/>
  <c r="I13" i="45"/>
  <c r="I12" i="45"/>
  <c r="I11" i="45"/>
  <c r="I10" i="45"/>
  <c r="I9" i="45"/>
  <c r="I8" i="45"/>
  <c r="I7" i="45"/>
  <c r="K6" i="45"/>
  <c r="I6" i="45"/>
  <c r="I5" i="45"/>
  <c r="K33" i="51" l="1"/>
  <c r="C10" i="51"/>
  <c r="C11" i="51" s="1"/>
  <c r="C12" i="51" s="1"/>
  <c r="C13" i="51" s="1"/>
  <c r="J10" i="51"/>
  <c r="J18" i="51"/>
  <c r="J17" i="51"/>
  <c r="J16" i="51"/>
  <c r="J15" i="51"/>
  <c r="J12" i="51"/>
  <c r="J11" i="51"/>
  <c r="M31" i="51"/>
  <c r="B10" i="51"/>
  <c r="N32" i="50"/>
  <c r="M32" i="50"/>
  <c r="L32" i="50"/>
  <c r="J21" i="50"/>
  <c r="K21" i="50" s="1"/>
  <c r="J20" i="50"/>
  <c r="K20" i="50" s="1"/>
  <c r="J19" i="50"/>
  <c r="K19" i="50" s="1"/>
  <c r="J17" i="50"/>
  <c r="F17" i="50"/>
  <c r="J16" i="50"/>
  <c r="F16" i="50"/>
  <c r="J15" i="50"/>
  <c r="F15" i="50"/>
  <c r="J14" i="50"/>
  <c r="F14" i="50"/>
  <c r="J13" i="50"/>
  <c r="F13" i="50"/>
  <c r="J12" i="50"/>
  <c r="F12" i="50"/>
  <c r="J11" i="50"/>
  <c r="F11" i="50"/>
  <c r="J10" i="50"/>
  <c r="F10" i="50"/>
  <c r="J9" i="50"/>
  <c r="F9" i="50"/>
  <c r="D9" i="50"/>
  <c r="D32" i="50"/>
  <c r="C9" i="50"/>
  <c r="C10" i="50" l="1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M4" i="50"/>
  <c r="N5" i="50" s="1"/>
  <c r="B14" i="51"/>
  <c r="C14" i="51"/>
  <c r="B13" i="51"/>
  <c r="D10" i="50"/>
  <c r="D11" i="50" s="1"/>
  <c r="D12" i="50" s="1"/>
  <c r="D13" i="50" s="1"/>
  <c r="D14" i="50" s="1"/>
  <c r="B11" i="51"/>
  <c r="B12" i="51"/>
  <c r="F32" i="50"/>
  <c r="H1" i="50" s="1"/>
  <c r="K17" i="50"/>
  <c r="K16" i="50"/>
  <c r="K15" i="50"/>
  <c r="K14" i="50"/>
  <c r="K13" i="50"/>
  <c r="K12" i="50"/>
  <c r="K11" i="50"/>
  <c r="K10" i="50"/>
  <c r="K9" i="50"/>
  <c r="O32" i="50"/>
  <c r="E9" i="50"/>
  <c r="D15" i="50" l="1"/>
  <c r="C15" i="51"/>
  <c r="B15" i="51"/>
  <c r="E10" i="50"/>
  <c r="E11" i="50" s="1"/>
  <c r="E12" i="50" s="1"/>
  <c r="E13" i="50" s="1"/>
  <c r="E14" i="50" s="1"/>
  <c r="E15" i="50" s="1"/>
  <c r="E16" i="50" s="1"/>
  <c r="E17" i="50" s="1"/>
  <c r="E18" i="50" s="1"/>
  <c r="E19" i="50" s="1"/>
  <c r="D16" i="50" l="1"/>
  <c r="C16" i="51"/>
  <c r="B16" i="51"/>
  <c r="D17" i="50" l="1"/>
  <c r="C17" i="51"/>
  <c r="B17" i="51"/>
  <c r="T31" i="5"/>
  <c r="D18" i="50" l="1"/>
  <c r="C18" i="51"/>
  <c r="B18" i="51"/>
  <c r="D19" i="50" l="1"/>
  <c r="C19" i="51"/>
  <c r="B19" i="51"/>
  <c r="J11" i="5"/>
  <c r="J12" i="5"/>
  <c r="J14" i="5"/>
  <c r="J15" i="5"/>
  <c r="K15" i="5" s="1"/>
  <c r="J16" i="5"/>
  <c r="K16" i="5" s="1"/>
  <c r="J17" i="5"/>
  <c r="J18" i="5"/>
  <c r="J10" i="8"/>
  <c r="J11" i="8"/>
  <c r="J12" i="8"/>
  <c r="J15" i="8"/>
  <c r="J16" i="8"/>
  <c r="J17" i="8"/>
  <c r="J18" i="8"/>
  <c r="I15" i="47"/>
  <c r="I17" i="47"/>
  <c r="I18" i="47"/>
  <c r="D20" i="50" l="1"/>
  <c r="D21" i="50" s="1"/>
  <c r="D22" i="50" s="1"/>
  <c r="D23" i="50" s="1"/>
  <c r="F5" i="50" s="1"/>
  <c r="C20" i="51"/>
  <c r="B20" i="51"/>
  <c r="J31" i="5"/>
  <c r="K31" i="47"/>
  <c r="M31" i="47"/>
  <c r="L31" i="47"/>
  <c r="I9" i="47"/>
  <c r="K33" i="47" l="1"/>
  <c r="C21" i="51"/>
  <c r="B21" i="51"/>
  <c r="K34" i="47"/>
  <c r="O31" i="5"/>
  <c r="P31" i="8"/>
  <c r="Q31" i="8"/>
  <c r="C22" i="51" l="1"/>
  <c r="B22" i="51"/>
  <c r="E17" i="26"/>
  <c r="C23" i="51" l="1"/>
  <c r="E5" i="51" s="1"/>
  <c r="B23" i="51"/>
  <c r="B2" i="40"/>
  <c r="B35" i="35" l="1"/>
  <c r="E14" i="9"/>
  <c r="I10" i="49" l="1"/>
  <c r="I11" i="49"/>
  <c r="I13" i="49"/>
  <c r="I14" i="49"/>
  <c r="I15" i="49"/>
  <c r="I16" i="49"/>
  <c r="I17" i="49"/>
  <c r="F19" i="2" l="1"/>
  <c r="F18" i="2"/>
  <c r="F16" i="2"/>
  <c r="F15" i="2"/>
  <c r="F14" i="2"/>
  <c r="F12" i="2"/>
  <c r="F11" i="2"/>
  <c r="F10" i="2"/>
  <c r="F9" i="2"/>
  <c r="F27" i="2" l="1"/>
  <c r="B1" i="45"/>
  <c r="C7" i="38"/>
  <c r="C6" i="38"/>
  <c r="B35" i="38" s="1"/>
  <c r="C7" i="35"/>
  <c r="H2" i="35" s="1"/>
  <c r="C6" i="35"/>
  <c r="B3" i="40"/>
  <c r="B6" i="40" s="1"/>
  <c r="B11" i="40" s="1"/>
  <c r="F19" i="45" l="1"/>
  <c r="J19" i="45" s="1"/>
  <c r="F10" i="45"/>
  <c r="J10" i="45" s="1"/>
  <c r="F8" i="45"/>
  <c r="J8" i="45" s="1"/>
  <c r="F20" i="45"/>
  <c r="J20" i="45" s="1"/>
  <c r="F11" i="45"/>
  <c r="J11" i="45" s="1"/>
  <c r="F7" i="45"/>
  <c r="J7" i="45" s="1"/>
  <c r="F9" i="45"/>
  <c r="J9" i="45" s="1"/>
  <c r="F21" i="45"/>
  <c r="J21" i="45" s="1"/>
  <c r="F12" i="45"/>
  <c r="J12" i="45" s="1"/>
  <c r="F18" i="45"/>
  <c r="J18" i="45" s="1"/>
  <c r="F13" i="45"/>
  <c r="J13" i="45" s="1"/>
  <c r="F6" i="45"/>
  <c r="J6" i="45" s="1"/>
  <c r="F5" i="45"/>
  <c r="J5" i="45" s="1"/>
  <c r="H2" i="38"/>
  <c r="E6" i="28"/>
  <c r="E5" i="28" s="1"/>
  <c r="E7" i="18"/>
  <c r="E6" i="18"/>
  <c r="E5" i="18" s="1"/>
  <c r="C7" i="26"/>
  <c r="C6" i="26"/>
  <c r="B9" i="26" s="1"/>
  <c r="C7" i="25"/>
  <c r="C6" i="25"/>
  <c r="B9" i="25" s="1"/>
  <c r="C7" i="15"/>
  <c r="C31" i="15" s="1"/>
  <c r="C6" i="15"/>
  <c r="C7" i="14"/>
  <c r="C6" i="14"/>
  <c r="D7" i="29"/>
  <c r="D31" i="29" s="1"/>
  <c r="D6" i="29"/>
  <c r="C7" i="9"/>
  <c r="C7" i="49"/>
  <c r="C6" i="49"/>
  <c r="C7" i="47"/>
  <c r="C6" i="47"/>
  <c r="L5" i="29" l="1"/>
  <c r="B22" i="18"/>
  <c r="B23" i="18"/>
  <c r="B22" i="28"/>
  <c r="B23" i="28"/>
  <c r="D33" i="28"/>
  <c r="B17" i="18"/>
  <c r="B18" i="18"/>
  <c r="B16" i="18"/>
  <c r="B19" i="18"/>
  <c r="B20" i="18"/>
  <c r="B21" i="18"/>
  <c r="B15" i="18"/>
  <c r="B18" i="28"/>
  <c r="B19" i="28"/>
  <c r="B20" i="28"/>
  <c r="B21" i="28"/>
  <c r="B17" i="28"/>
  <c r="D31" i="18"/>
  <c r="B10" i="18"/>
  <c r="B9" i="18"/>
  <c r="B11" i="18"/>
  <c r="B13" i="18"/>
  <c r="B14" i="18"/>
  <c r="B12" i="18"/>
  <c r="C7" i="10"/>
  <c r="C6" i="10"/>
  <c r="B9" i="10" s="1"/>
  <c r="B10" i="10" s="1"/>
  <c r="C7" i="8"/>
  <c r="C6" i="8"/>
  <c r="D7" i="5"/>
  <c r="D6" i="5"/>
  <c r="D7" i="2"/>
  <c r="L5" i="5" l="1"/>
  <c r="L5" i="8"/>
  <c r="I9" i="49"/>
  <c r="E17" i="49"/>
  <c r="E15" i="49"/>
  <c r="E14" i="49"/>
  <c r="E13" i="49"/>
  <c r="E12" i="49"/>
  <c r="E11" i="49"/>
  <c r="E10" i="49"/>
  <c r="E9" i="49"/>
  <c r="D9" i="49" s="1"/>
  <c r="J15" i="49" l="1"/>
  <c r="J14" i="49"/>
  <c r="J12" i="49"/>
  <c r="J11" i="49"/>
  <c r="L31" i="49"/>
  <c r="M31" i="49" s="1"/>
  <c r="C9" i="49"/>
  <c r="C10" i="49" l="1"/>
  <c r="D10" i="49"/>
  <c r="C31" i="49"/>
  <c r="J10" i="49"/>
  <c r="J16" i="49"/>
  <c r="E31" i="49"/>
  <c r="J13" i="49"/>
  <c r="J17" i="49"/>
  <c r="B9" i="49"/>
  <c r="J9" i="49"/>
  <c r="C11" i="49" l="1"/>
  <c r="D11" i="49"/>
  <c r="G1" i="49"/>
  <c r="B11" i="49"/>
  <c r="B10" i="49"/>
  <c r="D12" i="49" l="1"/>
  <c r="D13" i="49" s="1"/>
  <c r="C12" i="49"/>
  <c r="B13" i="49" s="1"/>
  <c r="B12" i="49"/>
  <c r="D14" i="49" l="1"/>
  <c r="C13" i="49"/>
  <c r="D15" i="49" l="1"/>
  <c r="D16" i="49" s="1"/>
  <c r="C14" i="49"/>
  <c r="B14" i="49"/>
  <c r="J9" i="3"/>
  <c r="C15" i="49" l="1"/>
  <c r="B15" i="49"/>
  <c r="E11" i="47"/>
  <c r="E9" i="47"/>
  <c r="D9" i="47" s="1"/>
  <c r="C9" i="47"/>
  <c r="C31" i="47"/>
  <c r="B9" i="47"/>
  <c r="C10" i="47" l="1"/>
  <c r="C16" i="49"/>
  <c r="B16" i="49"/>
  <c r="D10" i="47"/>
  <c r="B10" i="47"/>
  <c r="C11" i="47"/>
  <c r="J15" i="47"/>
  <c r="J17" i="47"/>
  <c r="J16" i="47"/>
  <c r="J11" i="47"/>
  <c r="J9" i="47"/>
  <c r="J18" i="47"/>
  <c r="E31" i="47"/>
  <c r="G1" i="47" s="1"/>
  <c r="B17" i="49" l="1"/>
  <c r="C17" i="49"/>
  <c r="C12" i="47"/>
  <c r="B13" i="47" s="1"/>
  <c r="B12" i="47"/>
  <c r="D17" i="49"/>
  <c r="D11" i="47"/>
  <c r="B11" i="47"/>
  <c r="C18" i="49" l="1"/>
  <c r="B18" i="49"/>
  <c r="D12" i="47"/>
  <c r="C13" i="47"/>
  <c r="D18" i="49"/>
  <c r="F11" i="29"/>
  <c r="F12" i="29"/>
  <c r="F14" i="29"/>
  <c r="F15" i="29"/>
  <c r="F16" i="29"/>
  <c r="F18" i="29"/>
  <c r="F10" i="29"/>
  <c r="F9" i="29"/>
  <c r="K9" i="29" s="1"/>
  <c r="B19" i="49" l="1"/>
  <c r="C19" i="49"/>
  <c r="C14" i="47"/>
  <c r="B14" i="47"/>
  <c r="D13" i="47"/>
  <c r="D19" i="49"/>
  <c r="K14" i="29"/>
  <c r="K12" i="29"/>
  <c r="K11" i="29"/>
  <c r="K10" i="29"/>
  <c r="K18" i="29"/>
  <c r="K16" i="29"/>
  <c r="K15" i="29"/>
  <c r="AF18" i="24"/>
  <c r="C20" i="49" l="1"/>
  <c r="B20" i="49"/>
  <c r="B15" i="47"/>
  <c r="C15" i="47"/>
  <c r="D14" i="47"/>
  <c r="D20" i="49"/>
  <c r="Q31" i="25"/>
  <c r="O31" i="15"/>
  <c r="N25" i="40" s="1"/>
  <c r="M31" i="14"/>
  <c r="N24" i="40" s="1"/>
  <c r="B21" i="49" l="1"/>
  <c r="C21" i="49"/>
  <c r="B16" i="47"/>
  <c r="C16" i="47"/>
  <c r="D15" i="47"/>
  <c r="D21" i="49"/>
  <c r="T31" i="8"/>
  <c r="C22" i="49" l="1"/>
  <c r="B22" i="49"/>
  <c r="D22" i="49"/>
  <c r="B17" i="47"/>
  <c r="C17" i="47"/>
  <c r="D16" i="47"/>
  <c r="E13" i="14"/>
  <c r="E14" i="14"/>
  <c r="E15" i="14"/>
  <c r="E16" i="14"/>
  <c r="E17" i="14"/>
  <c r="B23" i="49" l="1"/>
  <c r="C23" i="49"/>
  <c r="E5" i="49" s="1"/>
  <c r="D23" i="49"/>
  <c r="B18" i="47"/>
  <c r="C18" i="47"/>
  <c r="D17" i="47"/>
  <c r="M31" i="29"/>
  <c r="N31" i="29"/>
  <c r="L31" i="29"/>
  <c r="L31" i="9"/>
  <c r="M31" i="9"/>
  <c r="K31" i="9"/>
  <c r="M31" i="8"/>
  <c r="N31" i="8"/>
  <c r="O31" i="8"/>
  <c r="R31" i="8"/>
  <c r="L31" i="8"/>
  <c r="M31" i="5"/>
  <c r="N31" i="5"/>
  <c r="P31" i="5"/>
  <c r="R31" i="5"/>
  <c r="S31" i="5"/>
  <c r="L31" i="5"/>
  <c r="M27" i="3"/>
  <c r="N27" i="3"/>
  <c r="L27" i="3"/>
  <c r="M27" i="2"/>
  <c r="N27" i="2"/>
  <c r="L27" i="2"/>
  <c r="B19" i="47" l="1"/>
  <c r="C19" i="47"/>
  <c r="D18" i="47"/>
  <c r="N34" i="5"/>
  <c r="N33" i="8"/>
  <c r="N33" i="5"/>
  <c r="O27" i="2"/>
  <c r="N34" i="8"/>
  <c r="O27" i="3"/>
  <c r="N31" i="9"/>
  <c r="R27" i="40" l="1"/>
  <c r="B20" i="47"/>
  <c r="C20" i="47"/>
  <c r="D19" i="47"/>
  <c r="R26" i="40"/>
  <c r="N6" i="40"/>
  <c r="R28" i="40" l="1"/>
  <c r="S27" i="40"/>
  <c r="B21" i="47"/>
  <c r="C21" i="47"/>
  <c r="D20" i="47"/>
  <c r="D21" i="47"/>
  <c r="D22" i="47" l="1"/>
  <c r="B22" i="47"/>
  <c r="C22" i="47"/>
  <c r="D23" i="47" l="1"/>
  <c r="B23" i="47"/>
  <c r="C23" i="47"/>
  <c r="J26" i="40"/>
  <c r="I26" i="40"/>
  <c r="C24" i="47" l="1"/>
  <c r="E5" i="47" s="1"/>
  <c r="B24" i="47"/>
  <c r="U2" i="40"/>
  <c r="G26" i="40" l="1"/>
  <c r="H26" i="40"/>
  <c r="U4" i="40" l="1"/>
  <c r="G2" i="39" l="1"/>
  <c r="L2" i="39" l="1"/>
  <c r="B8" i="40" l="1"/>
  <c r="P19" i="40"/>
  <c r="P17" i="40" l="1"/>
  <c r="P18" i="40" l="1"/>
  <c r="U3" i="40"/>
  <c r="U6" i="40" s="1"/>
  <c r="F26" i="40" l="1"/>
  <c r="E26" i="40"/>
  <c r="O15" i="40" l="1"/>
  <c r="O17" i="40" s="1"/>
  <c r="O18" i="40" s="1"/>
  <c r="O19" i="40" l="1"/>
  <c r="E22" i="10" l="1"/>
  <c r="E23" i="10"/>
  <c r="L23" i="10" l="1"/>
  <c r="L22" i="10"/>
  <c r="S26" i="40"/>
  <c r="K2" i="39"/>
  <c r="O4" i="40" s="1"/>
  <c r="P4" i="40" l="1"/>
  <c r="E9" i="15" l="1"/>
  <c r="S11" i="40" l="1"/>
  <c r="H11" i="43" l="1"/>
  <c r="B9" i="40" l="1"/>
  <c r="O6" i="40"/>
  <c r="P6" i="40" s="1"/>
  <c r="AC13" i="24" l="1"/>
  <c r="C11" i="24" l="1"/>
  <c r="D11" i="24" l="1"/>
  <c r="E11" i="24" l="1"/>
  <c r="E13" i="24" l="1"/>
  <c r="F11" i="24"/>
  <c r="G11" i="24" s="1"/>
  <c r="H11" i="24" s="1"/>
  <c r="I11" i="24" s="1"/>
  <c r="J11" i="24" s="1"/>
  <c r="K11" i="24" s="1"/>
  <c r="L11" i="24" l="1"/>
  <c r="K13" i="24"/>
  <c r="AE6" i="24"/>
  <c r="M11" i="24" l="1"/>
  <c r="L13" i="24"/>
  <c r="AC14" i="24"/>
  <c r="N11" i="24" l="1"/>
  <c r="M13" i="24"/>
  <c r="AC10" i="30"/>
  <c r="O11" i="24" l="1"/>
  <c r="N13" i="24"/>
  <c r="E17" i="10"/>
  <c r="L18" i="10"/>
  <c r="E19" i="10"/>
  <c r="E20" i="10"/>
  <c r="E21" i="10"/>
  <c r="O13" i="24" l="1"/>
  <c r="P11" i="24"/>
  <c r="L21" i="10"/>
  <c r="L19" i="10"/>
  <c r="L17" i="10"/>
  <c r="L20" i="10"/>
  <c r="P13" i="24" l="1"/>
  <c r="Q11" i="24"/>
  <c r="R11" i="24" s="1"/>
  <c r="AC11" i="30"/>
  <c r="S11" i="24" l="1"/>
  <c r="T11" i="24" s="1"/>
  <c r="U11" i="24" s="1"/>
  <c r="R13" i="24"/>
  <c r="V11" i="24" l="1"/>
  <c r="U13" i="24"/>
  <c r="C5" i="19"/>
  <c r="W11" i="24" l="1"/>
  <c r="X11" i="24" s="1"/>
  <c r="V13" i="24"/>
  <c r="P21" i="40"/>
  <c r="AE12" i="30"/>
  <c r="Y11" i="24" l="1"/>
  <c r="X13" i="24"/>
  <c r="AC2" i="30"/>
  <c r="Z11" i="24" l="1"/>
  <c r="Y13" i="24"/>
  <c r="I17" i="9"/>
  <c r="I16" i="9"/>
  <c r="I15" i="9"/>
  <c r="I14" i="9"/>
  <c r="I13" i="9"/>
  <c r="J13" i="9" s="1"/>
  <c r="I12" i="9"/>
  <c r="I11" i="9"/>
  <c r="I10" i="9"/>
  <c r="Z13" i="24" l="1"/>
  <c r="AA11" i="24"/>
  <c r="AA13" i="24" s="1"/>
  <c r="AC9" i="30"/>
  <c r="AD9" i="30" l="1"/>
  <c r="E18" i="26" l="1"/>
  <c r="AD10" i="30" l="1"/>
  <c r="AA53" i="30" l="1"/>
  <c r="AA52" i="30"/>
  <c r="AA51" i="30"/>
  <c r="AC8" i="30"/>
  <c r="AC7" i="30"/>
  <c r="AE4" i="30" s="1"/>
  <c r="AD5" i="30" l="1"/>
  <c r="AE5" i="30" s="1"/>
  <c r="C9" i="5" l="1"/>
  <c r="L4" i="5" l="1"/>
  <c r="M5" i="5" s="1"/>
  <c r="B10" i="28"/>
  <c r="B9" i="28"/>
  <c r="B15" i="28"/>
  <c r="B11" i="28"/>
  <c r="B12" i="28"/>
  <c r="B13" i="28"/>
  <c r="B14" i="28"/>
  <c r="B16" i="28"/>
  <c r="D9" i="18"/>
  <c r="D9" i="28"/>
  <c r="D10" i="28" l="1"/>
  <c r="D10" i="18"/>
  <c r="D9" i="29"/>
  <c r="C9" i="29"/>
  <c r="L4" i="29" l="1"/>
  <c r="M5" i="29" s="1"/>
  <c r="D10" i="29"/>
  <c r="D11" i="28"/>
  <c r="D11" i="18"/>
  <c r="E9" i="29"/>
  <c r="F31" i="29"/>
  <c r="H1" i="29" s="1"/>
  <c r="C10" i="29"/>
  <c r="D11" i="29" l="1"/>
  <c r="D12" i="29" s="1"/>
  <c r="D13" i="29" s="1"/>
  <c r="D14" i="29" s="1"/>
  <c r="D15" i="29" s="1"/>
  <c r="C11" i="29"/>
  <c r="D12" i="28"/>
  <c r="E10" i="29"/>
  <c r="D12" i="18"/>
  <c r="E9" i="25"/>
  <c r="C13" i="29" l="1"/>
  <c r="C15" i="29"/>
  <c r="C14" i="29"/>
  <c r="E11" i="29"/>
  <c r="C12" i="29"/>
  <c r="D16" i="29"/>
  <c r="C17" i="29" s="1"/>
  <c r="C16" i="29"/>
  <c r="D13" i="28"/>
  <c r="D13" i="18"/>
  <c r="E12" i="29" l="1"/>
  <c r="E13" i="29"/>
  <c r="D17" i="29"/>
  <c r="C18" i="29" s="1"/>
  <c r="D14" i="28"/>
  <c r="D14" i="18"/>
  <c r="AC10" i="24"/>
  <c r="E14" i="29" l="1"/>
  <c r="D18" i="29"/>
  <c r="D15" i="28"/>
  <c r="D15" i="18"/>
  <c r="AC15" i="24"/>
  <c r="R11" i="40"/>
  <c r="C33" i="10"/>
  <c r="C19" i="29" l="1"/>
  <c r="E15" i="29"/>
  <c r="D19" i="29"/>
  <c r="D20" i="29" s="1"/>
  <c r="D21" i="29" s="1"/>
  <c r="D16" i="28"/>
  <c r="D16" i="18"/>
  <c r="G33" i="28"/>
  <c r="H1" i="28" s="1"/>
  <c r="E33" i="19"/>
  <c r="C33" i="19"/>
  <c r="C32" i="27"/>
  <c r="C31" i="25"/>
  <c r="C31" i="9"/>
  <c r="D31" i="8"/>
  <c r="D31" i="5"/>
  <c r="D27" i="3"/>
  <c r="H1" i="3" s="1"/>
  <c r="E16" i="29" l="1"/>
  <c r="E17" i="29" s="1"/>
  <c r="C21" i="29"/>
  <c r="C20" i="29"/>
  <c r="D17" i="28"/>
  <c r="D22" i="29"/>
  <c r="C22" i="29"/>
  <c r="D17" i="18"/>
  <c r="G1" i="19"/>
  <c r="G1" i="27"/>
  <c r="I1" i="18"/>
  <c r="E18" i="29" l="1"/>
  <c r="E19" i="29"/>
  <c r="D18" i="28"/>
  <c r="D23" i="29"/>
  <c r="C23" i="29"/>
  <c r="D18" i="18"/>
  <c r="D9" i="25"/>
  <c r="E20" i="29" l="1"/>
  <c r="D19" i="28"/>
  <c r="D19" i="18"/>
  <c r="D27" i="2"/>
  <c r="C31" i="26"/>
  <c r="E9" i="14"/>
  <c r="E10" i="14"/>
  <c r="E11" i="14"/>
  <c r="E21" i="29" l="1"/>
  <c r="D20" i="28"/>
  <c r="D20" i="18"/>
  <c r="C31" i="14"/>
  <c r="D9" i="14"/>
  <c r="E22" i="29" l="1"/>
  <c r="E23" i="29" s="1"/>
  <c r="F5" i="29"/>
  <c r="D21" i="28"/>
  <c r="D21" i="18"/>
  <c r="D10" i="14"/>
  <c r="E12" i="9"/>
  <c r="E13" i="9"/>
  <c r="E15" i="9"/>
  <c r="E16" i="9"/>
  <c r="E17" i="9"/>
  <c r="D22" i="28" l="1"/>
  <c r="D22" i="18"/>
  <c r="D11" i="14"/>
  <c r="J17" i="9"/>
  <c r="J16" i="9"/>
  <c r="J15" i="9"/>
  <c r="J12" i="9"/>
  <c r="C9" i="8"/>
  <c r="D23" i="28" l="1"/>
  <c r="G5" i="28" s="1"/>
  <c r="L4" i="8"/>
  <c r="M5" i="8" s="1"/>
  <c r="D23" i="18"/>
  <c r="H5" i="18" s="1"/>
  <c r="J28" i="18"/>
  <c r="E11" i="26" l="1"/>
  <c r="E12" i="26"/>
  <c r="E13" i="26"/>
  <c r="E14" i="26"/>
  <c r="E15" i="26"/>
  <c r="E16" i="26"/>
  <c r="E19" i="26"/>
  <c r="E20" i="26"/>
  <c r="E17" i="25" l="1"/>
  <c r="E17" i="15"/>
  <c r="B9" i="27" l="1"/>
  <c r="F10" i="28" l="1"/>
  <c r="F11" i="28" s="1"/>
  <c r="E9" i="28"/>
  <c r="C9" i="28"/>
  <c r="C22" i="28" l="1"/>
  <c r="C23" i="28"/>
  <c r="C18" i="28"/>
  <c r="C20" i="28"/>
  <c r="C19" i="28"/>
  <c r="C21" i="28"/>
  <c r="E10" i="28"/>
  <c r="F12" i="28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C10" i="28"/>
  <c r="C11" i="28"/>
  <c r="C12" i="28"/>
  <c r="C13" i="28"/>
  <c r="C14" i="28"/>
  <c r="C15" i="28"/>
  <c r="C16" i="28"/>
  <c r="C17" i="28"/>
  <c r="E11" i="28" l="1"/>
  <c r="C9" i="18"/>
  <c r="D9" i="27"/>
  <c r="C9" i="27"/>
  <c r="E10" i="26"/>
  <c r="E9" i="26"/>
  <c r="D9" i="26"/>
  <c r="E16" i="25"/>
  <c r="E15" i="25"/>
  <c r="E14" i="25"/>
  <c r="E13" i="25"/>
  <c r="E12" i="25"/>
  <c r="E11" i="25"/>
  <c r="E10" i="25"/>
  <c r="C9" i="25"/>
  <c r="E10" i="15"/>
  <c r="E11" i="15"/>
  <c r="E12" i="15"/>
  <c r="E13" i="15"/>
  <c r="E14" i="15"/>
  <c r="E15" i="15"/>
  <c r="E16" i="15"/>
  <c r="C22" i="18" l="1"/>
  <c r="C23" i="18"/>
  <c r="E31" i="26"/>
  <c r="G1" i="26" s="1"/>
  <c r="C18" i="18"/>
  <c r="C19" i="18"/>
  <c r="C20" i="18"/>
  <c r="C21" i="18"/>
  <c r="C10" i="25"/>
  <c r="C11" i="25" s="1"/>
  <c r="B10" i="25"/>
  <c r="C10" i="18"/>
  <c r="C11" i="18"/>
  <c r="C12" i="18"/>
  <c r="C13" i="18"/>
  <c r="C14" i="18"/>
  <c r="C15" i="18"/>
  <c r="C16" i="18"/>
  <c r="C17" i="18"/>
  <c r="E31" i="15"/>
  <c r="G1" i="15" s="1"/>
  <c r="D10" i="25"/>
  <c r="E31" i="25"/>
  <c r="G1" i="25" s="1"/>
  <c r="D9" i="15"/>
  <c r="D10" i="26"/>
  <c r="C10" i="27"/>
  <c r="B10" i="27"/>
  <c r="D10" i="27"/>
  <c r="C12" i="25" l="1"/>
  <c r="C13" i="25" s="1"/>
  <c r="C14" i="25" s="1"/>
  <c r="C15" i="25" s="1"/>
  <c r="C16" i="25" s="1"/>
  <c r="C17" i="25" s="1"/>
  <c r="D11" i="26"/>
  <c r="D11" i="25"/>
  <c r="B12" i="25"/>
  <c r="B11" i="25"/>
  <c r="C11" i="27"/>
  <c r="B11" i="27"/>
  <c r="D11" i="27"/>
  <c r="B13" i="25" l="1"/>
  <c r="C12" i="27"/>
  <c r="B12" i="27"/>
  <c r="B15" i="25"/>
  <c r="B14" i="25"/>
  <c r="C18" i="25"/>
  <c r="B16" i="25"/>
  <c r="B18" i="25"/>
  <c r="B17" i="25"/>
  <c r="D12" i="26"/>
  <c r="D12" i="25"/>
  <c r="AA51" i="24"/>
  <c r="AA50" i="24"/>
  <c r="AA49" i="24"/>
  <c r="B19" i="25" l="1"/>
  <c r="C13" i="27"/>
  <c r="C14" i="27" s="1"/>
  <c r="B13" i="27"/>
  <c r="C19" i="25"/>
  <c r="C20" i="25" s="1"/>
  <c r="B20" i="25"/>
  <c r="B21" i="25"/>
  <c r="C21" i="25"/>
  <c r="C22" i="25" s="1"/>
  <c r="D13" i="26"/>
  <c r="D13" i="25"/>
  <c r="AC11" i="24"/>
  <c r="D14" i="27"/>
  <c r="C13" i="24"/>
  <c r="B14" i="27" l="1"/>
  <c r="B22" i="25"/>
  <c r="C23" i="25"/>
  <c r="B23" i="25"/>
  <c r="D14" i="26"/>
  <c r="D14" i="25"/>
  <c r="C15" i="27"/>
  <c r="B15" i="27"/>
  <c r="D15" i="27"/>
  <c r="D16" i="27" s="1"/>
  <c r="D13" i="24"/>
  <c r="K18" i="8"/>
  <c r="D15" i="26" l="1"/>
  <c r="D15" i="25"/>
  <c r="F13" i="24"/>
  <c r="C16" i="27"/>
  <c r="B16" i="27"/>
  <c r="K18" i="5"/>
  <c r="D16" i="26" l="1"/>
  <c r="D16" i="25"/>
  <c r="G13" i="24"/>
  <c r="C17" i="27"/>
  <c r="B17" i="27"/>
  <c r="D17" i="27"/>
  <c r="D17" i="26" l="1"/>
  <c r="D17" i="25"/>
  <c r="C18" i="27"/>
  <c r="B18" i="27"/>
  <c r="D18" i="27"/>
  <c r="D18" i="26" l="1"/>
  <c r="D18" i="25"/>
  <c r="I13" i="24"/>
  <c r="H13" i="24"/>
  <c r="C19" i="27"/>
  <c r="B19" i="27"/>
  <c r="D19" i="27"/>
  <c r="K17" i="8"/>
  <c r="K17" i="5"/>
  <c r="D19" i="26" l="1"/>
  <c r="D19" i="25"/>
  <c r="J13" i="24"/>
  <c r="C20" i="27"/>
  <c r="B20" i="27"/>
  <c r="D20" i="27"/>
  <c r="D20" i="26" l="1"/>
  <c r="D20" i="25"/>
  <c r="C21" i="27"/>
  <c r="B21" i="27"/>
  <c r="D21" i="27"/>
  <c r="D22" i="27" s="1"/>
  <c r="D23" i="27" s="1"/>
  <c r="D24" i="27" s="1"/>
  <c r="D25" i="27" s="1"/>
  <c r="D26" i="27" s="1"/>
  <c r="D27" i="27" s="1"/>
  <c r="D28" i="27" s="1"/>
  <c r="D29" i="27" s="1"/>
  <c r="D21" i="26" l="1"/>
  <c r="D21" i="25"/>
  <c r="C22" i="27"/>
  <c r="B22" i="27"/>
  <c r="K16" i="8"/>
  <c r="D22" i="26" l="1"/>
  <c r="D22" i="25"/>
  <c r="B23" i="27"/>
  <c r="C23" i="27"/>
  <c r="E16" i="10"/>
  <c r="D23" i="26" l="1"/>
  <c r="D23" i="25"/>
  <c r="E5" i="25" s="1"/>
  <c r="L16" i="10"/>
  <c r="E15" i="10" l="1"/>
  <c r="K15" i="8"/>
  <c r="L15" i="10" l="1"/>
  <c r="Q13" i="24"/>
  <c r="E14" i="10"/>
  <c r="L14" i="10" l="1"/>
  <c r="F14" i="8"/>
  <c r="E14" i="8" s="1"/>
  <c r="S13" i="24" l="1"/>
  <c r="K14" i="5"/>
  <c r="T13" i="24" l="1"/>
  <c r="E11" i="10"/>
  <c r="F10" i="8"/>
  <c r="F11" i="8"/>
  <c r="L11" i="10" l="1"/>
  <c r="K11" i="8"/>
  <c r="K10" i="8"/>
  <c r="E10" i="10"/>
  <c r="E10" i="9"/>
  <c r="J10" i="9" s="1"/>
  <c r="E12" i="10"/>
  <c r="F9" i="8"/>
  <c r="K9" i="8" s="1"/>
  <c r="E9" i="9"/>
  <c r="E11" i="9"/>
  <c r="J10" i="3"/>
  <c r="J11" i="3"/>
  <c r="J9" i="2"/>
  <c r="J10" i="2"/>
  <c r="J11" i="2"/>
  <c r="J9" i="9" l="1"/>
  <c r="E31" i="9"/>
  <c r="G1" i="9" s="1"/>
  <c r="L10" i="10"/>
  <c r="D10" i="10"/>
  <c r="D11" i="10" s="1"/>
  <c r="D12" i="10" s="1"/>
  <c r="L12" i="10"/>
  <c r="J11" i="9"/>
  <c r="K9" i="2"/>
  <c r="W13" i="24"/>
  <c r="K11" i="5"/>
  <c r="F10" i="5"/>
  <c r="K10" i="3"/>
  <c r="F9" i="5"/>
  <c r="K9" i="5" s="1"/>
  <c r="K11" i="3"/>
  <c r="E13" i="10"/>
  <c r="E33" i="10" s="1"/>
  <c r="E12" i="14"/>
  <c r="D12" i="14" s="1"/>
  <c r="F12" i="8"/>
  <c r="E12" i="8" s="1"/>
  <c r="K12" i="5"/>
  <c r="J19" i="3"/>
  <c r="K19" i="3" s="1"/>
  <c r="K18" i="3"/>
  <c r="J16" i="3"/>
  <c r="K16" i="3" s="1"/>
  <c r="J15" i="3"/>
  <c r="K15" i="3" s="1"/>
  <c r="J12" i="3"/>
  <c r="K19" i="2"/>
  <c r="J18" i="2"/>
  <c r="K18" i="2" s="1"/>
  <c r="J16" i="2"/>
  <c r="K16" i="2" s="1"/>
  <c r="J15" i="2"/>
  <c r="K15" i="2" s="1"/>
  <c r="J14" i="2"/>
  <c r="K14" i="2" s="1"/>
  <c r="J12" i="2"/>
  <c r="L13" i="10" l="1"/>
  <c r="D13" i="10"/>
  <c r="D14" i="10" s="1"/>
  <c r="D15" i="10" s="1"/>
  <c r="D16" i="10" s="1"/>
  <c r="D17" i="10" s="1"/>
  <c r="D18" i="10" s="1"/>
  <c r="D13" i="14"/>
  <c r="K10" i="5"/>
  <c r="K12" i="2"/>
  <c r="K12" i="3"/>
  <c r="K12" i="8"/>
  <c r="E31" i="14"/>
  <c r="G1" i="14" s="1"/>
  <c r="F31" i="8"/>
  <c r="H1" i="8" s="1"/>
  <c r="H1" i="2"/>
  <c r="F31" i="5"/>
  <c r="G1" i="10"/>
  <c r="D19" i="10" l="1"/>
  <c r="D20" i="10" s="1"/>
  <c r="D21" i="10" s="1"/>
  <c r="D22" i="10" s="1"/>
  <c r="D23" i="10" s="1"/>
  <c r="D14" i="14"/>
  <c r="H1" i="5"/>
  <c r="H2" i="8" s="1"/>
  <c r="K31" i="5"/>
  <c r="D15" i="14" l="1"/>
  <c r="D9" i="8"/>
  <c r="B9" i="19"/>
  <c r="D10" i="8" l="1"/>
  <c r="D16" i="14"/>
  <c r="C10" i="8"/>
  <c r="C11" i="8" l="1"/>
  <c r="D11" i="8"/>
  <c r="D17" i="14"/>
  <c r="D12" i="8" l="1"/>
  <c r="D13" i="8" s="1"/>
  <c r="D14" i="8" s="1"/>
  <c r="C12" i="8"/>
  <c r="D18" i="14"/>
  <c r="D15" i="8" l="1"/>
  <c r="D16" i="8" s="1"/>
  <c r="D17" i="8" s="1"/>
  <c r="C13" i="8"/>
  <c r="C14" i="8"/>
  <c r="D19" i="14"/>
  <c r="AB30" i="13"/>
  <c r="AB29" i="13"/>
  <c r="AB28" i="13"/>
  <c r="AB27" i="13"/>
  <c r="AB26" i="13"/>
  <c r="AB25" i="13"/>
  <c r="AB24" i="13"/>
  <c r="AB23" i="13"/>
  <c r="AB22" i="13"/>
  <c r="AB21" i="13"/>
  <c r="AB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5" i="13"/>
  <c r="AB4" i="13"/>
  <c r="AB3" i="13"/>
  <c r="D18" i="8" l="1"/>
  <c r="D20" i="14"/>
  <c r="C15" i="8"/>
  <c r="D19" i="8" l="1"/>
  <c r="D20" i="8" s="1"/>
  <c r="D21" i="8" s="1"/>
  <c r="D21" i="14"/>
  <c r="C16" i="8"/>
  <c r="Y30" i="13"/>
  <c r="Y29" i="13"/>
  <c r="Y28" i="13"/>
  <c r="Y27" i="13"/>
  <c r="Y26" i="13"/>
  <c r="Y25" i="13"/>
  <c r="Y24" i="13"/>
  <c r="Y23" i="13"/>
  <c r="Y22" i="13"/>
  <c r="Y21" i="13"/>
  <c r="Y20" i="13"/>
  <c r="Y19" i="13"/>
  <c r="Y18" i="13"/>
  <c r="Y17" i="13"/>
  <c r="Y16" i="13"/>
  <c r="Y15" i="13"/>
  <c r="Y14" i="13"/>
  <c r="Y13" i="13"/>
  <c r="Y12" i="13"/>
  <c r="Y11" i="13"/>
  <c r="Y10" i="13"/>
  <c r="Y9" i="13"/>
  <c r="Y8" i="13"/>
  <c r="Y7" i="13"/>
  <c r="Y6" i="13"/>
  <c r="Y5" i="13"/>
  <c r="Y4" i="13"/>
  <c r="Y3" i="13"/>
  <c r="D22" i="8" l="1"/>
  <c r="D23" i="8" s="1"/>
  <c r="C22" i="8"/>
  <c r="D22" i="14"/>
  <c r="D23" i="14"/>
  <c r="C23" i="8"/>
  <c r="C17" i="8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V4" i="13"/>
  <c r="V3" i="13"/>
  <c r="C18" i="8" l="1"/>
  <c r="C19" i="8" l="1"/>
  <c r="C9" i="19"/>
  <c r="C20" i="8" l="1"/>
  <c r="C10" i="19"/>
  <c r="B10" i="19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S8" i="13"/>
  <c r="S7" i="13"/>
  <c r="S6" i="13"/>
  <c r="S5" i="13"/>
  <c r="S4" i="13"/>
  <c r="S3" i="13"/>
  <c r="C21" i="8" l="1"/>
  <c r="C11" i="19"/>
  <c r="B11" i="19"/>
  <c r="C12" i="19" l="1"/>
  <c r="B12" i="19"/>
  <c r="C13" i="19" l="1"/>
  <c r="B13" i="19"/>
  <c r="C14" i="19" l="1"/>
  <c r="B14" i="19"/>
  <c r="C15" i="19" l="1"/>
  <c r="B15" i="19"/>
  <c r="C16" i="19" l="1"/>
  <c r="B16" i="19"/>
  <c r="B17" i="19" l="1"/>
  <c r="C17" i="19"/>
  <c r="P30" i="13"/>
  <c r="M30" i="13"/>
  <c r="J30" i="13"/>
  <c r="P29" i="13"/>
  <c r="M29" i="13"/>
  <c r="J29" i="13"/>
  <c r="P28" i="13"/>
  <c r="M28" i="13"/>
  <c r="J28" i="13"/>
  <c r="P27" i="13"/>
  <c r="M27" i="13"/>
  <c r="J27" i="13"/>
  <c r="P26" i="13"/>
  <c r="M26" i="13"/>
  <c r="J26" i="13"/>
  <c r="P25" i="13"/>
  <c r="M25" i="13"/>
  <c r="J25" i="13"/>
  <c r="P24" i="13"/>
  <c r="M24" i="13"/>
  <c r="J24" i="13"/>
  <c r="P23" i="13"/>
  <c r="M23" i="13"/>
  <c r="J23" i="13"/>
  <c r="P22" i="13"/>
  <c r="M22" i="13"/>
  <c r="J22" i="13"/>
  <c r="P21" i="13"/>
  <c r="M21" i="13"/>
  <c r="J21" i="13"/>
  <c r="P20" i="13"/>
  <c r="M20" i="13"/>
  <c r="J20" i="13"/>
  <c r="P19" i="13"/>
  <c r="M19" i="13"/>
  <c r="J19" i="13"/>
  <c r="P18" i="13"/>
  <c r="M18" i="13"/>
  <c r="J18" i="13"/>
  <c r="P17" i="13"/>
  <c r="M17" i="13"/>
  <c r="J17" i="13"/>
  <c r="P16" i="13"/>
  <c r="M16" i="13"/>
  <c r="J16" i="13"/>
  <c r="P15" i="13"/>
  <c r="M15" i="13"/>
  <c r="J15" i="13"/>
  <c r="P14" i="13"/>
  <c r="M14" i="13"/>
  <c r="J14" i="13"/>
  <c r="P13" i="13"/>
  <c r="M13" i="13"/>
  <c r="J13" i="13"/>
  <c r="P12" i="13"/>
  <c r="M12" i="13"/>
  <c r="J12" i="13"/>
  <c r="P11" i="13"/>
  <c r="M11" i="13"/>
  <c r="J11" i="13"/>
  <c r="P10" i="13"/>
  <c r="M10" i="13"/>
  <c r="J10" i="13"/>
  <c r="P9" i="13"/>
  <c r="M9" i="13"/>
  <c r="J9" i="13"/>
  <c r="P8" i="13"/>
  <c r="M8" i="13"/>
  <c r="J8" i="13"/>
  <c r="P7" i="13"/>
  <c r="M7" i="13"/>
  <c r="J7" i="13"/>
  <c r="P6" i="13"/>
  <c r="M6" i="13"/>
  <c r="J6" i="13"/>
  <c r="P5" i="13"/>
  <c r="M5" i="13"/>
  <c r="J5" i="13"/>
  <c r="P4" i="13"/>
  <c r="M4" i="13"/>
  <c r="J4" i="13"/>
  <c r="P3" i="13"/>
  <c r="M3" i="13"/>
  <c r="J3" i="13"/>
  <c r="C18" i="19" l="1"/>
  <c r="B18" i="19"/>
  <c r="B19" i="19" l="1"/>
  <c r="C19" i="19"/>
  <c r="D10" i="15"/>
  <c r="C9" i="15"/>
  <c r="B9" i="15"/>
  <c r="B9" i="14"/>
  <c r="D9" i="2"/>
  <c r="C9" i="2"/>
  <c r="D9" i="3"/>
  <c r="C10" i="5"/>
  <c r="C9" i="9"/>
  <c r="B9" i="9"/>
  <c r="B10" i="9" s="1"/>
  <c r="B11" i="9" s="1"/>
  <c r="B12" i="9" s="1"/>
  <c r="B13" i="9" s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" i="13"/>
  <c r="D30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" i="13"/>
  <c r="D10" i="3" l="1"/>
  <c r="D11" i="3" s="1"/>
  <c r="D12" i="3" s="1"/>
  <c r="D13" i="3" s="1"/>
  <c r="C20" i="19"/>
  <c r="B20" i="19"/>
  <c r="C10" i="9"/>
  <c r="C11" i="9" s="1"/>
  <c r="C12" i="9" s="1"/>
  <c r="C13" i="9" s="1"/>
  <c r="C14" i="9" s="1"/>
  <c r="C15" i="9" s="1"/>
  <c r="C16" i="9" s="1"/>
  <c r="D14" i="3"/>
  <c r="D15" i="3" s="1"/>
  <c r="D16" i="3" s="1"/>
  <c r="L4" i="2"/>
  <c r="M5" i="2" s="1"/>
  <c r="B14" i="9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D11" i="15"/>
  <c r="C10" i="15"/>
  <c r="D10" i="5"/>
  <c r="D11" i="5" s="1"/>
  <c r="C10" i="3"/>
  <c r="D10" i="2"/>
  <c r="D11" i="2" s="1"/>
  <c r="C10" i="2"/>
  <c r="B10" i="15"/>
  <c r="C11" i="10"/>
  <c r="C9" i="14"/>
  <c r="C11" i="15" l="1"/>
  <c r="B12" i="15" s="1"/>
  <c r="B21" i="19"/>
  <c r="C21" i="19"/>
  <c r="D12" i="5"/>
  <c r="D13" i="5" s="1"/>
  <c r="D14" i="5" s="1"/>
  <c r="D17" i="3"/>
  <c r="D12" i="2"/>
  <c r="C14" i="3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B11" i="10"/>
  <c r="B12" i="10"/>
  <c r="C11" i="3"/>
  <c r="C13" i="3"/>
  <c r="D12" i="15"/>
  <c r="C12" i="3"/>
  <c r="C10" i="14"/>
  <c r="B10" i="14"/>
  <c r="C11" i="5"/>
  <c r="B11" i="15"/>
  <c r="C11" i="2"/>
  <c r="C12" i="10"/>
  <c r="B13" i="10" s="1"/>
  <c r="D9" i="9"/>
  <c r="C12" i="15" l="1"/>
  <c r="C13" i="15"/>
  <c r="B14" i="15" s="1"/>
  <c r="B13" i="15"/>
  <c r="B22" i="19"/>
  <c r="C22" i="19"/>
  <c r="D18" i="3"/>
  <c r="D15" i="5"/>
  <c r="D16" i="5" s="1"/>
  <c r="D17" i="5" s="1"/>
  <c r="D13" i="2"/>
  <c r="D13" i="15"/>
  <c r="C13" i="2"/>
  <c r="C12" i="2"/>
  <c r="C11" i="14"/>
  <c r="D10" i="9"/>
  <c r="B11" i="14"/>
  <c r="C12" i="5"/>
  <c r="C13" i="10"/>
  <c r="E9" i="8"/>
  <c r="E9" i="5"/>
  <c r="E9" i="3"/>
  <c r="C14" i="15" l="1"/>
  <c r="C15" i="15" s="1"/>
  <c r="D19" i="3"/>
  <c r="D20" i="3" s="1"/>
  <c r="B15" i="15"/>
  <c r="C16" i="15"/>
  <c r="C17" i="15" s="1"/>
  <c r="C18" i="15" s="1"/>
  <c r="B19" i="15" s="1"/>
  <c r="C23" i="19"/>
  <c r="B23" i="19"/>
  <c r="D18" i="5"/>
  <c r="D14" i="2"/>
  <c r="D21" i="3"/>
  <c r="B16" i="15"/>
  <c r="C15" i="3"/>
  <c r="E10" i="3"/>
  <c r="B14" i="10"/>
  <c r="D14" i="15"/>
  <c r="C13" i="5"/>
  <c r="C14" i="2"/>
  <c r="E10" i="8"/>
  <c r="E10" i="5"/>
  <c r="B12" i="14"/>
  <c r="C12" i="14"/>
  <c r="C14" i="10"/>
  <c r="E9" i="2"/>
  <c r="F5" i="2" s="1"/>
  <c r="B17" i="15" l="1"/>
  <c r="D19" i="5"/>
  <c r="D20" i="5" s="1"/>
  <c r="D21" i="5" s="1"/>
  <c r="D22" i="5" s="1"/>
  <c r="B18" i="15"/>
  <c r="C19" i="15"/>
  <c r="B20" i="15" s="1"/>
  <c r="E11" i="5"/>
  <c r="E11" i="3"/>
  <c r="E11" i="8"/>
  <c r="D23" i="5"/>
  <c r="D15" i="2"/>
  <c r="D22" i="3"/>
  <c r="C22" i="3"/>
  <c r="C16" i="3"/>
  <c r="B15" i="10"/>
  <c r="D15" i="15"/>
  <c r="C14" i="5"/>
  <c r="C15" i="2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C13" i="14"/>
  <c r="B13" i="14"/>
  <c r="C15" i="10"/>
  <c r="B16" i="10" s="1"/>
  <c r="C20" i="15" l="1"/>
  <c r="B21" i="15" s="1"/>
  <c r="D23" i="3"/>
  <c r="C23" i="3"/>
  <c r="D16" i="2"/>
  <c r="C17" i="3"/>
  <c r="D16" i="15"/>
  <c r="C15" i="5"/>
  <c r="C16" i="2"/>
  <c r="B14" i="14"/>
  <c r="C14" i="14"/>
  <c r="C16" i="10"/>
  <c r="C21" i="15" l="1"/>
  <c r="C22" i="5"/>
  <c r="C23" i="5"/>
  <c r="D17" i="2"/>
  <c r="C22" i="15"/>
  <c r="B22" i="15"/>
  <c r="B17" i="10"/>
  <c r="C17" i="2"/>
  <c r="C18" i="3"/>
  <c r="D17" i="15"/>
  <c r="C16" i="5"/>
  <c r="B15" i="14"/>
  <c r="C15" i="14"/>
  <c r="C17" i="10"/>
  <c r="D18" i="2" l="1"/>
  <c r="C23" i="15"/>
  <c r="B23" i="15"/>
  <c r="B18" i="10"/>
  <c r="C18" i="10"/>
  <c r="C18" i="2"/>
  <c r="C19" i="3"/>
  <c r="D18" i="15"/>
  <c r="C17" i="5"/>
  <c r="B16" i="14"/>
  <c r="C16" i="14"/>
  <c r="D19" i="2" l="1"/>
  <c r="B19" i="10"/>
  <c r="E5" i="10"/>
  <c r="C19" i="10"/>
  <c r="B20" i="10" s="1"/>
  <c r="C19" i="2"/>
  <c r="C20" i="3"/>
  <c r="D19" i="15"/>
  <c r="C18" i="5"/>
  <c r="B17" i="14"/>
  <c r="C17" i="14"/>
  <c r="D20" i="2" l="1"/>
  <c r="D21" i="2" s="1"/>
  <c r="D22" i="2" s="1"/>
  <c r="C20" i="10"/>
  <c r="B21" i="10" s="1"/>
  <c r="C20" i="2"/>
  <c r="C21" i="3"/>
  <c r="D20" i="15"/>
  <c r="C19" i="5"/>
  <c r="C18" i="14"/>
  <c r="B18" i="14"/>
  <c r="D23" i="2" l="1"/>
  <c r="C23" i="2"/>
  <c r="C22" i="2"/>
  <c r="C21" i="10"/>
  <c r="B22" i="10" s="1"/>
  <c r="C21" i="2"/>
  <c r="D21" i="15"/>
  <c r="C20" i="5"/>
  <c r="B19" i="14"/>
  <c r="C19" i="14"/>
  <c r="D22" i="15" l="1"/>
  <c r="C22" i="10"/>
  <c r="B23" i="10" s="1"/>
  <c r="C21" i="5"/>
  <c r="C20" i="14"/>
  <c r="B20" i="14"/>
  <c r="C9" i="26"/>
  <c r="D23" i="15" l="1"/>
  <c r="E5" i="15" s="1"/>
  <c r="C23" i="10"/>
  <c r="C21" i="14"/>
  <c r="B21" i="14"/>
  <c r="C10" i="26"/>
  <c r="B10" i="26"/>
  <c r="C22" i="14" l="1"/>
  <c r="B22" i="14"/>
  <c r="C11" i="26"/>
  <c r="B11" i="26"/>
  <c r="C23" i="14" l="1"/>
  <c r="E5" i="14" s="1"/>
  <c r="B23" i="14"/>
  <c r="C12" i="26"/>
  <c r="B12" i="26"/>
  <c r="B13" i="26" l="1"/>
  <c r="C13" i="26"/>
  <c r="AD4" i="30"/>
  <c r="B14" i="26" l="1"/>
  <c r="C14" i="26"/>
  <c r="AE6" i="30"/>
  <c r="C15" i="26" l="1"/>
  <c r="B15" i="26"/>
  <c r="P10" i="40"/>
  <c r="P9" i="40"/>
  <c r="T8" i="15" l="1"/>
  <c r="C16" i="26"/>
  <c r="B16" i="26"/>
  <c r="Q31" i="15"/>
  <c r="C17" i="26" l="1"/>
  <c r="B17" i="26"/>
  <c r="O31" i="26"/>
  <c r="N27" i="40" s="1"/>
  <c r="O31" i="25"/>
  <c r="N26" i="40" s="1"/>
  <c r="N29" i="40" l="1"/>
  <c r="B18" i="26"/>
  <c r="C18" i="26"/>
  <c r="C19" i="26" l="1"/>
  <c r="B19" i="26"/>
  <c r="B20" i="26" l="1"/>
  <c r="C20" i="26"/>
  <c r="C21" i="26" l="1"/>
  <c r="B21" i="26"/>
  <c r="P33" i="40"/>
  <c r="C22" i="26" l="1"/>
  <c r="B22" i="26"/>
  <c r="E9" i="51"/>
  <c r="E31" i="51" s="1"/>
  <c r="G1" i="51" s="1"/>
  <c r="C23" i="26" l="1"/>
  <c r="B23" i="26"/>
  <c r="J9" i="51"/>
  <c r="D9" i="51"/>
  <c r="D10" i="51" l="1"/>
  <c r="D11" i="51" l="1"/>
  <c r="D12" i="51" l="1"/>
  <c r="D13" i="51" l="1"/>
  <c r="D14" i="51" l="1"/>
  <c r="D15" i="51" l="1"/>
  <c r="D16" i="51" l="1"/>
  <c r="D17" i="51" l="1"/>
  <c r="D18" i="51"/>
  <c r="D19" i="51" l="1"/>
  <c r="D20" i="51" l="1"/>
  <c r="D21" i="51" l="1"/>
  <c r="D22" i="51" l="1"/>
  <c r="D23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user:</t>
        </r>
        <r>
          <rPr>
            <sz val="9"/>
            <color indexed="81"/>
            <rFont val="Tahoma"/>
            <family val="2"/>
            <charset val="238"/>
          </rPr>
          <t xml:space="preserve">
kihez tartozik ki tartja karban stb...</t>
        </r>
      </text>
    </comment>
    <comment ref="C5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user:</t>
        </r>
        <r>
          <rPr>
            <sz val="9"/>
            <color indexed="81"/>
            <rFont val="Tahoma"/>
            <family val="2"/>
            <charset val="238"/>
          </rPr>
          <t xml:space="preserve">
approval</t>
        </r>
      </text>
    </comment>
    <comment ref="D5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user:</t>
        </r>
        <r>
          <rPr>
            <sz val="9"/>
            <color indexed="81"/>
            <rFont val="Tahoma"/>
            <family val="2"/>
            <charset val="238"/>
          </rPr>
          <t xml:space="preserve">
ki használja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Urbán Orsolya</author>
  </authors>
  <commentList>
    <comment ref="G9" authorId="0" shapeId="0" xr:uid="{FD6B7D9A-3855-43ED-BD5E-0B587F45D558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Adminisztrátorok (2 fő), Gépbeállítók (2 fő), Anyagmozgató (1 fő), Csomagolók (1 fő)</t>
        </r>
      </text>
    </comment>
    <comment ref="H9" authorId="0" shapeId="0" xr:uid="{3C07D4B7-E2F7-41C5-855F-62DF8384D676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Labori QA (2 fő), 
IQC (3 fő)
USB+Vizuál (2 fő)</t>
        </r>
      </text>
    </comment>
    <comment ref="H17" authorId="0" shapeId="0" xr:uid="{CF5CD0F1-EF4B-46E1-91DA-EA36C9AF5246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+3 fő MDH</t>
        </r>
      </text>
    </comment>
    <comment ref="H18" authorId="0" shapeId="0" xr:uid="{4BCA2892-6F26-4117-B9E3-021762703A48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+2 fő MDH, +1 fő FFC</t>
        </r>
      </text>
    </comment>
    <comment ref="H19" authorId="0" shapeId="0" xr:uid="{47EBEB8E-B365-4496-A1EE-6E62E17A08D4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2 fő MD-ból és 8 fő FFC-ről.</t>
        </r>
      </text>
    </comment>
    <comment ref="H20" authorId="0" shapeId="0" xr:uid="{D4B71C38-C36C-4499-B389-491AE4F681C4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8 fő FFC-ről, 2 fő MDH-ból</t>
        </r>
      </text>
    </comment>
    <comment ref="H21" authorId="0" shapeId="0" xr:uid="{20DC6EE6-353B-403F-ACC4-446E48F6A099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8 fő FFC-ről, 2 fő MDH-ból.</t>
        </r>
      </text>
    </comment>
    <comment ref="H22" authorId="0" shapeId="0" xr:uid="{1C554C0B-ACC8-427F-AF95-9A93176B467B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8 fő FFC-ről, 2 fő MDH-ból.</t>
        </r>
      </text>
    </comment>
    <comment ref="H23" authorId="0" shapeId="0" xr:uid="{271BF2C6-3CFC-402B-9995-3DA7B03934B9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8 fő FFC-ről, 2 fő MDH-ból.</t>
        </r>
      </text>
    </comment>
    <comment ref="H24" authorId="0" shapeId="0" xr:uid="{42D311A8-83DE-4D95-BC25-C47D17EB750A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5 fő FFC-ről, 1 fő MDH-ból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Urbán Orsolya</author>
  </authors>
  <commentList>
    <comment ref="AA38" authorId="0" shapeId="0" xr:uid="{647B1881-07FA-4047-ABAA-1BB361028CAA}">
      <text>
        <r>
          <rPr>
            <b/>
            <sz val="9"/>
            <color indexed="81"/>
            <rFont val="Tahoma"/>
            <family val="2"/>
            <charset val="238"/>
          </rPr>
          <t>Urbán Orsolya:</t>
        </r>
        <r>
          <rPr>
            <sz val="9"/>
            <color indexed="81"/>
            <rFont val="Tahoma"/>
            <family val="2"/>
            <charset val="238"/>
          </rPr>
          <t xml:space="preserve">
SAMP-00458
SAMP-00459
SAMP-00460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F878C6-AC35-4EF6-B91A-E507B8C90673}" keepAlive="1" name="Lekérdezés - SEI Interconnect ÉLES-ne haszn$Item$437dbf0e-84ff-417a-965d-ed2bb9650972 (2)" description="A munkafüzetben levő „SEI Interconnect ÉLES-ne haszn$Item$437dbf0e-84ff-417a-965d-ed2bb9650972 (2)” lekérdezés kapcsolata" type="5" refreshedVersion="8" background="1" saveData="1">
    <dbPr connection="Provider=Microsoft.Mashup.OleDb.1;Data Source=$Workbook$;Location=&quot;SEI Interconnect ÉLES-ne haszn$Item$437dbf0e-84ff-417a-965d-ed2bb9650972 (2)&quot;;Extended Properties=&quot;&quot;" command="SELECT * FROM [SEI Interconnect ÉLES-ne haszn$Item$437dbf0e-84ff-417a-965d-ed2bb9650972 (2)]"/>
  </connection>
  <connection id="2" xr16:uid="{88876E2F-781F-45F0-AED4-DF8979460C09}" keepAlive="1" name="Lekérdezés - SEI Interconnect ÉLES-ne haszn$Price List Line$437dbf0e-84ff-417a-965d-ed2bb (2)" description="A munkafüzetben levő „SEI Interconnect ÉLES-ne haszn$Price List Line$437dbf0e-84ff-417a-965d-ed2bb (2)” lekérdezés kapcsolata" type="5" refreshedVersion="8" background="1" saveData="1">
    <dbPr connection="Provider=Microsoft.Mashup.OleDb.1;Data Source=$Workbook$;Location=&quot;SEI Interconnect ÉLES-ne haszn$Price List Line$437dbf0e-84ff-417a-965d-ed2bb (2)&quot;;Extended Properties=&quot;&quot;" command="SELECT * FROM [SEI Interconnect ÉLES-ne haszn$Price List Line$437dbf0e-84ff-417a-965d-ed2bb (2)]"/>
  </connection>
</connections>
</file>

<file path=xl/sharedStrings.xml><?xml version="1.0" encoding="utf-8"?>
<sst xmlns="http://schemas.openxmlformats.org/spreadsheetml/2006/main" count="12723" uniqueCount="5400">
  <si>
    <t>PR-10-43-03</t>
  </si>
  <si>
    <t>Key machine output follow</t>
  </si>
  <si>
    <t xml:space="preserve">Folyamatgazda: </t>
  </si>
  <si>
    <t>Termelési csoport</t>
  </si>
  <si>
    <t>Folyamat</t>
  </si>
  <si>
    <t>R</t>
  </si>
  <si>
    <t>A</t>
  </si>
  <si>
    <t>C</t>
  </si>
  <si>
    <t>I</t>
  </si>
  <si>
    <t>A szabályzattal kapcsolatos személyek</t>
  </si>
  <si>
    <t>Management</t>
  </si>
  <si>
    <t>X</t>
  </si>
  <si>
    <t>Készítette</t>
  </si>
  <si>
    <t>Borics Krisztián</t>
  </si>
  <si>
    <t>Quality</t>
  </si>
  <si>
    <t>Ellenőrizte</t>
  </si>
  <si>
    <t>László Tamás</t>
  </si>
  <si>
    <t>Production</t>
  </si>
  <si>
    <t>Jóváhagyta és elrendelte</t>
  </si>
  <si>
    <t>Chiaki Hashiba</t>
  </si>
  <si>
    <t>Logistics</t>
  </si>
  <si>
    <t>Hatálybalépés dátuma</t>
  </si>
  <si>
    <t>Sales</t>
  </si>
  <si>
    <t>Változások</t>
  </si>
  <si>
    <t>Project Management</t>
  </si>
  <si>
    <t>Első kiadás</t>
  </si>
  <si>
    <t>Human resources</t>
  </si>
  <si>
    <t>Kiegészítés : Üzemi kimentet időarányos követése, Átcsomagolós anyagok időarányos követése, Action Plan bevezetése.</t>
  </si>
  <si>
    <t>Engineering Support</t>
  </si>
  <si>
    <t>QTY</t>
  </si>
  <si>
    <t>SH</t>
  </si>
  <si>
    <t>1200-1347</t>
  </si>
  <si>
    <t>1200-1368</t>
  </si>
  <si>
    <t>1201-1221</t>
  </si>
  <si>
    <t>2000-0722</t>
  </si>
  <si>
    <t>SZUM</t>
  </si>
  <si>
    <t>Head</t>
  </si>
  <si>
    <t>AVG Difference to the plan</t>
  </si>
  <si>
    <t>Count</t>
  </si>
  <si>
    <t>Workday</t>
  </si>
  <si>
    <t>Actual day</t>
  </si>
  <si>
    <t>Állandó</t>
  </si>
  <si>
    <t>Day</t>
  </si>
  <si>
    <t>Netto HC plan</t>
  </si>
  <si>
    <t>Nettó létszámterv (kumulált) / Netto HC plan (cum)</t>
  </si>
  <si>
    <t>Brutto HC plan</t>
  </si>
  <si>
    <r>
      <t xml:space="preserve">Other Work
</t>
    </r>
    <r>
      <rPr>
        <b/>
        <i/>
        <sz val="7"/>
        <color theme="1"/>
        <rFont val="Calibri"/>
        <family val="2"/>
        <charset val="238"/>
        <scheme val="minor"/>
      </rPr>
      <t>(PL. Support tape cleaning, Packaging)</t>
    </r>
  </si>
  <si>
    <t>Daily Actual HC</t>
  </si>
  <si>
    <t xml:space="preserve">FFC Indirect </t>
  </si>
  <si>
    <t>QA Indirect</t>
  </si>
  <si>
    <t>FFC direct+indirect</t>
  </si>
  <si>
    <t>Aktuális Létszám (kumulatív) / Actual HC (cum)</t>
  </si>
  <si>
    <t>Daily Actual HC AVG</t>
  </si>
  <si>
    <t>Daily HC plan AVG</t>
  </si>
  <si>
    <t>Holiday</t>
  </si>
  <si>
    <t>Sick leave</t>
  </si>
  <si>
    <t>Difference</t>
  </si>
  <si>
    <t>Available Working hour (AWH)</t>
  </si>
  <si>
    <t>ADAMI</t>
  </si>
  <si>
    <t>Difference to the plan</t>
  </si>
  <si>
    <t>Mennyiség/ Quantity</t>
  </si>
  <si>
    <t>Óra/ Hours</t>
  </si>
  <si>
    <t>Munka3</t>
  </si>
  <si>
    <t>Napi Terv / Daily plan</t>
  </si>
  <si>
    <t>Workdays</t>
  </si>
  <si>
    <t>Out put daily good</t>
    <phoneticPr fontId="16"/>
  </si>
  <si>
    <t xml:space="preserve">Reject </t>
    <phoneticPr fontId="16"/>
  </si>
  <si>
    <t>Munkanap / Workdays</t>
  </si>
  <si>
    <t>Napi terv / Daily plan</t>
  </si>
  <si>
    <t>Hátralévő mennyiség</t>
  </si>
  <si>
    <t>Kumulált terv / Cumulative plan</t>
  </si>
  <si>
    <t>Kimenet (Kumulált) / Output (cumulative)</t>
  </si>
  <si>
    <t>Teljes kimenet / Total output</t>
  </si>
  <si>
    <t>Shift 1</t>
    <phoneticPr fontId="16"/>
  </si>
  <si>
    <t>Shift 2</t>
    <phoneticPr fontId="16"/>
  </si>
  <si>
    <t>Shift 3</t>
  </si>
  <si>
    <t>Total
(QTY)</t>
    <phoneticPr fontId="16"/>
  </si>
  <si>
    <t>Total
(Ratio)</t>
    <phoneticPr fontId="16"/>
  </si>
  <si>
    <t>Shift 1
(Qty)</t>
    <phoneticPr fontId="16"/>
  </si>
  <si>
    <t>Shift 2
(Qty)</t>
    <phoneticPr fontId="16"/>
  </si>
  <si>
    <t>Shift 3
(Qty)</t>
  </si>
  <si>
    <t>High reject item code / reject code</t>
  </si>
  <si>
    <t>Operating hours</t>
  </si>
  <si>
    <t>Available operation hours target</t>
  </si>
  <si>
    <t>Daily opeation hours plan target</t>
  </si>
  <si>
    <t>Cél / Target</t>
  </si>
  <si>
    <t>Hatékonyság (kumulált) / Efficiency (cumulative)</t>
  </si>
  <si>
    <t>Hatékonyság / Efficiency</t>
  </si>
  <si>
    <t>-</t>
  </si>
  <si>
    <t>Summ Line</t>
  </si>
  <si>
    <t>MIM</t>
  </si>
  <si>
    <t xml:space="preserve">Shift 3 </t>
  </si>
  <si>
    <t>CAOI</t>
  </si>
  <si>
    <t>Shift 3</t>
    <phoneticPr fontId="16"/>
  </si>
  <si>
    <t>Shift 1</t>
  </si>
  <si>
    <t>Shift 2</t>
  </si>
  <si>
    <t>Comment</t>
  </si>
  <si>
    <t>Operation hours target</t>
  </si>
  <si>
    <t>ADPKY</t>
  </si>
  <si>
    <t>NK: 
 BD-s típus esetén 50mm alatti, valamint AD-s terméknél 60mm alatti I méretű kábelek esetén nem lehet visszahúzni.</t>
  </si>
  <si>
    <t>Shift 3
(Qty)</t>
    <phoneticPr fontId="16"/>
  </si>
  <si>
    <t>AA hiba (HA ,F S 0374)
Beszállítóval fizettetni!</t>
  </si>
  <si>
    <t>TO Reject</t>
  </si>
  <si>
    <t>TST</t>
  </si>
  <si>
    <t>MAA</t>
  </si>
  <si>
    <t>Baáll. Selejt</t>
  </si>
  <si>
    <t>NK</t>
  </si>
  <si>
    <t>Summ line</t>
  </si>
  <si>
    <t>Srap with TO/AA</t>
  </si>
  <si>
    <t>Srap without TO/AA</t>
  </si>
  <si>
    <t>MAN</t>
  </si>
  <si>
    <t>PKY</t>
  </si>
  <si>
    <t>Daily plan</t>
  </si>
  <si>
    <t>Operator / day TTL</t>
  </si>
  <si>
    <t>Munkanap</t>
  </si>
  <si>
    <t>Komulált terv</t>
  </si>
  <si>
    <t>Kimenet (Komulált)</t>
  </si>
  <si>
    <t>Total</t>
    <phoneticPr fontId="16"/>
  </si>
  <si>
    <t>Op.Plan</t>
  </si>
  <si>
    <t>Op.Act</t>
  </si>
  <si>
    <t>Diff</t>
  </si>
  <si>
    <t>Qty/op</t>
  </si>
  <si>
    <t>Productivity (NAV)</t>
  </si>
  <si>
    <t>Difficult item's code</t>
  </si>
  <si>
    <t>Efficiency</t>
  </si>
  <si>
    <t>CYT</t>
  </si>
  <si>
    <t>Daily Plan</t>
  </si>
  <si>
    <t>Setup reject</t>
  </si>
  <si>
    <t>AA hiba (HA ,F)
Beszállítóval fizettetni!</t>
  </si>
  <si>
    <t>TO</t>
  </si>
  <si>
    <t>12-1368 Elüti az S és MA méretet, sebbesség 5-re levéve. MA 70 db / S 20 db /E 20 db / BS 23 db</t>
  </si>
  <si>
    <t>12-1368</t>
  </si>
  <si>
    <t>1200-1368 MA 45 db / E 62 db / BS 11 db</t>
  </si>
  <si>
    <t>12-1323 MA 17 db
1201-1294 MA 13 db</t>
  </si>
  <si>
    <t>12-1368 J 23 db / SK 22 db / E 12 db / NK 14 db</t>
  </si>
  <si>
    <t>12-1368 88%</t>
  </si>
  <si>
    <t>12-1368 NK 45 db / J 34 db / E 10 db</t>
  </si>
  <si>
    <t>12-1217 BS 7 db (kis db szám mellé)
12-1337 BS 15 db
12-1413 E 14 db</t>
  </si>
  <si>
    <t>12-1217 44% (kis db szám 160 db)</t>
  </si>
  <si>
    <t>12-1233 BS 13 db</t>
  </si>
  <si>
    <t>12-1233 E 16 db</t>
  </si>
  <si>
    <t>Scrap with TO/AA</t>
  </si>
  <si>
    <t>Scrap without TO/AA</t>
  </si>
  <si>
    <t xml:space="preserve"> </t>
  </si>
  <si>
    <t xml:space="preserve">Auto </t>
  </si>
  <si>
    <t>Bend</t>
  </si>
  <si>
    <t xml:space="preserve">SS Auto </t>
  </si>
  <si>
    <t>Program készítésből adódó selejt.</t>
  </si>
  <si>
    <t>APIM</t>
  </si>
  <si>
    <t>Items transfer from coil in-jet to APIM</t>
  </si>
  <si>
    <t>Out put daily good</t>
  </si>
  <si>
    <t>Visual Inspection</t>
  </si>
  <si>
    <t>AA hiba (HA ,F, KÉK, Stb...)
Beszállítóval fizettetni!</t>
  </si>
  <si>
    <t>1201-1294 Korr. 5 db / Szig.rf. 1 db / SK 1 db</t>
  </si>
  <si>
    <t>1200-1283 SK 15 db</t>
  </si>
  <si>
    <t>2701-0328 JSZ 3 db / J 1 db / R 3 db / SZ 5 db / SK 6 db / Besz. Fólia 1 db</t>
  </si>
  <si>
    <t>1201-1294 Besz. Támszalag 8 db / SK 2 db / SZ 6 db
2701-0328 R 10 db</t>
  </si>
  <si>
    <t>1200-1337 SK 2 db</t>
  </si>
  <si>
    <t>1200-1337 SK 9 db/ SZ2 db</t>
  </si>
  <si>
    <t>Scrap with HA/F/RR</t>
  </si>
  <si>
    <t>Scrap without HA/F/RR</t>
  </si>
  <si>
    <t>USB</t>
  </si>
  <si>
    <t>Gyártási 3%-nál kielemzés a selejt fajtáiból!</t>
  </si>
  <si>
    <t>AA hiba (HA ,F, Stb..)
Beszállítóval fizettetni!</t>
  </si>
  <si>
    <r>
      <rPr>
        <b/>
        <u/>
        <sz val="9"/>
        <color theme="1"/>
        <rFont val="Calibri"/>
        <family val="2"/>
        <charset val="238"/>
        <scheme val="minor"/>
      </rPr>
      <t>1201-1221 18 db</t>
    </r>
    <r>
      <rPr>
        <sz val="9"/>
        <color theme="1"/>
        <rFont val="Calibri"/>
        <family val="2"/>
        <charset val="238"/>
        <scheme val="minor"/>
      </rPr>
      <t xml:space="preserve">
E 8 db (Korr. 3 db / Besz. SZ 5 db)
SK 5 db / J 1 db / JSZ 4 db</t>
    </r>
  </si>
  <si>
    <r>
      <rPr>
        <b/>
        <u/>
        <sz val="9"/>
        <color theme="1"/>
        <rFont val="Calibri"/>
        <family val="2"/>
        <charset val="238"/>
        <scheme val="minor"/>
      </rPr>
      <t>Átellenőrzés:</t>
    </r>
    <r>
      <rPr>
        <sz val="9"/>
        <color theme="1"/>
        <rFont val="Calibri"/>
        <family val="2"/>
        <charset val="238"/>
        <scheme val="minor"/>
      </rPr>
      <t xml:space="preserve">
2701-0429 SZ 9 db / SK 15 db
2701-0430 SZ 12 db / SK 14 db</t>
    </r>
  </si>
  <si>
    <t>Scrap without HA/F/RR/JSZ</t>
  </si>
  <si>
    <t>Conti Final Insp.</t>
  </si>
  <si>
    <t>1200-1368 SK 15 db</t>
  </si>
  <si>
    <t>1200-1368 SK 7 db</t>
  </si>
  <si>
    <t>1200-1368 SK 48 db</t>
  </si>
  <si>
    <t>1200-1368 SK 47 db / SZ 3 db</t>
  </si>
  <si>
    <t>Hot Stamp</t>
  </si>
  <si>
    <t>BS Scrap</t>
  </si>
  <si>
    <t>Manufactuirng Scrap</t>
  </si>
  <si>
    <t>Shield</t>
  </si>
  <si>
    <t>Recovery plan ( recovery ) recovery period must indicate green cells</t>
  </si>
  <si>
    <t>Remain Qty</t>
  </si>
  <si>
    <t>Plan</t>
  </si>
  <si>
    <t>Output(Comulative)</t>
  </si>
  <si>
    <t>Manufacturing Scrap</t>
  </si>
  <si>
    <t>BEND</t>
  </si>
  <si>
    <t>KFT operation</t>
  </si>
  <si>
    <t>Output Daily</t>
  </si>
  <si>
    <t>Subcon out</t>
  </si>
  <si>
    <t>Incoming from MV</t>
  </si>
  <si>
    <t>Productivity Total (BC)</t>
  </si>
  <si>
    <t>Productivity LP (BC)</t>
  </si>
  <si>
    <t>TAPE</t>
  </si>
  <si>
    <t>Subcon</t>
  </si>
  <si>
    <t>Manufacturing scrap</t>
  </si>
  <si>
    <t>2701-0374 Q+N</t>
  </si>
  <si>
    <t>M.Cs.  56% / B. Á 56% / T. Cs. 48%</t>
  </si>
  <si>
    <t>M.Cs.  77% / B. Á 76% / O.S. 39% / Á.L 60 %</t>
  </si>
  <si>
    <t>BEND +</t>
  </si>
  <si>
    <t>ATT (Kombi sablon)</t>
  </si>
  <si>
    <t>1200-1398 109,66%
1200-1184 75,60% (Cz. É.)</t>
  </si>
  <si>
    <t>LINE</t>
  </si>
  <si>
    <t>BUND</t>
  </si>
  <si>
    <t>Terv / Plan</t>
  </si>
  <si>
    <t>Kimenet (kumulált) / Output (cumulative)</t>
  </si>
  <si>
    <t>Teljes / Total</t>
  </si>
  <si>
    <t>2701-0374</t>
  </si>
  <si>
    <t>Output Daily Bundling</t>
  </si>
  <si>
    <t>PACK</t>
  </si>
  <si>
    <t>SLS</t>
  </si>
  <si>
    <t>Ship days</t>
  </si>
  <si>
    <t>Remain Amount</t>
  </si>
  <si>
    <t>Sales(Comulative)</t>
  </si>
  <si>
    <t>Sales Daily (Pc.)</t>
  </si>
  <si>
    <t>Sales Daily</t>
  </si>
  <si>
    <t>Draft Plan</t>
  </si>
  <si>
    <t>Original</t>
  </si>
  <si>
    <t>Sales Plan</t>
  </si>
  <si>
    <t>TTL Sales plan</t>
  </si>
  <si>
    <t>Sales EUR (actual)</t>
  </si>
  <si>
    <t>TTL actual sales</t>
  </si>
  <si>
    <t>Balance wo FG Stock</t>
  </si>
  <si>
    <t>Remaining sales</t>
  </si>
  <si>
    <t>FG Stock (ship out within this month)</t>
  </si>
  <si>
    <t>Planned  ship out from next month</t>
  </si>
  <si>
    <t>Balance with FG Stock</t>
  </si>
  <si>
    <t>FG increasement</t>
  </si>
  <si>
    <t>TTL FG Stock price</t>
  </si>
  <si>
    <t>FG plan in end of month</t>
  </si>
  <si>
    <t>Finished (Repack)</t>
  </si>
  <si>
    <t>Production output</t>
  </si>
  <si>
    <t>FG Open in sales price</t>
  </si>
  <si>
    <t>Finished FG Open in sales price</t>
  </si>
  <si>
    <t>29           1152 EUR</t>
  </si>
  <si>
    <t>30           4432 EUR</t>
  </si>
  <si>
    <t xml:space="preserve">SPC </t>
  </si>
  <si>
    <t xml:space="preserve">31           1610 </t>
  </si>
  <si>
    <t>Construction</t>
  </si>
  <si>
    <t>Daily sales</t>
  </si>
  <si>
    <t>Prod. Out.</t>
  </si>
  <si>
    <t>Prod. Plan</t>
  </si>
  <si>
    <t>Manual AVG Productivity</t>
  </si>
  <si>
    <t>Output</t>
  </si>
  <si>
    <t>Diff.</t>
  </si>
  <si>
    <t>07-1200-0767H</t>
  </si>
  <si>
    <t>07-1200-0787H</t>
  </si>
  <si>
    <t>07-1200-0937H</t>
  </si>
  <si>
    <t>07-1200-1040H</t>
  </si>
  <si>
    <t>07-1200-1078H</t>
  </si>
  <si>
    <t>07-1200-1083H</t>
  </si>
  <si>
    <t>07-1200-1084H</t>
  </si>
  <si>
    <t>07-1200-1100H</t>
  </si>
  <si>
    <t>07-1200-1125H</t>
  </si>
  <si>
    <t>07-1200-1146H</t>
  </si>
  <si>
    <t>07-1200-1147H</t>
  </si>
  <si>
    <t>07-1200-1149H</t>
  </si>
  <si>
    <t>07-1200-1175H</t>
  </si>
  <si>
    <t>07-1200-1177H</t>
  </si>
  <si>
    <t>07-1200-1221H</t>
  </si>
  <si>
    <t>07-2700-0225H</t>
  </si>
  <si>
    <t>07-2700-0253H</t>
  </si>
  <si>
    <t>07-2700-0270H</t>
  </si>
  <si>
    <t>07-2700-0282H</t>
  </si>
  <si>
    <t>07-2700-0304H</t>
  </si>
  <si>
    <t>07-2700-0327H</t>
  </si>
  <si>
    <t>07-2700-0332H</t>
  </si>
  <si>
    <t>07-2700-0333H</t>
  </si>
  <si>
    <t>07-2800-0420H</t>
  </si>
  <si>
    <t>07-2800-0455H</t>
  </si>
  <si>
    <t>07-2800-0513H</t>
  </si>
  <si>
    <t>07-2800-0518H</t>
  </si>
  <si>
    <t>07-2800-0555H</t>
  </si>
  <si>
    <t>1. Plan must be increased ( 80kpcs daily bundling , 90kpcs packaging)</t>
  </si>
  <si>
    <t>DC Stock daily increasement plan</t>
  </si>
  <si>
    <t>12-31 záró</t>
  </si>
  <si>
    <t>Sales + DC</t>
  </si>
  <si>
    <t>Planned from next month (sales price)</t>
  </si>
  <si>
    <t>Planned from next month DC price</t>
  </si>
  <si>
    <t>On DC</t>
  </si>
  <si>
    <t>FG Stock Plan</t>
  </si>
  <si>
    <t>Planned DC increasement</t>
  </si>
  <si>
    <t>FG Actual DC Robi</t>
  </si>
  <si>
    <t>DC Stock increasement actual</t>
  </si>
  <si>
    <t>Actual FG stock PC.</t>
  </si>
  <si>
    <t>Qty increasement</t>
  </si>
  <si>
    <t xml:space="preserve">Open in DC </t>
  </si>
  <si>
    <t>Open qtys.</t>
  </si>
  <si>
    <t>Production plan</t>
  </si>
  <si>
    <t>Completed</t>
  </si>
  <si>
    <t>Follow</t>
  </si>
  <si>
    <t>Time prop.</t>
  </si>
  <si>
    <t>Planned Qty</t>
  </si>
  <si>
    <t>Completed qty</t>
  </si>
  <si>
    <t>Workday and time proportional data</t>
  </si>
  <si>
    <t>Plan changes in price</t>
  </si>
  <si>
    <t>Perfomance data</t>
  </si>
  <si>
    <t>Total workday</t>
  </si>
  <si>
    <t>REV</t>
  </si>
  <si>
    <t>Date</t>
  </si>
  <si>
    <t>+ Sales</t>
  </si>
  <si>
    <t>- Sales</t>
  </si>
  <si>
    <t>+ DC</t>
  </si>
  <si>
    <t>- DC</t>
  </si>
  <si>
    <t>+ KFT Purch</t>
  </si>
  <si>
    <t>- KFT Purch.</t>
  </si>
  <si>
    <t>Reason of change</t>
  </si>
  <si>
    <t>Original plan follow</t>
  </si>
  <si>
    <t>Planned KFT prod. purchase cost</t>
  </si>
  <si>
    <t>Elapsed workday</t>
  </si>
  <si>
    <t>V04</t>
  </si>
  <si>
    <t>Alapanyaghiány: -1k 12-1428</t>
  </si>
  <si>
    <t>Original Plan</t>
  </si>
  <si>
    <t>Actual</t>
  </si>
  <si>
    <t>Perf.</t>
  </si>
  <si>
    <t>Palnned KFT prod DC cost [KFTPURCHDC]</t>
  </si>
  <si>
    <t>V05</t>
  </si>
  <si>
    <t>Alapanyaghiány: -8k 2701-0425, -1,5k 27-0449, -2k 20-0406</t>
  </si>
  <si>
    <t>Output [Qty]</t>
  </si>
  <si>
    <t>Planned finished FG DC cost [KFTFGDC]</t>
  </si>
  <si>
    <t>Actual output in sales price</t>
  </si>
  <si>
    <t>V06</t>
  </si>
  <si>
    <t>WH</t>
  </si>
  <si>
    <t>Time prop. Out in sales price</t>
  </si>
  <si>
    <t>V07</t>
  </si>
  <si>
    <t>Output [Price]</t>
  </si>
  <si>
    <t>KFTFGDC-KFTPURCHDC &gt; FINISHFGDC</t>
  </si>
  <si>
    <t>V08</t>
  </si>
  <si>
    <t>RM usage summarize</t>
  </si>
  <si>
    <t>Actual output in DC price</t>
  </si>
  <si>
    <t>V09</t>
  </si>
  <si>
    <t>Planned RM usage (shipping cost not inc.)</t>
  </si>
  <si>
    <t>&lt; In case of change must be updated manualy</t>
  </si>
  <si>
    <t>Time prop. Out in DC price</t>
  </si>
  <si>
    <t>V10</t>
  </si>
  <si>
    <t>RM usage vs. Sales</t>
  </si>
  <si>
    <t>V11</t>
  </si>
  <si>
    <t>RM usage vs. Out</t>
  </si>
  <si>
    <t>Actual Sales</t>
  </si>
  <si>
    <t>Actual Margin</t>
  </si>
  <si>
    <t>Achievement (Time prop.) Original</t>
  </si>
  <si>
    <t>V12</t>
  </si>
  <si>
    <t>V13</t>
  </si>
  <si>
    <t>Sales Price</t>
  </si>
  <si>
    <t>DC price</t>
  </si>
  <si>
    <t>Original plan data</t>
  </si>
  <si>
    <t>V14</t>
  </si>
  <si>
    <t>Sample Sales  Plan</t>
  </si>
  <si>
    <t>RM Cost</t>
  </si>
  <si>
    <t>Orig. Output plan in EUR Sales</t>
  </si>
  <si>
    <t>V15</t>
  </si>
  <si>
    <t>Sales Plan (Without samp.)</t>
  </si>
  <si>
    <t>Orig. Output plan in EUR DC</t>
  </si>
  <si>
    <t>V16</t>
  </si>
  <si>
    <t>Output plan (With samp.)</t>
  </si>
  <si>
    <t>Orig. KFT produced purch. Price</t>
  </si>
  <si>
    <t>V17</t>
  </si>
  <si>
    <t>Finished output Plan</t>
  </si>
  <si>
    <t>V18</t>
  </si>
  <si>
    <t>KFT Production output Plan</t>
  </si>
  <si>
    <t>Calculated field</t>
  </si>
  <si>
    <t>V19</t>
  </si>
  <si>
    <t>KFT prod ratio</t>
  </si>
  <si>
    <t>Manual input</t>
  </si>
  <si>
    <t>V20</t>
  </si>
  <si>
    <t xml:space="preserve">Finished ratio </t>
  </si>
  <si>
    <t>V21</t>
  </si>
  <si>
    <t>Planned DC stock movement (Output - Sales)</t>
  </si>
  <si>
    <t>V22</t>
  </si>
  <si>
    <t>V23</t>
  </si>
  <si>
    <t>V24</t>
  </si>
  <si>
    <t>Manual Productivity</t>
  </si>
  <si>
    <t>Scrap Summarise</t>
  </si>
  <si>
    <t>V25</t>
  </si>
  <si>
    <t>Finish</t>
  </si>
  <si>
    <t>V26</t>
  </si>
  <si>
    <t>Bending</t>
  </si>
  <si>
    <t>KFT prod.</t>
  </si>
  <si>
    <t>ATT Tape</t>
  </si>
  <si>
    <t>Reject With AA/TO</t>
  </si>
  <si>
    <t>Handline mark</t>
  </si>
  <si>
    <t>Reject without AA/TO</t>
  </si>
  <si>
    <t>ATT+Bending</t>
  </si>
  <si>
    <t>Ink-Jet BS-el együtt</t>
  </si>
  <si>
    <t>1200-1368 CYT elüti a MA és S méreteket:</t>
  </si>
  <si>
    <t>Corrected Efficency (excess)</t>
  </si>
  <si>
    <t>Nap / Day</t>
  </si>
  <si>
    <t>Cél / Target (daily)</t>
  </si>
  <si>
    <t>Átlag / AVG</t>
  </si>
  <si>
    <t>Shielding</t>
  </si>
  <si>
    <t>Attach tape</t>
  </si>
  <si>
    <t>Attach+Bending</t>
  </si>
  <si>
    <t>Hand line marking</t>
  </si>
  <si>
    <t>Kumulált átlag / AVG Cumulative</t>
  </si>
  <si>
    <t>Kumulált átlag / AVG Cumulative-Corrected Efficency (excess)</t>
  </si>
  <si>
    <t>Összes létszám</t>
  </si>
  <si>
    <t>KUMULÁLT / Cumulative</t>
  </si>
  <si>
    <t>Napi / Daily</t>
  </si>
  <si>
    <t>Cél/Target</t>
  </si>
  <si>
    <t>Napi csomi GY.</t>
  </si>
  <si>
    <t>Minta GY</t>
  </si>
  <si>
    <t>Minta nélküli selejt</t>
  </si>
  <si>
    <t>Dátum (date)</t>
  </si>
  <si>
    <t>Feladat (Task)</t>
  </si>
  <si>
    <t>Felelős személy (PIC)</t>
  </si>
  <si>
    <t>Határidő (Dead line)</t>
  </si>
  <si>
    <t>Státusz (status)</t>
  </si>
  <si>
    <t>Komment (Comment)</t>
  </si>
  <si>
    <t xml:space="preserve">Fólia vágó akció lista </t>
  </si>
  <si>
    <t>Debreczeni Ottó</t>
  </si>
  <si>
    <t>Lezárt</t>
  </si>
  <si>
    <t xml:space="preserve">IQC layout kialakítása SS hajlítónál </t>
  </si>
  <si>
    <t>Urbán Orsolya</t>
  </si>
  <si>
    <t>Vizuál lesz helyette</t>
  </si>
  <si>
    <t xml:space="preserve">1397-tel mi a helyzet? Mi a terv, hogy fogjuk megelőzni a jövőbeni gyártásnál, hogy ne váljon szét a ragasztó? </t>
  </si>
  <si>
    <t>Rebicsek Ádám</t>
  </si>
  <si>
    <t>Új ragasztóval kész a teszt--&gt; 12.11-én megnézni kinyílt-e a ragasztó --&gt; 2023.12.12nél tovább kezelve</t>
  </si>
  <si>
    <t xml:space="preserve">1171 hajlítógép után görgőzés.--&gt; Végső megoldás? Ha igen, költség vonzatát megvizsgálni </t>
  </si>
  <si>
    <t>Dömök-Demeter Petra</t>
  </si>
  <si>
    <t>SH Orsi</t>
  </si>
  <si>
    <t>Módosítva a műveletterv és az SH is jó.</t>
  </si>
  <si>
    <t>1221 150-150db teszt gyártása DMC jelölése mind2 tekercses INK-JETen</t>
  </si>
  <si>
    <t>Luda Ferenc</t>
  </si>
  <si>
    <t xml:space="preserve">1221 AD AMI /MIM előtt emelt színtű ellenőrzés vonalra, ellenőrzés elhagyásának vizsgálata végett </t>
  </si>
  <si>
    <t>WO kész. 0 selejt esett ki AD AMI-n USB után</t>
  </si>
  <si>
    <t>Minta rendelés jóváhagyásának hiánya --&gt; Minden esetben legyen másik fél általi jóváhagyás a Bcben. (Rajz + regisztráció) Punching esetén fontos a szerszám szám feltüntetése ha vágott ha profilozott</t>
  </si>
  <si>
    <t>Gergely Dániel</t>
  </si>
  <si>
    <t>2024-től Csabi ellenőrzi le a rajzokat</t>
  </si>
  <si>
    <t>1201-1222-ből ami MIM-en kiesett, az mind rossz is volt. Tudunk ebből levonni valami konklúziót?</t>
  </si>
  <si>
    <t>Dulcz Csaba</t>
  </si>
  <si>
    <t>Sajnos alsó határos volt. --&gt; Teszt Ink-jet 1-en</t>
  </si>
  <si>
    <t>1db 3R volt, 1397-es termék, SS hajlítógépen problémás volt</t>
  </si>
  <si>
    <t>2700-0271 (EOL) transzfer 2700-0361-re. Megbeszélés alapján speciális WO-val a 0L-2700-0361-be be kell építeni a 07-2700-0271-et, a hiányzó műveletekkel együttú</t>
  </si>
  <si>
    <t>1200-1397 - ragasztásához beírni a nyomkodás műveletet is</t>
  </si>
  <si>
    <t>SS hajlító után IQC vagy vizuál ellenőrzés?</t>
  </si>
  <si>
    <t>SS auto hajlítós műv. Tervek átnézése IQC vs Vizuál --&gt; Marad vizuál.</t>
  </si>
  <si>
    <t>1 éven túl gyártott anyagok listájnál mérnökség töltse ki a táblázatot, hogy melyik oszlop releváns az adott itemnél</t>
  </si>
  <si>
    <t>Lista kitöltve</t>
  </si>
  <si>
    <t>3R nem volt, 14-es AD PYP még mindig áll fejlesztés miatt</t>
  </si>
  <si>
    <t>2800-0507 szűkítés lazítása az alapanyag ablak miatt. Alapanyag megvizsgálása az eltett minta alapján.</t>
  </si>
  <si>
    <t xml:space="preserve">2700-0410 APIM-on megvizsgálni a lehetőségét, hogy egyszer kerüljön fel. </t>
  </si>
  <si>
    <t>1x APIM lett beállítva 2 jelölésre</t>
  </si>
  <si>
    <t>2700-0410-nél ha nem lehet egyszerre mindkét oldali jelölés, akkor műveletterv módosítás. (Apim művelet 2X)</t>
  </si>
  <si>
    <t>1200-1314 JSZ selejt a kábel szennyezettsége miatt. Alapanyag vizsgálata(emelt szintre emelés), jelzés a beszállítónak.</t>
  </si>
  <si>
    <t>Ádám emailje a válasz 02.20</t>
  </si>
  <si>
    <t>2700-0410 APIM 1-ben program módosítás az új rajz szerint.</t>
  </si>
  <si>
    <t>Dulcz Csaba / Urbán Orsolya</t>
  </si>
  <si>
    <t>Program kész az APIM 1-re. Első gyártást megnézni--&gt;nem volt Januárban több gyártás, termelés jelzi, ha lesz, de egyenlőre nincs behelyezve rendelés.--&gt; 09.25-én indulna, de reggel óta nem indult el gond miatt.</t>
  </si>
  <si>
    <t>CYT 2-n tönkrement a csapágy, fél műszakos javítás, 4-es 3R APIM 2. PDCA-ban kezelve</t>
  </si>
  <si>
    <t>Nem volt semmi említésre méltó esemény.1222-es terméknél volt fül sérülés, amit a beállítók orvosoltak a CYTen kaptonnal és nyomás állítással, + alapanyagban TP-s az anyag</t>
  </si>
  <si>
    <t>Ma tűrésen kívüli TP is volt benne --&gt; Ádám elengedte</t>
  </si>
  <si>
    <t>1200-1397 tesztje új ragasztóval nem volt jobb --&gt; Beszállítóval egyeztetni a szivacs kiszakadásának az okát</t>
  </si>
  <si>
    <t>01.04 Petra levele magyarázat.</t>
  </si>
  <si>
    <t>1221 DMC jelölés teszt eredménye alapján a tekercses INK-JET 1 után, nem rosszabb a jelölés minősége--&gt; DMC hullámosságra döntés</t>
  </si>
  <si>
    <t>Ádám nem fogadja el a hullámosságot vevői elfogadás nélkül</t>
  </si>
  <si>
    <t>3R nem volt!</t>
  </si>
  <si>
    <t>1314 2x-i felfűzés helyett 1-be jelölés</t>
  </si>
  <si>
    <t>Elfogadva a 4M</t>
  </si>
  <si>
    <t>1397 es anyagból 3mm-rel rövidebb  teszt ragasztása, következő gyártásnál</t>
  </si>
  <si>
    <t>Teszt anyag Lacinál. Nem lett jó.</t>
  </si>
  <si>
    <t>1221-es anyag HA nagy számú selejtet okozott. Visszajelzés küldése a beszállítónak</t>
  </si>
  <si>
    <t>2024.01.23 – Eszkaláltam Okunak, felvette a kapcsolatot SEIW-vel, h nézzék meg mennyire kritikus a téma--&gt; HA elengedve</t>
  </si>
  <si>
    <t>Címke nyomtatás WI véglegesítése</t>
  </si>
  <si>
    <t>Doksi kiadva 01.31</t>
  </si>
  <si>
    <t>3R nem volt az előző napon</t>
  </si>
  <si>
    <t>1200-1361-es termék nem tud menni az AD PYP-en, mert az anyag túl görbe. 3R form készült. Az elmúlt gyártások során is magas volt a selejt, átlag 5.49%. Ideiglenesen vevői kérés miatt áthelyezve CYT-re, a további gyártások átgondolása.</t>
  </si>
  <si>
    <t>BC-ben rögzíteni a művelettervben, hogy csak AD PYP14-en mehet</t>
  </si>
  <si>
    <t>1200-1039 Alapanyagban ferde az ablak.</t>
  </si>
  <si>
    <t>Nyitott</t>
  </si>
  <si>
    <t>Nincs speckó rá, jelzést kell küldeni a beszállító felé.--&gt;24.08.14-én levél küldve a beszállítónak. Válaszra várunk.</t>
  </si>
  <si>
    <t>1200-1397 támszalaghiba kivizsgálás a következő beérkezésen.</t>
  </si>
  <si>
    <r>
      <t xml:space="preserve">2024.01.23 – Dec 12-én jött be 6k, ami még akció előtti anyag, a Jan 9-i már jó anyag kell, hogy legyen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charset val="238"/>
        <scheme val="minor"/>
      </rPr>
      <t xml:space="preserve">  Nyomon követjük a belső selejttel, h valóban így van e.--&gt; 02.06 Támszalag nélküli találatok miatt 3R-ek készültek. LOT szám átküldve Ádámnak. 02.06--&gt; 6 beérkezés vizsgálva, mind ok volt.</t>
    </r>
  </si>
  <si>
    <t>1200-1397 a decemberi beérkezésbő Vizuális ellenőrzésen kiteszik a nem megfelelő támszalagos terméket.</t>
  </si>
  <si>
    <t>Válasz  a 33. sor komment oszlopában.</t>
  </si>
  <si>
    <t>1200-1367 nem tud menni az AD PYP-en. Át kell tenni CYT-re. Ideiglenes 4M elkészítése.</t>
  </si>
  <si>
    <t>4M elfogadva.</t>
  </si>
  <si>
    <t>1 éven túli doksi frissítése</t>
  </si>
  <si>
    <t>Emlékeztető elkészítve (havi szintet emlékeztetése Ádámnak)</t>
  </si>
  <si>
    <t>CYT-ek óránkénti kimenetel vizsgálata a tavalyi mintára az 1201-1221 kevés kimenete miatt.</t>
  </si>
  <si>
    <t>Óránkénti mérlegelés helyett leütés felírása</t>
  </si>
  <si>
    <t>IQC és Labor teljesítmény bónusz javaslata Oku san felé.</t>
  </si>
  <si>
    <t>Bevezetve 02.01-től, doksi módosításról emailt ír Ádám Adriennek. Bevezetve.</t>
  </si>
  <si>
    <t>1201-1221 1 LOT CYT-en vonalellenőrzéssel, darabszám nyomonkövetéssel.</t>
  </si>
  <si>
    <t>Luda Ferenc / Urbán Orsolya</t>
  </si>
  <si>
    <t>2700-0426 / 0427 / 0428 EATON termékek művelettervének felülvizsgálata USB--&gt; Vizuál??</t>
  </si>
  <si>
    <t xml:space="preserve">Vizuál lesz </t>
  </si>
  <si>
    <t>2700-0427 és 2700-0428 jelölésének megvizsgálása Manuál ink-jet helyett APIM + 27-0426 is.</t>
  </si>
  <si>
    <t>Letesztelve OK!</t>
  </si>
  <si>
    <t>V100-0157 ragasztó hosszabb méretben 100 db rendelés</t>
  </si>
  <si>
    <t>megrendelve 2024.01.16, teszt elkészült 02.05, Lacinak átadva.</t>
  </si>
  <si>
    <t xml:space="preserve">1200-1397 Az SS Bending random szétdobálja az anyagot. </t>
  </si>
  <si>
    <t>Állított Csabi a gépen. Azóta nem ismétlődött meg.</t>
  </si>
  <si>
    <t>V100-0157 extra erős ragasztórétegű és erős ragasztórétegű ragasztó rövidebb méretben 2X100 db rendelés (15X5)</t>
  </si>
  <si>
    <t>Tabletekre a BC applikáció letöltése</t>
  </si>
  <si>
    <t>Himpli Attila</t>
  </si>
  <si>
    <t>Kész</t>
  </si>
  <si>
    <t>1200-1282 Jelölési hiba döntésre vár.--&gt; Oku san döntése: le kell mosni</t>
  </si>
  <si>
    <t>Bónuszmegvonás O. Sanyitól.</t>
  </si>
  <si>
    <t>1200-1397-es anyag legkésőbb 01.18-án újra kell kezdeni a gyártást, mert nem fogjuk tudni kiszolgálni a vásárlót. Döntés a későbbi gyártásról?</t>
  </si>
  <si>
    <t>4X is lenyomkodva kiszállítás előtt.</t>
  </si>
  <si>
    <t>2700-0426 melegprés lapját ellenőrizni, nehogy selejt legyen mint a 427-ből.</t>
  </si>
  <si>
    <t>Rendben volt.</t>
  </si>
  <si>
    <t>A minták beépülő alapanyagaira a BC-ben való lefejlesztéséig kézzel írni a cimkére az azonosítókat.</t>
  </si>
  <si>
    <t>BC lefejlesztve.</t>
  </si>
  <si>
    <t>SS hajlítógép átállásakor a hajlítás szögét a programm adja. Mégis átálláskor korrigálni kell, miért?</t>
  </si>
  <si>
    <t>Normális, ha korrigálni kell, amikor gond van a géppel, de nem törvényszerű.</t>
  </si>
  <si>
    <t>1397 - 25db normál csiptetés és fordított hajlítás --&gt; 18x5ös ragasztóval; 25db fordított hajlítás (Csabi féle módszer)--&gt; 22x5-ös ragasztóval</t>
  </si>
  <si>
    <t>Ragasztó beérkezett. 01.31 Teszt elkészült, eredményre vár.</t>
  </si>
  <si>
    <t>2700-0443 -45°-os hajlítások és fixálásával való minta gyártás Cpk-ra. (közbelső hajlításokat nem szükséges rátenni)</t>
  </si>
  <si>
    <t>Orsi általi mintagyártás kapacitás hiány miatt--&gt; Készen vagyok, átadtam Klaunak az anyagot mérésre.</t>
  </si>
  <si>
    <t>CYT 2-re felkerüt BD-s oldalra egy új hulladék gyűjtő --&gt; teszt</t>
  </si>
  <si>
    <t>Mindkét gép, mindkét oldalán alkalmazva.</t>
  </si>
  <si>
    <t>APIM 1-2 folyamatos bejegyzés a naplóban, hogy felületi feszültség miatt szakad a vonal az ionizáló ellenére is, ami fel van rakva az APIM1-re. Szükséges így az Ionizáló?</t>
  </si>
  <si>
    <t>Nem szükséges használni.</t>
  </si>
  <si>
    <t>1200-1397 vevői reklamáció fordított hajlításra 2023.11. hó… 8D íródott? Valami történt azóta?</t>
  </si>
  <si>
    <t>Csökkentve a hiba lehetősége, nem volt hivatalos reklamáció.</t>
  </si>
  <si>
    <t>1200-1347-es anyag tesztelés (tisztítás nélküli és tisztított kábel jelölése 3as gépen)</t>
  </si>
  <si>
    <t>Nem hozott eredményt.</t>
  </si>
  <si>
    <t>Mai naptól a 3R-ek PDCA-ban való rögzítése Orsi feladata lett. Hiányzása esetén Laci.</t>
  </si>
  <si>
    <t>Rögzítve pótlólagosan minden 01.22</t>
  </si>
  <si>
    <t>Petra rendel Nissho-tól régi ragasztót a v100-0152-ből 100 db!</t>
  </si>
  <si>
    <t>megrendelve 2024.01.23</t>
  </si>
  <si>
    <t>1200-1362 tisztasági teszt miatt a széles fehér ragasztóval ragasztani 30 db-ot és Daninak átadni.</t>
  </si>
  <si>
    <t>Anyag átadva Daninak 01.24</t>
  </si>
  <si>
    <t>2701-0374 kapcsoló kódok beállítva. Tesztelés alatt.</t>
  </si>
  <si>
    <t xml:space="preserve">Apim  beállítási lap módosítása. </t>
  </si>
  <si>
    <t>Dokumentum kiadva 02.02</t>
  </si>
  <si>
    <t>APIM check list készítése a műszakonkénti ellenőrzésekre.</t>
  </si>
  <si>
    <t>Elfogadásra vár Laci által. (01.25)--&gt; törölve</t>
  </si>
  <si>
    <t>2700-0432 0,056K hiányzik a 3K-s megrendeléshez. Januárról kitolva áprilisra, betett rendelés nincs több, így anyag sincs rendelve hozzá. Infó, hogy kell-e ebből még gyártanunk, várjunk-e vagy lecsomagoltassuk utolsó darabig?  (Mintázás volt az új designra. 2701-0432)</t>
  </si>
  <si>
    <t>Szabó Krisztián</t>
  </si>
  <si>
    <t>A maradék termékre törlést kérnek.</t>
  </si>
  <si>
    <t>SAMP-00072-es minta fehér ragasztóját 13+/-1-re lehet tenni!</t>
  </si>
  <si>
    <t xml:space="preserve">CYT decemberi teljesítménye az 1201-1221-nek. </t>
  </si>
  <si>
    <t>Adatok küldése Orsitól 01.26.</t>
  </si>
  <si>
    <t>CYT vonal és vonal nélkül vágni 50-50 db-ot.</t>
  </si>
  <si>
    <t>Kiértékellés email Csabitól 01.26.</t>
  </si>
  <si>
    <t>2700-0429/0430/0431/0432 termék USB vagy Conti Final Insp ellenőrzés a következő gyártástól??</t>
  </si>
  <si>
    <t>Contira tenni. --&gt; Email Daninak róla 02.26</t>
  </si>
  <si>
    <t>2700-0361 termék tesztelés sárga tape nélkül. 100 db</t>
  </si>
  <si>
    <t>Teszt kész, Danira vár a kiértékelés. Sárga tape törlése a művelettervből.</t>
  </si>
  <si>
    <t xml:space="preserve">Dani eldönti, hogy kell-e a sárga tape a teszt alapján a 2700-0361-es termékre. (Vevő nem is kérte) </t>
  </si>
  <si>
    <t>Új műveletterv aktív. 01.30</t>
  </si>
  <si>
    <t>SS Bending túlterheltsége miatt a 2702-0329-es terméket kézi hajlításra bevisszük. (6,5K)</t>
  </si>
  <si>
    <t>USB vákumasztal teszt, ha ok, akkor megcsinálni minden asztalra.</t>
  </si>
  <si>
    <t>Klaudiáék tesztelnek.</t>
  </si>
  <si>
    <t>1200-1397 selejt kábellel tesztelés fordított irányú hajlítással.</t>
  </si>
  <si>
    <t>Teszt eredményre vár. --&gt; Indul  változás. 04.17</t>
  </si>
  <si>
    <t>USB tesztelés után eltömődött az elszívó az alsó sorban. Csabi ellenőrzi.</t>
  </si>
  <si>
    <t xml:space="preserve">Teszt asztal javítva. </t>
  </si>
  <si>
    <t>Nissotól rendelt ragasztó letesztelése, ha beért. (megrendelve 01.23)</t>
  </si>
  <si>
    <t>Azóta sem kaptam ragasztót.</t>
  </si>
  <si>
    <t>USB újabb teszt az új elszívó asztallal.</t>
  </si>
  <si>
    <t>Varga Klaudia</t>
  </si>
  <si>
    <t>Csabira vár a kiértékelés a szennyeződésre.</t>
  </si>
  <si>
    <t>2700-0417 megnevezés átírása a művelettervben</t>
  </si>
  <si>
    <t>1200-1397 SS B. tárazási segédlet módosítás kaptonozás miatt.</t>
  </si>
  <si>
    <t>Módosítva.</t>
  </si>
  <si>
    <t>1200-1283 Ink-Jetre betervezésnél jelzés Csabinak.</t>
  </si>
  <si>
    <t>Lement, CYT-nél jelzés Csabinak.--&gt; Csabinak jelezve. Selejt CYT után átadva--&gt; Eredmény</t>
  </si>
  <si>
    <t xml:space="preserve">1201-1221 Sárga Tape pozíció ellenőrzésének szükségessége </t>
  </si>
  <si>
    <t>Dani szerint nem szükséges. --&gt; Egyeztetni Klaudiával, hogy nézve van -e a pozíció szálkereszttel--&gt; Igen nézve van, de szükséges ???, ez az alap bejegyzés :) :) --&gt; szálkereszten nem kell. Csak az a lényeg, hogy az ablakon ne legyen a ragasztó, mert nincs funkcionalitása a tapenak.</t>
  </si>
  <si>
    <t>1200-1397 vevőnek kép küldése a jelenlegi és az "Új" hajlításról ragasztóval és ragasztó nélkül.</t>
  </si>
  <si>
    <t>Levél kiküldve 02.09</t>
  </si>
  <si>
    <t xml:space="preserve">MIM-en kitett 1201-1196 mérése. </t>
  </si>
  <si>
    <t>Emailban elküldve az összes eredmény.</t>
  </si>
  <si>
    <t>Nem történt semmi említésre méltó esemény.</t>
  </si>
  <si>
    <t>SAMP-116 maradék anyagát 0124-re legyártani, a SAMP-00124-et nem szabad lezárni!</t>
  </si>
  <si>
    <t xml:space="preserve">SAMP-00124 műveletterv és dátum módosítása </t>
  </si>
  <si>
    <t>1200-1344 0F-es készletéből 125 db-ot átméretni folyamatképesség miatt.</t>
  </si>
  <si>
    <t>Email elküldve 02.21</t>
  </si>
  <si>
    <t>Mai naptól életbe lép a higító újrahasznosítás az APIM 1-2 és Ink-Jet 1-en!</t>
  </si>
  <si>
    <t>1200-1398 - rajza (felirat) nem egyértelmű. Egyértelműsítés a vevői rajz alapján!</t>
  </si>
  <si>
    <t>07.03-án rajz módosítva.</t>
  </si>
  <si>
    <t>1200-1398 felirat pozíciójának (11-)ről változtatása a megfelelő méretre, plusz a vágott anyagnál is feltüntetni a jelölési méreteket.</t>
  </si>
  <si>
    <t>Nem volt 3R, gépek problémamentesen működtek</t>
  </si>
  <si>
    <t>Szűkített tűrés utasítás átnézése "S" méret miatt</t>
  </si>
  <si>
    <t>Új doksi kiadva 05.08</t>
  </si>
  <si>
    <t>1200-1344 CPK mérés kiértékelése.</t>
  </si>
  <si>
    <t>CPK OK!</t>
  </si>
  <si>
    <t>1200-1337 "hártya" elengedve, műszaknaplózva.</t>
  </si>
  <si>
    <t>1201-1196 probléma a punchingolás során. 90.11° a szög</t>
  </si>
  <si>
    <t>2700-0427 / 0428 / 0426 APIM-ra áthelyezhető? Teszt oké volt!</t>
  </si>
  <si>
    <t>Áthelyezve 4M-el 08. hóban.</t>
  </si>
  <si>
    <t>1200-1233 és 1201-1221 között alapanyagban mi a különbség?</t>
  </si>
  <si>
    <t>Beszállító felé jelezve, szerintük nincs különbség a két gyártásában.</t>
  </si>
  <si>
    <t>2700-0428 SH módosítás APIM adatokból.</t>
  </si>
  <si>
    <t>Orsi küldi az SH adatokat.--&gt; elküldve 03.06--&gt; 4M Csabitól --&gt; 4M elfogadva, SH-t kell módosítás a márciusi email alapján.</t>
  </si>
  <si>
    <t>2700-0369 IQC behelyezése a művelettervbe.</t>
  </si>
  <si>
    <t>2700-0369 vágott GND mérete kissebbre vehető?</t>
  </si>
  <si>
    <t>2700-0369 Rajz átnézése. (GND pozíció minimum értéke nincs feltüntetve)</t>
  </si>
  <si>
    <t>GND ragasztás ellenőrzésére sztenderd folyamat?</t>
  </si>
  <si>
    <t>24.08.14: Danival egyeztet róla Ádám , levélben egyeztetve róla 24.08.30-án</t>
  </si>
  <si>
    <t>1201-1221 vevői reklamáció mikor volt és mit válaszoltunk rá? (Esetleg 4M a bevezetett intézkedésről, hogy csak az Ink-Jet 2-en lehet feliratozni)</t>
  </si>
  <si>
    <t>2701-0374 szerszám tisztításának időpontját ellenőrizni kell (93.1A, 93.2A)</t>
  </si>
  <si>
    <t>Muzsnyai László</t>
  </si>
  <si>
    <t>1200-1397-es termék 2023.12.21-én beszállítói hiba miatt (támszalagpozíció),- nem lehet SK nélkül lehajlítani a terméket,- bekerült a Laborba. Beszállító felé jelzés. 770 db</t>
  </si>
  <si>
    <t>Beszállító kompenzál</t>
  </si>
  <si>
    <t xml:space="preserve">Mi az oka: 12-1337 68% / 12-1206 71% </t>
  </si>
  <si>
    <t>Nincs semmi bejegyzés, ami arra utalna, hogy probléma volt a gyártás során.</t>
  </si>
  <si>
    <t>SS hajlítógép hibafeltáráshoz új form bevezetése</t>
  </si>
  <si>
    <t>Lesson learn-be felvezetni a feltárt hibákat.</t>
  </si>
  <si>
    <t>2700-0429 és 0430 Contira áttenni USB-ről.</t>
  </si>
  <si>
    <t>Módosítva</t>
  </si>
  <si>
    <t>2700 / 2701-0430 és 0432 háromszög ragasztás+hajlítás Bendingről ATTACHT+Bendingre átírni</t>
  </si>
  <si>
    <t>2701-0413--&gt;2702-0413 átállás, egy hónapon belül kéri mindkét verziót. Hogyan kezeljük?</t>
  </si>
  <si>
    <t>Mehet egyszerre.</t>
  </si>
  <si>
    <t>1200-1206 termékhez csatlakozó próba, hogy a fröcskölődés alá esik-e. Ami alatta van a csatlakozási pontnak, az megfelel. (Rebicsek Ádám)</t>
  </si>
  <si>
    <t>1200-0929 görgőzés vizsgálata--&gt; nyomkodás nem válthatja ki?</t>
  </si>
  <si>
    <t>Műveletterv módosítva nyomkodásra.</t>
  </si>
  <si>
    <t>2701-0414--&gt;2702-0414 mi a különbség?</t>
  </si>
  <si>
    <t>2700-0414 0L-es maradék összehasonlítása 2701-0414.</t>
  </si>
  <si>
    <t>átsoroltatva.</t>
  </si>
  <si>
    <t>2701-0374 GND nem megfelelő tapadás miatt teszt teli sütőlappal.</t>
  </si>
  <si>
    <t>Nem lett jó a teszt, megolvadt a kivágásnál a szigetelő. (90-100 fok)</t>
  </si>
  <si>
    <t>Kapcsolókódok beállítása a termékekhez</t>
  </si>
  <si>
    <t>Orsi hozzáadta a kapcsolókódokat.</t>
  </si>
  <si>
    <t>2701-0374 újabb GND teszt hideg prés és kemence, melegprés 50 fok és kemence. Csütörtökön kielemezni.</t>
  </si>
  <si>
    <t>Hidegprés + kemence után a 7. számú GND felvált. Melegprés 50 fokos--&gt; Megfelelt, elindult a dupla prés.</t>
  </si>
  <si>
    <t>Összes lyukasztós cikkszám lezárása, vevő értesítése az új kiütésről. (1200-1078, 1200-0767, 2700-0225, 2700-0270, 1200-0962)</t>
  </si>
  <si>
    <t>1200-1397 kézi hajlításra visszarakva, hogy a gyártás ne álljon le, addig amíg az SS A B. újjászületik. :) 2024.04.12-én 10:30-tól újra gépi hajlítás.</t>
  </si>
  <si>
    <t>PYP mérleges helyett teszt a a kijelzős darabszámra.</t>
  </si>
  <si>
    <t>Dulcz Csaba/Urbán Orsolya</t>
  </si>
  <si>
    <t>Bevezetve 08. hótól.</t>
  </si>
  <si>
    <t>4M a V800-0315 miatt 75 m-re plusz művelet, prés 50 fokon</t>
  </si>
  <si>
    <t>Az új beérkezés is rossz, műveletterv módosítva dulpa présre.</t>
  </si>
  <si>
    <t>ND109-es és 110-es szerszámok megvizsgálása.</t>
  </si>
  <si>
    <t>TÉT-től árajánlat bekérve, Laci döntésére vár.</t>
  </si>
  <si>
    <t>PYP/CYT? programok archiválása az S méret tűrésének változásakor.</t>
  </si>
  <si>
    <t>Farkas István</t>
  </si>
  <si>
    <t>Folyamatosan menti a gép a paramétereket.</t>
  </si>
  <si>
    <t>Műveletterv módosítása (Négyzet jelölés selejtjeit átadni Ádámnak)</t>
  </si>
  <si>
    <t>Műveletterv módosítva.</t>
  </si>
  <si>
    <t>CYT-en tud menni a négyzet ellenőrzés? Ha igen módosítani a művelettervet: MIM törlés és helyette CYT, megjegyzésben négyzet pozíció ellenőrzése.</t>
  </si>
  <si>
    <t>Dulcz Csaba / Gergely Dani</t>
  </si>
  <si>
    <t>Tud menni, műveletterv módosítva</t>
  </si>
  <si>
    <t>Auditra meghatározni a futó termékeket (gépi folyamat)</t>
  </si>
  <si>
    <t>Laci elküldte Ádámnak</t>
  </si>
  <si>
    <t>Auditra meghatározni a futó termékeket (manuális folyamat)</t>
  </si>
  <si>
    <t>2700-0357 / 2700-0367 Ragasztás
1200-1323 / 1201-1196  / 1201-1341 Hajlítás</t>
  </si>
  <si>
    <t>Pénteki (05.03) műszak megszervezése</t>
  </si>
  <si>
    <t>Okutól speckó a 1368 támaszalagra</t>
  </si>
  <si>
    <t>Beszállítókkal felvenni a kapcsolatot a 374 S miatt illetve a 1368 támszalag miatt</t>
  </si>
  <si>
    <t>24.08.14 Válaszra várunk a 374 esetében. A 1368 reki lezárva.</t>
  </si>
  <si>
    <t>2700-0374 S miatt kitett 2K feletti mennyiségnyi anyag menthető?</t>
  </si>
  <si>
    <t>átellenőriztük, sajnos nem jók.</t>
  </si>
  <si>
    <t>2701-0374 S méretre kitett selejtek CAOI-n átellenőrizni, program kell hozzá.--&gt; Eredmény--&gt;1060 db jó--&gt; Labor mér 10 db-ot</t>
  </si>
  <si>
    <t>Muzsnyai László/Urbán Orsolya</t>
  </si>
  <si>
    <t>05.15. délután felkerült CAOI-ra.</t>
  </si>
  <si>
    <t>1201-1221 360 db anyag átsorolás 1200-1233-ra.</t>
  </si>
  <si>
    <t>Átsorolva.</t>
  </si>
  <si>
    <t>AD PYP14 géphiba miatt zárolás. (PV200 hiba)</t>
  </si>
  <si>
    <t>1200-1368 hímestojásként bánni vele minden műveleten!!!!!</t>
  </si>
  <si>
    <t>120-1368 átcsévélés megvizsgálása, hogy megfelelő e, nem e sérülhet a támszalag miatt.</t>
  </si>
  <si>
    <t>Előfeszítésen növelni kell.</t>
  </si>
  <si>
    <t xml:space="preserve">CYT előtti átcsévélőn az előfeszítést növeni kell. </t>
  </si>
  <si>
    <t>2700-0430 GND kopás beszállító szerint megfelelő.</t>
  </si>
  <si>
    <t>1200-1368 Continál az első WO-t az új beékezésből a megmutatott technika szerint húzni, ha nincs benne leeső támszalag, abba lehet hagyni a húzást.</t>
  </si>
  <si>
    <t>Minta mennyiséget kell a selejt %-ot belekalkulálni?</t>
  </si>
  <si>
    <t>Táblázatot módosítjuk.</t>
  </si>
  <si>
    <t>1221/1222 DMC hullámosság elengedése</t>
  </si>
  <si>
    <t>Ádám egyedül nem akar dönteni, részről nem felel meg a hullámosság.--&gt; Ádám nem engedi, vevőt nem vonjuk be,  így a pont lezárva.</t>
  </si>
  <si>
    <t>USB állomások vákuumasztalok kiépítése, karbantartási utasítás módosítása a vákuum asztal tisztítására</t>
  </si>
  <si>
    <t>Takarítási utasítást csinál Csabi az USB-re.--&gt; Ádám jóváhagyására vár</t>
  </si>
  <si>
    <t>2701-0429/0430/0431/0432 - műveleti sorrend változtatás, hogy a félig ragasztott bracket ne akadjon be sehova feleslegesen</t>
  </si>
  <si>
    <t>1200-0929 Hajlítás SH módosítani, mert a nyomkodás nem lett hozzá számolva miután a görgőzés törölve lett.</t>
  </si>
  <si>
    <t>Adat küldés Daninak 06.04--&gt;elküldve 06.06--&gt;Módosítva</t>
  </si>
  <si>
    <t>CYT 1-2 cséve rögzítő csavar kilazulás elleni védelme.</t>
  </si>
  <si>
    <t>Nem oldotta meg a problémát (1368).</t>
  </si>
  <si>
    <t>SAMP-00186 szigetelő "pattog", Dani most elengedte.</t>
  </si>
  <si>
    <t>SAMP-00187 nem tud a CYT-en menni, áttetette Dani AD PYP-re.</t>
  </si>
  <si>
    <t>1200-1398 design probléma, a felirat bele esik a ragasztóba, és félig letakarja az 1-es számot! Dani módosít a jelölés rajzán. Jelenleg ablak középtől (11)-re kell tenni, ezt kell módosítani, hogy ne fedje a ragasztó. (2024.02. hóban már feljött, mint feladat!)</t>
  </si>
  <si>
    <t>2024.07.03-án Dani módosította a rajzot.</t>
  </si>
  <si>
    <t>2701-0429/430/431/432 július közepéig hengerelve gyártani, utána, tesztelhető a teszt kombi sablon.</t>
  </si>
  <si>
    <t>Gergely Dániel/Urbán Orsolya</t>
  </si>
  <si>
    <t>Kombi sablon használva a 2701-0430-nál hengerlés után</t>
  </si>
  <si>
    <t xml:space="preserve">AD AMI 374 pötty jelölés ellenőrzés </t>
  </si>
  <si>
    <t>CYT 1368-as kábelt a CYT elhúzza, megnézni, hogy lehetne kivédeni</t>
  </si>
  <si>
    <t>Amit belehetett vezetni, az be lett vezetve.</t>
  </si>
  <si>
    <t>Tekercses INK-Jet változó szigetelő érték a szenzornál. Óránként írni a szenzor értékeket</t>
  </si>
  <si>
    <t>Beállított darabot is felírni, ha eltérés van vágja ki azt a darabot a tekercsből, és adja át Csabinak a beállítási lappal együtt</t>
  </si>
  <si>
    <t>Móri mikroszkóphoz nyomtatót hozzáadni.</t>
  </si>
  <si>
    <t>Himpli Attila/Rebicsek Ádám</t>
  </si>
  <si>
    <t>374 GND bar tapadás probléma: COC-ben benne van a GND(V800-0315) tapadási tesztje?</t>
  </si>
  <si>
    <t>4 felett elfogadható, beszállító által meghatározott értéken belüli.</t>
  </si>
  <si>
    <t>2700-0225 műveletterv módosítása USB-t bele kell tenni.</t>
  </si>
  <si>
    <t>CAOI + vizuál ell. Kivétele a műv tervből</t>
  </si>
  <si>
    <t>2701-0430 műveletterv átalakítása kombi sablonra</t>
  </si>
  <si>
    <t>12-1344 52%, mert 1200 db AA vitte el az időt.</t>
  </si>
  <si>
    <t>Bojtos Péter</t>
  </si>
  <si>
    <t>1368 DMC jelölés csak az 1-esen mehet--&gt; műveletterv módosítás</t>
  </si>
  <si>
    <t>1227 alapanyag sárga jelölés miatt sok NK(megáll a szenzor miatt a gép), úgy befűzni a kábelt, hogy a sárga jelölés távolabb legyen a szenzor érzékelési pontjától</t>
  </si>
  <si>
    <t>3R gépi rendellenesség átnézése napi egy</t>
  </si>
  <si>
    <t>Kiadva az új.</t>
  </si>
  <si>
    <t>Beszállítóval felvenni a kapcsolatot (kína, vietnám), hogy a papír helyett műanyag elválasztót használjanak.</t>
  </si>
  <si>
    <t>IQC átszervezésről döntést hozni</t>
  </si>
  <si>
    <t>08.01-től bevezetve az új folyamat.</t>
  </si>
  <si>
    <t>B10-es project alapanyag problémát a beszállítóval kompemzáltatni (SK)</t>
  </si>
  <si>
    <t>Selejt+válogatási ktg! 1K után nincs egyértelmű felválás, a hideghenger eltörlésének sürgetése.</t>
  </si>
  <si>
    <t>2701-0374 GND válasz holnap!</t>
  </si>
  <si>
    <t>Ideiglenes utasítás az IQC-nak Conti helyett.</t>
  </si>
  <si>
    <t>Kiadva 07.11 Klaunak.</t>
  </si>
  <si>
    <t>Hideghenger eltörlése sürgősen! Ma. :)</t>
  </si>
  <si>
    <t>Eltörölve.</t>
  </si>
  <si>
    <t>2701-0374 fóliázás meleghengerrel 50 fokon, erre a 4-es alatti tapadású GND-re!</t>
  </si>
  <si>
    <t>Fingerezés: AUP3T + B10es termékeknél</t>
  </si>
  <si>
    <t>Fingerezési utasítás módosítás</t>
  </si>
  <si>
    <t>B10-es termékekre körültekintőbb dobozból való kiszedés</t>
  </si>
  <si>
    <t>Ne öntsd, rakd át! Könnyen sérül a kábel vég--&gt; 500 db / szürke láda kiadva a raktárnak</t>
  </si>
  <si>
    <t>1221: Vonal és DMC pozíció ellenőrzés eltörlése --&gt; CPK mérés selejtekből</t>
  </si>
  <si>
    <t>Email kiküldve</t>
  </si>
  <si>
    <t>1200-1368: CYT műv. Terv módosítás: Sebesség csökkentés: szerszám oldalmozgás(knife move speed):300 ; kihordó görgő sebesség(blowdown speed): 150; back off speed:250</t>
  </si>
  <si>
    <t>kész</t>
  </si>
  <si>
    <t>1200-1368 Ink-Jet műveletterv módosítása DMC csak az 1-en mehet!!!</t>
  </si>
  <si>
    <t>Módosítva 08.05</t>
  </si>
  <si>
    <t>2700-0448 mehet az SS A. Bendingen?? (3X gépi hajlítás+1X kézi a gépnél.)</t>
  </si>
  <si>
    <t>CPK elküldve 08.06-án. 08.08-tól SS 3x+kézi 1x</t>
  </si>
  <si>
    <t>2700-0340-es termék APIM jelölésre vonatkozó részt módosítani a 2700-0366 rajza alapján!</t>
  </si>
  <si>
    <t>2700-0422 APIMra vonatkozó részt a rajzban módosítani kell. APIM 1 DMC számláló rész 01, APIM 2 DMC számláló rész 02-re módosul 00-ról.</t>
  </si>
  <si>
    <t>Módosítva 08.09</t>
  </si>
  <si>
    <t>2700-0448 SS Automat Bending 3X + 1X kézi felmért ideje a kalkulált SH-tól eltér, Csabival egyezteteve. Átállítani 4,2-ről 5,2-re.</t>
  </si>
  <si>
    <t>1201-1221 S 167 db --&gt; beméri pár "S" méretet</t>
  </si>
  <si>
    <t>Email elküldve 08.12</t>
  </si>
  <si>
    <t>1368 tekercses INK-JET ellenőrzési lapján megnézni a beavatkozási határ használatát</t>
  </si>
  <si>
    <t>Minden ellenőrzési lapon fellelhető a beavatkozási határérték, az ellenőrzött anyagok mindegyike megfelelő, értéken belüli.</t>
  </si>
  <si>
    <t>SML2SC-10(1)X83.0-ADX6(BL)-P0.5 -re módosítani a 2700-0448-as rajzát, mert SML2CD van benne</t>
  </si>
  <si>
    <t>1200-1368 négyzet vizsgálat tekercsben.</t>
  </si>
  <si>
    <t>Következő gyártásnál döntés a mérésről.</t>
  </si>
  <si>
    <t>2700-0448 rajzra felvezetni, hogy a fólia nem lehet felválva, valamint a 81+1,5/-3-as hajlításnál megjegyezni, hogy 81 alá ne menjen!</t>
  </si>
  <si>
    <t>2700-0448 hajlítás 81+1,5/-3. A vevő miért engedte a -3-as tűrést?</t>
  </si>
  <si>
    <t>V800-0315 GND alapanyag nincs a 2700-0436-os termékhez. Nincs megrendelve sem…</t>
  </si>
  <si>
    <t>Mindenki</t>
  </si>
  <si>
    <t>Teszt a bent lévő 315-ös ragasztóra.--&gt; 3as és a 4-es tekercs felhasználható. 4-est felhasználható, többi karantén)</t>
  </si>
  <si>
    <t>V800-0315 GND--&gt; 4-es ragasztási erő feletti GND-re ajánlat kérés</t>
  </si>
  <si>
    <t>2700-0434-es kábel esetén a teraoka szalag lelóg a kábelrő a rossz átlapolás miatt, ami a sablon kapton szalagjának  meglazulásából fakadt --&gt; Válogatás</t>
  </si>
  <si>
    <t>Kiválogatott mennyiség után döntés a sorsáról--&gt; 613 db javítandó selejt--&gt; A dolgozó javítja munkaidőn kívül.</t>
  </si>
  <si>
    <t>1201-1222 "szűz" tekercs felhelyezése előtt görgő pucolás+WO szám felírása a naplóban, hogy azt a gyártást szigorúan nyomon kell követni a selejtvizsgálatok miatt!</t>
  </si>
  <si>
    <t>Urbán Orsolya/Varga Klaudia</t>
  </si>
  <si>
    <t>USB-n nem volt magas selejt.</t>
  </si>
  <si>
    <t>1200-1368 négyzet jelölést ugyanúgy mérjék a laboros QA-ok szögre, mint a vonalat Ink-Jet-nél.</t>
  </si>
  <si>
    <t>Értesítve a Labor Ádám által.</t>
  </si>
  <si>
    <t>Nem volt semmi említésre méltó esemény.</t>
  </si>
  <si>
    <t>2700-0422 MasterPrint kihívása APIM-hoz.
 0L és 0F zárolása,válogatás után a halványak lemosása után APIM1-el újra jelölni. AD AMI nem kell rájuk! 2 átellenőrzési lap készül!! 1. Válogatás, Kötegelés. 2. Mosás, APIM1, Conti, Kötegelés.
07-es készletbe bele nézni.</t>
  </si>
  <si>
    <t>Debreczeni Ottó / Varga Klaudia / Urbán Orsi</t>
  </si>
  <si>
    <t>IQC használata nem egyértelmű a 0L-es művelet tervekbe. Lásd: 1233 vs 357 vs. 1419</t>
  </si>
  <si>
    <t>Melyik verzió lenne megfelelő?</t>
  </si>
  <si>
    <t>2700-0434 07-es készlet ellenőrzése.</t>
  </si>
  <si>
    <t>Újramunkálva</t>
  </si>
  <si>
    <t>Teszt 2700-0434 hideghengerrel / meleghengerrel Teraoka után.</t>
  </si>
  <si>
    <t>Nem hozott jobb eredményt.</t>
  </si>
  <si>
    <t>Vezető felől ragasztani a teraoka tapet, hogy a hajlításnál ne nyíljon szét a feszítés miatt.</t>
  </si>
  <si>
    <t>Beszállítói MOQ és a vevői MOQ összehasonlítása.</t>
  </si>
  <si>
    <t>V800-0315 hiánya miatti probléma megoldás?? Kisebb MOQ vagy alernatív GND??</t>
  </si>
  <si>
    <t>Alternatv lehet, de kisebb mennyiség nem.</t>
  </si>
  <si>
    <t>1423 mehet-e hétfőn?</t>
  </si>
  <si>
    <t>Eszesné Móni</t>
  </si>
  <si>
    <t>Mehet</t>
  </si>
  <si>
    <t>1380-as termék tekercsben való ragasztósorja sorjátlanítása(támszalagról)</t>
  </si>
  <si>
    <t>Nem volt a ragasztásnál jelezve a QA által, hogy sorjás lenne a kábel.</t>
  </si>
  <si>
    <t>2700-0448- dugdosós INK-Jet után elválasztós tárolás kivitelezése a ládában, hogy minimalizáljuk a kábel rendezés problémáját</t>
  </si>
  <si>
    <t>Kihírdetve mindenkinek, hogy minden anyagnál, ahol több sorba rakják az anyagokat, használják az elválasztókat.</t>
  </si>
  <si>
    <t>1380 - összevont sablon lehetőségének megvizsgálása</t>
  </si>
  <si>
    <t>Teszt sablon elkészítve, gyártásnak még nincs átadva.</t>
  </si>
  <si>
    <t>Minta teszt 2X. (1. V100-106-ból ragasztani rá, 2. Az alap sárga ragasztójából plusz ragasztás a tetejére.) + Kemence. Ádámnak képet küdeni.</t>
  </si>
  <si>
    <t>Urbán Orsolya / Gergely Dani</t>
  </si>
  <si>
    <t>B10 SOS eldönteni Continak, hogy lehet-e javítani, mert veszélyezteti a kiszállítást .</t>
  </si>
  <si>
    <t>Újra cimkézés.</t>
  </si>
  <si>
    <t>APIM program listát ellenőrizni, hogy egyezik-e a 2 gép (mind2 gépben rendelkezésre áll az összes program azokra az anyagokra amik mehetnek rajtuk)</t>
  </si>
  <si>
    <t>Programok összenézve, 1-2 program megírása szükséges. Csabinak átadva a pont 2024.11.04-én.</t>
  </si>
  <si>
    <t>Minta bejövőárú ellenőrzés csak a minta szobában levő új beérkezős polcon levő anyagokra kell, gyártásból visszamaradt minta anyagot tilos a beérkezős polcra visszarakni! Ennek a helyét ki kell alakítani!</t>
  </si>
  <si>
    <t>Gyártásból visszamaradt minta anyagot tilos a beérkezős polcra visszarakni</t>
  </si>
  <si>
    <t>B10 sablonkönnyítés a kézfájdalom kiküszöbölésére.</t>
  </si>
  <si>
    <t>1425 átellenőrzés, felszabadítás</t>
  </si>
  <si>
    <t>Minta reworkoléséhez ragasztót ledarabolni.</t>
  </si>
  <si>
    <t>Dulcz Csaba / Czibolya Laci</t>
  </si>
  <si>
    <t>Kábel tisztításra megoldást találni. Köpeny ragasztós hengerrel való tisztítása</t>
  </si>
  <si>
    <t>"tiszta szoba" tisztítására terv készítése</t>
  </si>
  <si>
    <t>1200-1397 behúzás miatt a mai és a holnapi napon megy az SSAutomata Bendingen is és kézi hajlításon is engedéllyel.</t>
  </si>
  <si>
    <t>SAMP-00369 (2700-0435) mintán eltérünk a rajztól és a művelettervtől Dani utasítása szerint, két DMC-t kell rátenni e db DMC helyett, mert a hajlításoknál szétnyílt a teraoka tape a meleghenger ellenére is. A DMC-t így az előírástól eltérően a hajlítás mellé kell helyezni, nem pedig a támasztószalag alá.</t>
  </si>
  <si>
    <t xml:space="preserve">A reklamát minta átragasztása lement. Kb. 100 db valós felválás volt, a nagytöbbségen a ragsztás középről indult és hibátlan volt. Ádám utasítására mindet leragasztottuk a vágott ragasztóval. Kötegelése 10.30-ra elkészül. </t>
  </si>
  <si>
    <t>Schaffler sárga ragasztójának a szélességét növelni, hogy középre érkezzen a ragasztó fedés.</t>
  </si>
  <si>
    <t>V800-0320-as alapanyagra kivett teszt anyagot felhasználni a BC-ben!! Kb. 15 m.</t>
  </si>
  <si>
    <t>Gabika felhasználta 2024.11.08-án.</t>
  </si>
  <si>
    <t>A megbeszéltek szerint  bármelyik gépen eszkalációig BS selejtre kell írni a gyártás indítás előti selejtet, eszkaláció után a QA jóváhagyásáig TST-re!!!</t>
  </si>
  <si>
    <t>2701-0328 - eredeti rajz  változtatása nélkül (kinyomtatott rajzon történt változtatás) megy a gyártás: Hajlítási pozíciórajzi tűrés (19+/-2) fölé állítva  21+0,5/-1, pötty pozíció +/- 0,5 helyett +/- 2,0</t>
  </si>
  <si>
    <t>Sablon lemezeinek kapton védelme könnyen kopik a lemez alatt</t>
  </si>
  <si>
    <t>2701-0374 - DMC pozíció ellenőrzéssel problémák vannak az AD AMI2-n(elugrál a pozícionáló ablak) --&gt; Nem működik a DMC pozíció mérés --&gt; szálkeresztes USB használata</t>
  </si>
  <si>
    <t>Ha nem sikerül, akkor USB-n szálkereszt beállítás rá</t>
  </si>
  <si>
    <t>Vágás CYT helyett AD PYPen (biztonságosabb és gyorsabb)</t>
  </si>
  <si>
    <t>B10 sablonjainak tisztaságát ellenőrizni, tesztelni a reklamációra</t>
  </si>
  <si>
    <t>Könyvelési dátum</t>
  </si>
  <si>
    <t>Adagszám</t>
  </si>
  <si>
    <t>Cikkszám</t>
  </si>
  <si>
    <t>Mennyiség</t>
  </si>
  <si>
    <t>DC Price</t>
  </si>
  <si>
    <t>DC TTL Line</t>
  </si>
  <si>
    <t>Átellenőrzés</t>
  </si>
  <si>
    <t>TTL in Sales price</t>
  </si>
  <si>
    <t>TTL QTY</t>
  </si>
  <si>
    <t>TTL DC</t>
  </si>
  <si>
    <t>WO-041477</t>
  </si>
  <si>
    <t>07-2701-0430H</t>
  </si>
  <si>
    <t>WO-041260</t>
  </si>
  <si>
    <t>07-2701-0431H</t>
  </si>
  <si>
    <t>WO-041473</t>
  </si>
  <si>
    <t>WO-037105</t>
  </si>
  <si>
    <t>07-2700-0362H</t>
  </si>
  <si>
    <t>WO-038349</t>
  </si>
  <si>
    <t>07-2800-0526H</t>
  </si>
  <si>
    <t>WO-038347</t>
  </si>
  <si>
    <t>07-2700-0256H</t>
  </si>
  <si>
    <t>WO-036191</t>
  </si>
  <si>
    <t>07-1200-1324H</t>
  </si>
  <si>
    <t>WO-037104</t>
  </si>
  <si>
    <t>07-2700-0049H</t>
  </si>
  <si>
    <t>WO-038392</t>
  </si>
  <si>
    <t>07-2700-0440H</t>
  </si>
  <si>
    <t>WO-040920</t>
  </si>
  <si>
    <t>07-2700-0422H</t>
  </si>
  <si>
    <t>WO-041495</t>
  </si>
  <si>
    <t>07-2701-0429H</t>
  </si>
  <si>
    <t>WO-041492</t>
  </si>
  <si>
    <t>WO-041627</t>
  </si>
  <si>
    <t>WO-040647</t>
  </si>
  <si>
    <t>07-2701-0425H</t>
  </si>
  <si>
    <t>WO-041008</t>
  </si>
  <si>
    <t>07-2701-0400H</t>
  </si>
  <si>
    <t>WO-041864</t>
  </si>
  <si>
    <t>07-2701-0399H</t>
  </si>
  <si>
    <t>WO-041001</t>
  </si>
  <si>
    <t>07-2702-0398H</t>
  </si>
  <si>
    <t>WO-041372</t>
  </si>
  <si>
    <t>07-2702-0396H</t>
  </si>
  <si>
    <t>WO-037492</t>
  </si>
  <si>
    <t>07-1200-1283H</t>
  </si>
  <si>
    <t>WO-039044</t>
  </si>
  <si>
    <t>07-2701-0414H</t>
  </si>
  <si>
    <t>WO-039868</t>
  </si>
  <si>
    <t>07-1200-1369H</t>
  </si>
  <si>
    <t>WO-039748</t>
  </si>
  <si>
    <t>07-2700-0439H</t>
  </si>
  <si>
    <t>WO-040395</t>
  </si>
  <si>
    <t>07-1200-1404H</t>
  </si>
  <si>
    <t>WO-039390</t>
  </si>
  <si>
    <t>07-1200-0951H</t>
  </si>
  <si>
    <t>WO-040387</t>
  </si>
  <si>
    <t>07-1200-1395H</t>
  </si>
  <si>
    <t>WO-041496</t>
  </si>
  <si>
    <t>WO-041481</t>
  </si>
  <si>
    <t>WO-038556</t>
  </si>
  <si>
    <t>07-1200-1392H</t>
  </si>
  <si>
    <t>WO-034989</t>
  </si>
  <si>
    <t>07-1200-0225H</t>
  </si>
  <si>
    <t>WO-041646</t>
  </si>
  <si>
    <t>07-1200-1368H</t>
  </si>
  <si>
    <t>WO-034986</t>
  </si>
  <si>
    <t>07-1200-1323H</t>
  </si>
  <si>
    <t>WO-037579</t>
  </si>
  <si>
    <t>07-1200-1398H</t>
  </si>
  <si>
    <t>WO-038102</t>
  </si>
  <si>
    <t>07-1200-1298H</t>
  </si>
  <si>
    <t>WO-037301</t>
  </si>
  <si>
    <t>WO-040378</t>
  </si>
  <si>
    <t>07-1200-1297H</t>
  </si>
  <si>
    <t>WO-038103</t>
  </si>
  <si>
    <t>WO-038561</t>
  </si>
  <si>
    <t>WO-039749</t>
  </si>
  <si>
    <t>07-2700-0450H</t>
  </si>
  <si>
    <t>WO-042013</t>
  </si>
  <si>
    <t>WO-038836</t>
  </si>
  <si>
    <t>07-2701-0328H</t>
  </si>
  <si>
    <t>WO-036805</t>
  </si>
  <si>
    <t>07-2700-0346H</t>
  </si>
  <si>
    <t>WO-040648</t>
  </si>
  <si>
    <t>WO-038963</t>
  </si>
  <si>
    <t>07-1200-1308H</t>
  </si>
  <si>
    <t>WO-038964</t>
  </si>
  <si>
    <t>WO-038965</t>
  </si>
  <si>
    <t>WO-041763</t>
  </si>
  <si>
    <t>WO-042184</t>
  </si>
  <si>
    <t>WO-041628</t>
  </si>
  <si>
    <t>WO-034990</t>
  </si>
  <si>
    <t>WO-034987</t>
  </si>
  <si>
    <t>WO-040396</t>
  </si>
  <si>
    <t>07-1201-1294H</t>
  </si>
  <si>
    <t>WO-041860</t>
  </si>
  <si>
    <t>07-1201-1199H</t>
  </si>
  <si>
    <t>WO-042098</t>
  </si>
  <si>
    <t>07-1201-1221H</t>
  </si>
  <si>
    <t>WO-042094</t>
  </si>
  <si>
    <t>07-2701-0397H</t>
  </si>
  <si>
    <t>WO-042093</t>
  </si>
  <si>
    <t>WO-038841</t>
  </si>
  <si>
    <t>07-1200-1364H</t>
  </si>
  <si>
    <t>WO-042185</t>
  </si>
  <si>
    <t>WO-040924</t>
  </si>
  <si>
    <t>WO-039181</t>
  </si>
  <si>
    <t>07-2000-0647H</t>
  </si>
  <si>
    <t>WO-042090</t>
  </si>
  <si>
    <t>WO-038883</t>
  </si>
  <si>
    <t>07-1200-0472H</t>
  </si>
  <si>
    <t>WO-042019</t>
  </si>
  <si>
    <t>WO-042342</t>
  </si>
  <si>
    <t>WO-039133</t>
  </si>
  <si>
    <t>07-9000-0462H</t>
  </si>
  <si>
    <t>WO-039134</t>
  </si>
  <si>
    <t>07-9000-0461H</t>
  </si>
  <si>
    <t>WO-040262</t>
  </si>
  <si>
    <t>07-1200-0953H</t>
  </si>
  <si>
    <t>WO-040127</t>
  </si>
  <si>
    <t>07-1201-1200H</t>
  </si>
  <si>
    <t>WO-035686</t>
  </si>
  <si>
    <t>07-2700-0357H</t>
  </si>
  <si>
    <t>WO-041596</t>
  </si>
  <si>
    <t>07-1200-1189H</t>
  </si>
  <si>
    <t>Postpone</t>
  </si>
  <si>
    <t>TTL Value</t>
  </si>
  <si>
    <t>Pull-in</t>
  </si>
  <si>
    <t>TTL Qty</t>
  </si>
  <si>
    <t>Customer</t>
  </si>
  <si>
    <t>ItemCode</t>
  </si>
  <si>
    <t>ToYear</t>
  </si>
  <si>
    <t>ToMonth</t>
  </si>
  <si>
    <t>Postp. Quantity</t>
  </si>
  <si>
    <t>Összeg / Rest Value</t>
  </si>
  <si>
    <t>Line</t>
  </si>
  <si>
    <t>Quantity</t>
  </si>
  <si>
    <t>OpenQty</t>
  </si>
  <si>
    <t>New Request</t>
  </si>
  <si>
    <t>Old Reqest</t>
  </si>
  <si>
    <t>ETA</t>
  </si>
  <si>
    <t>Rest Value</t>
  </si>
  <si>
    <t>Delta</t>
  </si>
  <si>
    <t>FromYear</t>
  </si>
  <si>
    <t>FromMonth</t>
  </si>
  <si>
    <t>BOSCH SECURITY SYSTEMS SA</t>
  </si>
  <si>
    <t>07-1200-1007H</t>
  </si>
  <si>
    <t>NO</t>
  </si>
  <si>
    <t>CONTINENTAL AUTOMOTIVE ROMANIA</t>
  </si>
  <si>
    <t>07-2700-0396H</t>
  </si>
  <si>
    <t>CONTINENTAL AUTOMOTIVE CZECH REPUBLIC S.R.O</t>
  </si>
  <si>
    <t>07-1201-1083H</t>
  </si>
  <si>
    <t>07-2700-0400H</t>
  </si>
  <si>
    <t>CONTINENTAL AUTOMOTIVE GUADALAJARA MEXICO S DE RL DE CV</t>
  </si>
  <si>
    <t>BOSCH CAR MULTIMEDIA PORTUGAL S.A.</t>
  </si>
  <si>
    <t>07-1201-1217H</t>
  </si>
  <si>
    <t>Kulcsgépek</t>
  </si>
  <si>
    <t>AD AMI 1</t>
  </si>
  <si>
    <t>AD AMI 2</t>
  </si>
  <si>
    <t>AD PYP 1</t>
  </si>
  <si>
    <t>AD PYP 2</t>
  </si>
  <si>
    <t>AD PYP 3</t>
  </si>
  <si>
    <t>AD PYP 4</t>
  </si>
  <si>
    <t>CYT 1</t>
  </si>
  <si>
    <t>CYT 2</t>
  </si>
  <si>
    <t>COIL INK-JET 1</t>
  </si>
  <si>
    <t>COIL INK-JET 2</t>
  </si>
  <si>
    <t>APIM 1</t>
  </si>
  <si>
    <t>APIM 2</t>
  </si>
  <si>
    <t>SS Autobending</t>
  </si>
  <si>
    <t>WH / Shift</t>
  </si>
  <si>
    <t>Production Machine Utilization</t>
  </si>
  <si>
    <t>Machine Center Name</t>
  </si>
  <si>
    <t>Avail. Shift</t>
  </si>
  <si>
    <t>Planned shift</t>
  </si>
  <si>
    <t>Planned stop time</t>
  </si>
  <si>
    <t>Number of machine</t>
  </si>
  <si>
    <t>Available WH</t>
  </si>
  <si>
    <t>Plan WH (V03)</t>
  </si>
  <si>
    <t>Actual WH</t>
  </si>
  <si>
    <t>Utilization (Act. WH / Plan WH)</t>
  </si>
  <si>
    <t>Utilization (Act. WH / Available WH)</t>
  </si>
  <si>
    <t>Monthly fix cost of the machine ( dpereciation)</t>
  </si>
  <si>
    <t>Hourly rate based on fix cost (based on actual hour)</t>
  </si>
  <si>
    <t>AD AUTOMATA PUNCHING</t>
  </si>
  <si>
    <t>AUTOMATA BENDING</t>
  </si>
  <si>
    <t>SS Auto Bending</t>
  </si>
  <si>
    <t>AD CUTTING MACHINE</t>
  </si>
  <si>
    <t>PUNCHING PRESS</t>
  </si>
  <si>
    <t>INK-JET COIL</t>
  </si>
  <si>
    <t>ORIS CUTTING MACHINE</t>
  </si>
  <si>
    <t>Inspection Machine Utilization</t>
  </si>
  <si>
    <t>ACI</t>
  </si>
  <si>
    <t>AD AMI</t>
  </si>
  <si>
    <t>USB CAMERA</t>
  </si>
  <si>
    <t>Price List Code</t>
  </si>
  <si>
    <t>Product No_</t>
  </si>
  <si>
    <t>Currency Code</t>
  </si>
  <si>
    <t>Unit Price</t>
  </si>
  <si>
    <t>Starting Date</t>
  </si>
  <si>
    <t>Ending Date</t>
  </si>
  <si>
    <t>Price</t>
  </si>
  <si>
    <t>Valid</t>
  </si>
  <si>
    <t>YES</t>
  </si>
  <si>
    <t>&lt;Sale</t>
  </si>
  <si>
    <t>No_</t>
  </si>
  <si>
    <t>Standard Cost</t>
  </si>
  <si>
    <t>S00001</t>
  </si>
  <si>
    <t>06-ASS1-O040</t>
  </si>
  <si>
    <t/>
  </si>
  <si>
    <t>04-HETH-0001</t>
  </si>
  <si>
    <t>06-ASS1-O025</t>
  </si>
  <si>
    <t>Sorcímkék</t>
  </si>
  <si>
    <t>Átlag / Price</t>
  </si>
  <si>
    <t>04-HETH-0006</t>
  </si>
  <si>
    <t>06-ASSY-O066</t>
  </si>
  <si>
    <t>04-HETH-0013</t>
  </si>
  <si>
    <t>06-ASS1-O038</t>
  </si>
  <si>
    <t>06-ASS1-B017</t>
  </si>
  <si>
    <t>06-ASS1-O057</t>
  </si>
  <si>
    <t>06-ASSY-B001</t>
  </si>
  <si>
    <t>06-ASS1-B018</t>
  </si>
  <si>
    <t>06-ASSY-O067</t>
  </si>
  <si>
    <t>06-ASSY-B007</t>
  </si>
  <si>
    <t>06-ASS1-B021</t>
  </si>
  <si>
    <t>06-ASS1-O030</t>
  </si>
  <si>
    <t>06-ASSY-B012</t>
  </si>
  <si>
    <t>06-ASS1-O004</t>
  </si>
  <si>
    <t>06-ASSY-O062</t>
  </si>
  <si>
    <t>06-ASSY-B013</t>
  </si>
  <si>
    <t>06-ASS1-O015</t>
  </si>
  <si>
    <t>06-ASSY-O065</t>
  </si>
  <si>
    <t>06-ASSY-B014</t>
  </si>
  <si>
    <t>06-ASS1-O019</t>
  </si>
  <si>
    <t>06-ASS2-O040</t>
  </si>
  <si>
    <t>06-ASSY-B015</t>
  </si>
  <si>
    <t>06-ASS2-O057</t>
  </si>
  <si>
    <t>06-ASSY-B017</t>
  </si>
  <si>
    <t>06-ASSY-B018</t>
  </si>
  <si>
    <t>06-ASS1-O037</t>
  </si>
  <si>
    <t>06-ASSY-V081</t>
  </si>
  <si>
    <t>06-ASSY-I002</t>
  </si>
  <si>
    <t>06-ASSY-O063</t>
  </si>
  <si>
    <t>06-ASSY-O003</t>
  </si>
  <si>
    <t>06-ASSY-O064</t>
  </si>
  <si>
    <t>06-ASSY-O004</t>
  </si>
  <si>
    <t>06-ASS1-O053</t>
  </si>
  <si>
    <t>07-2700-0229H</t>
  </si>
  <si>
    <t>06-ASSY-O006</t>
  </si>
  <si>
    <t>06-ASS1-O055</t>
  </si>
  <si>
    <t>07-1200-1426H</t>
  </si>
  <si>
    <t>06-ASSY-O009</t>
  </si>
  <si>
    <t>07-1200-1425H</t>
  </si>
  <si>
    <t>06-ASSY-O014</t>
  </si>
  <si>
    <t>06-ASS1-O060</t>
  </si>
  <si>
    <t>07-1200-1424H</t>
  </si>
  <si>
    <t>06-ASSY-O015</t>
  </si>
  <si>
    <t>06-ASS1-O061</t>
  </si>
  <si>
    <t>07-1200-1423H</t>
  </si>
  <si>
    <t>06-ASSY-O017</t>
  </si>
  <si>
    <t>06-ASS1-O063</t>
  </si>
  <si>
    <t>07-2800-0507H</t>
  </si>
  <si>
    <t>06-ASSY-O018</t>
  </si>
  <si>
    <t>06-ASS2-B017</t>
  </si>
  <si>
    <t>07-2000-0723H</t>
  </si>
  <si>
    <t>06-ASSY-O019</t>
  </si>
  <si>
    <t>06-ASS2-B018</t>
  </si>
  <si>
    <t>07-2100-0173H</t>
  </si>
  <si>
    <t>06-ASSY-O025</t>
  </si>
  <si>
    <t>06-ASS2-O025</t>
  </si>
  <si>
    <t>06-ASSY-O026</t>
  </si>
  <si>
    <t>06-ASSY-O030</t>
  </si>
  <si>
    <t>06-ASSY-O037</t>
  </si>
  <si>
    <t>07-2702-0327H</t>
  </si>
  <si>
    <t>06-ASSY-O038</t>
  </si>
  <si>
    <t>06-ASSY-O040</t>
  </si>
  <si>
    <t>07-2700-0449H</t>
  </si>
  <si>
    <t>06-ASSY-O053</t>
  </si>
  <si>
    <t>06-ASSY-O054</t>
  </si>
  <si>
    <t>07-1200-1418H</t>
  </si>
  <si>
    <t>06-ASSY-O055</t>
  </si>
  <si>
    <t>07-2000-0725H</t>
  </si>
  <si>
    <t>06-ASSY-O056</t>
  </si>
  <si>
    <t>07-2000-0724H</t>
  </si>
  <si>
    <t>06-ASSY-O057</t>
  </si>
  <si>
    <t>06-ASSY-O058</t>
  </si>
  <si>
    <t>06-ASSY-B019</t>
  </si>
  <si>
    <t>07-2100-0098H</t>
  </si>
  <si>
    <t>06-ASSY-O059</t>
  </si>
  <si>
    <t>06-ASSY-B020</t>
  </si>
  <si>
    <t>06-ASSY-O060</t>
  </si>
  <si>
    <t>06-ASSY-B021</t>
  </si>
  <si>
    <t>06-ASSY-O061</t>
  </si>
  <si>
    <t>06-ASSY-S015</t>
  </si>
  <si>
    <t>06-ASSY-I002_OLD</t>
  </si>
  <si>
    <t>06-ASSY-S018</t>
  </si>
  <si>
    <t>06-ASSY-V006</t>
  </si>
  <si>
    <t>06-ASSY-V010</t>
  </si>
  <si>
    <t>06-ASSY-O068</t>
  </si>
  <si>
    <t>06-ASSY-V015</t>
  </si>
  <si>
    <t>USD</t>
  </si>
  <si>
    <t>06-ASSY-V023</t>
  </si>
  <si>
    <t>06-ASSY-V028</t>
  </si>
  <si>
    <t>07-2100-0097H</t>
  </si>
  <si>
    <t>06-ASSY-V029</t>
  </si>
  <si>
    <t>06-ASSY-V035</t>
  </si>
  <si>
    <t>07-2700-0328H</t>
  </si>
  <si>
    <t>06-ASSY-V041</t>
  </si>
  <si>
    <t>06-ASSY-V042</t>
  </si>
  <si>
    <t>06-ASSY-V050</t>
  </si>
  <si>
    <t>07-2700-0447H</t>
  </si>
  <si>
    <t>06-ASSY-V053</t>
  </si>
  <si>
    <t>06-ASSY-V056</t>
  </si>
  <si>
    <t>07-1200-1417H</t>
  </si>
  <si>
    <t>06-ASSY-V069</t>
  </si>
  <si>
    <t>06-ASSY-V070</t>
  </si>
  <si>
    <t>06-ASSY-V072</t>
  </si>
  <si>
    <t>06-ASSY-V073</t>
  </si>
  <si>
    <t>07-1200-1029H</t>
  </si>
  <si>
    <t>06-ASSY-V074</t>
  </si>
  <si>
    <t>06-ASSY-V075</t>
  </si>
  <si>
    <t>06-ASSY-V076</t>
  </si>
  <si>
    <t>06-ASSY-V079</t>
  </si>
  <si>
    <t>06-ASSY-V083</t>
  </si>
  <si>
    <t>06-ASSY-V080</t>
  </si>
  <si>
    <t>06-ASSY-V084</t>
  </si>
  <si>
    <t>06-ASSY-Z002</t>
  </si>
  <si>
    <t>07-1200-1312H</t>
  </si>
  <si>
    <t>07-1200-0107H</t>
  </si>
  <si>
    <t>07-1200-0152H</t>
  </si>
  <si>
    <t>07-1200-0154H</t>
  </si>
  <si>
    <t>07-1200-0181H</t>
  </si>
  <si>
    <t>07-1200-0182H</t>
  </si>
  <si>
    <t>07-1200-1397H</t>
  </si>
  <si>
    <t>07-1200-0183H</t>
  </si>
  <si>
    <t>07-1200-0186H</t>
  </si>
  <si>
    <t>07-1200-0187H</t>
  </si>
  <si>
    <t>07-1200-0190H</t>
  </si>
  <si>
    <t>06-ASSY-P012</t>
  </si>
  <si>
    <t>07-1200-0204H</t>
  </si>
  <si>
    <t>06-ASSY-P023</t>
  </si>
  <si>
    <t>06-ASSY-V085</t>
  </si>
  <si>
    <t>06-ASSY-P037</t>
  </si>
  <si>
    <t>07-1200-0249H</t>
  </si>
  <si>
    <t>06-ASSY-P038</t>
  </si>
  <si>
    <t>07-1200-0352H</t>
  </si>
  <si>
    <t>06-ASSY-S003</t>
  </si>
  <si>
    <t>07-1200-0401H</t>
  </si>
  <si>
    <t>07-1200-0416H</t>
  </si>
  <si>
    <t>07-1200-0417H</t>
  </si>
  <si>
    <t>06-ASSY-V003</t>
  </si>
  <si>
    <t>07-1200-0436H</t>
  </si>
  <si>
    <t>06-ASSY-V004</t>
  </si>
  <si>
    <t>07-1200-0438H</t>
  </si>
  <si>
    <t>07-1200-0440H</t>
  </si>
  <si>
    <t>07-1200-0481H</t>
  </si>
  <si>
    <t>06-ASSY-V017</t>
  </si>
  <si>
    <t>07-1200-0508H</t>
  </si>
  <si>
    <t>07-1200-0510H</t>
  </si>
  <si>
    <t>07-1200-0534H</t>
  </si>
  <si>
    <t>07-1200-0550H</t>
  </si>
  <si>
    <t>07-1200-0551H</t>
  </si>
  <si>
    <t>07-1200-0559H</t>
  </si>
  <si>
    <t>07-1200-0560H</t>
  </si>
  <si>
    <t>07-1200-0561H</t>
  </si>
  <si>
    <t>07-1200-0564H</t>
  </si>
  <si>
    <t>07-1200-0594H</t>
  </si>
  <si>
    <t>07-1200-0601H</t>
  </si>
  <si>
    <t>07-1200-0696H</t>
  </si>
  <si>
    <t>06-ASSY-V071</t>
  </si>
  <si>
    <t>07-1200-0713H</t>
  </si>
  <si>
    <t>07-1200-0719H</t>
  </si>
  <si>
    <t>06-ASSY-V082</t>
  </si>
  <si>
    <t>07-1200-0720H</t>
  </si>
  <si>
    <t>07-1200-0724H</t>
  </si>
  <si>
    <t>07-1200-0726H</t>
  </si>
  <si>
    <t>07-1200-0748H</t>
  </si>
  <si>
    <t>06-ASSY-V077</t>
  </si>
  <si>
    <t>07-1200-0802H</t>
  </si>
  <si>
    <t>06-ASSY-V078</t>
  </si>
  <si>
    <t>07-1200-0813H</t>
  </si>
  <si>
    <t>07-1200-0817H</t>
  </si>
  <si>
    <t>07-1200-0818H</t>
  </si>
  <si>
    <t>07-1200-0826H</t>
  </si>
  <si>
    <t>07-1200-0835H</t>
  </si>
  <si>
    <t>07-1200-0850H</t>
  </si>
  <si>
    <t>07-1200-0852H</t>
  </si>
  <si>
    <t>07-1200-0856H</t>
  </si>
  <si>
    <t>07-1200-0857H</t>
  </si>
  <si>
    <t>06-SAMP-0001</t>
  </si>
  <si>
    <t>07-1200-0877H</t>
  </si>
  <si>
    <t>07-1200-0886H</t>
  </si>
  <si>
    <t>07-1200-0888H</t>
  </si>
  <si>
    <t>07-1200-0907H</t>
  </si>
  <si>
    <t>07-1200-0910H</t>
  </si>
  <si>
    <t>07-1200-0912H</t>
  </si>
  <si>
    <t>07-1200-0915H</t>
  </si>
  <si>
    <t>07-1200-0921H</t>
  </si>
  <si>
    <t>07-1200-0925H</t>
  </si>
  <si>
    <t>07-1200-0926H</t>
  </si>
  <si>
    <t>07-1200-0928H</t>
  </si>
  <si>
    <t>07-1200-0929H</t>
  </si>
  <si>
    <t>07-1200-0949H</t>
  </si>
  <si>
    <t>07-1200-0354H</t>
  </si>
  <si>
    <t>07-1200-0954H</t>
  </si>
  <si>
    <t>07-1200-0962H</t>
  </si>
  <si>
    <t>07-1200-0968H</t>
  </si>
  <si>
    <t>07-1200-0985H</t>
  </si>
  <si>
    <t>07-1200-0986H</t>
  </si>
  <si>
    <t>07-1200-0999H</t>
  </si>
  <si>
    <t>07-1200-1002H</t>
  </si>
  <si>
    <t>07-1200-1014H</t>
  </si>
  <si>
    <t>07-1200-1021H</t>
  </si>
  <si>
    <t>07-1200-1032H</t>
  </si>
  <si>
    <t>07-1200-1034H</t>
  </si>
  <si>
    <t>07-1200-1036H</t>
  </si>
  <si>
    <t>07-1200-1037H</t>
  </si>
  <si>
    <t>07-1200-1038H</t>
  </si>
  <si>
    <t>07-1200-1039H</t>
  </si>
  <si>
    <t>07-1200-1041H</t>
  </si>
  <si>
    <t>07-1200-1054H</t>
  </si>
  <si>
    <t>07-1200-1056H</t>
  </si>
  <si>
    <t>07-1200-1057H</t>
  </si>
  <si>
    <t>07-1200-1059H</t>
  </si>
  <si>
    <t>07-1200-1060H</t>
  </si>
  <si>
    <t>07-1200-1072H</t>
  </si>
  <si>
    <t>07-1200-1074H</t>
  </si>
  <si>
    <t>07-1200-1075H</t>
  </si>
  <si>
    <t>07-1200-1091H</t>
  </si>
  <si>
    <t>07-1200-1093H</t>
  </si>
  <si>
    <t>07-1200-1098H</t>
  </si>
  <si>
    <t>07-1200-1123H</t>
  </si>
  <si>
    <t>07-1200-1124H</t>
  </si>
  <si>
    <t>07-1200-1127H</t>
  </si>
  <si>
    <t>07-1200-1128H</t>
  </si>
  <si>
    <t>07-1200-1136H</t>
  </si>
  <si>
    <t>07-1200-1139H</t>
  </si>
  <si>
    <t>07-1200-1140H</t>
  </si>
  <si>
    <t>07-1200-1145H</t>
  </si>
  <si>
    <t>07-1200-1148H</t>
  </si>
  <si>
    <t>07-1200-1156H</t>
  </si>
  <si>
    <t>07-1200-1158H</t>
  </si>
  <si>
    <t>07-1200-1162H</t>
  </si>
  <si>
    <t>07-1200-1166H</t>
  </si>
  <si>
    <t>07-1200-1172H</t>
  </si>
  <si>
    <t>07-1200-1176H</t>
  </si>
  <si>
    <t>07-1200-1183H</t>
  </si>
  <si>
    <t>07-1200-1184H</t>
  </si>
  <si>
    <t>07-1200-1190H</t>
  </si>
  <si>
    <t>07-1200-1192H</t>
  </si>
  <si>
    <t>07-1200-0989H</t>
  </si>
  <si>
    <t>07-1200-1197H</t>
  </si>
  <si>
    <t>07-1200-1199H</t>
  </si>
  <si>
    <t>07-1200-1200H</t>
  </si>
  <si>
    <t>07-1200-1204H</t>
  </si>
  <si>
    <t>07-1200-1206H</t>
  </si>
  <si>
    <t>07-1200-1208H</t>
  </si>
  <si>
    <t>07-1200-1210H</t>
  </si>
  <si>
    <t>07-1200-1211H</t>
  </si>
  <si>
    <t>07-1200-1212H</t>
  </si>
  <si>
    <t>07-1200-1213H</t>
  </si>
  <si>
    <t>07-1200-1215H</t>
  </si>
  <si>
    <t>07-1200-1216H</t>
  </si>
  <si>
    <t>07-1200-1222H</t>
  </si>
  <si>
    <t>07-1200-1223H</t>
  </si>
  <si>
    <t>07-1200-1224H</t>
  </si>
  <si>
    <t>07-1200-1226H</t>
  </si>
  <si>
    <t>07-1200-1227H</t>
  </si>
  <si>
    <t>07-1200-1229H</t>
  </si>
  <si>
    <t>07-1200-1233H</t>
  </si>
  <si>
    <t>07-1200-1234H</t>
  </si>
  <si>
    <t>07-1200-1237H</t>
  </si>
  <si>
    <t>07-1200-1238H</t>
  </si>
  <si>
    <t>07-1200-1241H</t>
  </si>
  <si>
    <t>07-1200-1243H</t>
  </si>
  <si>
    <t>07-1200-1244H</t>
  </si>
  <si>
    <t>07-1200-1245H</t>
  </si>
  <si>
    <t>07-1200-1246H</t>
  </si>
  <si>
    <t>07-1200-1097H</t>
  </si>
  <si>
    <t>07-1200-1247H</t>
  </si>
  <si>
    <t>07-1200-1248H</t>
  </si>
  <si>
    <t>07-1200-1249H</t>
  </si>
  <si>
    <t>07-1200-1258H</t>
  </si>
  <si>
    <t>07-1200-1261H</t>
  </si>
  <si>
    <t>07-1200-1262H</t>
  </si>
  <si>
    <t>07-1200-1265H</t>
  </si>
  <si>
    <t>07-1200-1272H</t>
  </si>
  <si>
    <t>07-1200-1273H</t>
  </si>
  <si>
    <t>07-1200-1275H</t>
  </si>
  <si>
    <t>07-1200-1280H</t>
  </si>
  <si>
    <t>07-1200-1142H</t>
  </si>
  <si>
    <t>07-1200-1282H</t>
  </si>
  <si>
    <t>07-1200-1288H</t>
  </si>
  <si>
    <t>07-1200-1290H</t>
  </si>
  <si>
    <t>07-1200-1157H</t>
  </si>
  <si>
    <t>07-1200-1291H</t>
  </si>
  <si>
    <t>07-1200-1296H</t>
  </si>
  <si>
    <t>07-1200-1299H</t>
  </si>
  <si>
    <t>07-1200-1300H</t>
  </si>
  <si>
    <t>07-1200-1301H</t>
  </si>
  <si>
    <t>07-1200-1303H</t>
  </si>
  <si>
    <t>07-1200-1304H</t>
  </si>
  <si>
    <t>07-1200-1305H</t>
  </si>
  <si>
    <t>07-1200-1306H</t>
  </si>
  <si>
    <t>07-1200-1307H</t>
  </si>
  <si>
    <t>07-1200-1309H</t>
  </si>
  <si>
    <t>07-1200-1310H</t>
  </si>
  <si>
    <t>07-1200-1311H</t>
  </si>
  <si>
    <t>07-1200-1314H</t>
  </si>
  <si>
    <t>07-1200-1315H</t>
  </si>
  <si>
    <t>07-1200-1316H</t>
  </si>
  <si>
    <t>07-1200-1317H</t>
  </si>
  <si>
    <t>07-1200-1318H</t>
  </si>
  <si>
    <t>07-1200-1319H</t>
  </si>
  <si>
    <t>07-1200-1320H</t>
  </si>
  <si>
    <t>07-1200-1321H</t>
  </si>
  <si>
    <t>07-1200-1322H</t>
  </si>
  <si>
    <t>07-1200-1328H</t>
  </si>
  <si>
    <t>07-1200-1329H</t>
  </si>
  <si>
    <t>07-1200-1330H</t>
  </si>
  <si>
    <t>07-1200-1331H</t>
  </si>
  <si>
    <t>07-1200-1332H</t>
  </si>
  <si>
    <t>07-1200-1333H</t>
  </si>
  <si>
    <t>07-1200-1334H</t>
  </si>
  <si>
    <t>07-1200-1335H</t>
  </si>
  <si>
    <t>07-1200-1336H</t>
  </si>
  <si>
    <t>07-1200-1337H</t>
  </si>
  <si>
    <t>07-1200-1338H</t>
  </si>
  <si>
    <t>07-1200-1339H</t>
  </si>
  <si>
    <t>07-1200-1341H</t>
  </si>
  <si>
    <t>07-1200-1342H</t>
  </si>
  <si>
    <t>07-1200-1344H</t>
  </si>
  <si>
    <t>07-1200-1345H</t>
  </si>
  <si>
    <t>07-1200-1346H</t>
  </si>
  <si>
    <t>07-1200-1347H</t>
  </si>
  <si>
    <t>07-1200-1348H</t>
  </si>
  <si>
    <t>07-1200-1420H</t>
  </si>
  <si>
    <t>07-1200-1349H</t>
  </si>
  <si>
    <t>07-1200-1361H</t>
  </si>
  <si>
    <t>07-1200-1362H</t>
  </si>
  <si>
    <t>07-1200-1363H</t>
  </si>
  <si>
    <t>07-1200-1278H</t>
  </si>
  <si>
    <t>07-1200-1365H</t>
  </si>
  <si>
    <t>07-1200-1366H</t>
  </si>
  <si>
    <t>07-1200-1367H</t>
  </si>
  <si>
    <t>07-1200-1371H</t>
  </si>
  <si>
    <t>07-1200-1372H</t>
  </si>
  <si>
    <t>07-1200-1373H</t>
  </si>
  <si>
    <t>07-1200-1374H</t>
  </si>
  <si>
    <t>07-1200-1375H</t>
  </si>
  <si>
    <t>07-1200-1376H</t>
  </si>
  <si>
    <t>07-1200-1377H</t>
  </si>
  <si>
    <t>07-1200-1378H</t>
  </si>
  <si>
    <t>07-1200-1379H</t>
  </si>
  <si>
    <t>07-1200-1380H</t>
  </si>
  <si>
    <t>07-1200-1381H</t>
  </si>
  <si>
    <t>07-1200-1382H</t>
  </si>
  <si>
    <t>07-1200-1383H</t>
  </si>
  <si>
    <t>07-1200-1384H</t>
  </si>
  <si>
    <t>07-1200-1385H</t>
  </si>
  <si>
    <t>07-1200-1386H</t>
  </si>
  <si>
    <t>07-1200-1387H</t>
  </si>
  <si>
    <t>07-1200-1388H</t>
  </si>
  <si>
    <t>07-1200-1389H</t>
  </si>
  <si>
    <t>07-1200-1390H</t>
  </si>
  <si>
    <t>07-1200-1391H</t>
  </si>
  <si>
    <t>07-1200-1393H</t>
  </si>
  <si>
    <t>07-1200-1399H</t>
  </si>
  <si>
    <t>07-1201-0612H</t>
  </si>
  <si>
    <t>07-1201-0613H</t>
  </si>
  <si>
    <t>07-1201-1084H</t>
  </si>
  <si>
    <t>07-1201-1171H</t>
  </si>
  <si>
    <t>07-1201-1172H</t>
  </si>
  <si>
    <t>07-1201-1196H</t>
  </si>
  <si>
    <t>07-1201-1197H</t>
  </si>
  <si>
    <t>07-1201-1204H</t>
  </si>
  <si>
    <t>07-1201-1222H</t>
  </si>
  <si>
    <t>07-1201-1238H</t>
  </si>
  <si>
    <t>07-1201-1295H</t>
  </si>
  <si>
    <t>07-1200-1343H</t>
  </si>
  <si>
    <t>07-1201-1302H</t>
  </si>
  <si>
    <t>07-1201-1341H</t>
  </si>
  <si>
    <t>07-2000-0120H</t>
  </si>
  <si>
    <t>07-2000-0226H</t>
  </si>
  <si>
    <t>07-2000-0262H</t>
  </si>
  <si>
    <t>07-2000-0306H</t>
  </si>
  <si>
    <t>07-2000-0313H</t>
  </si>
  <si>
    <t>07-1200-1354H</t>
  </si>
  <si>
    <t>07-2000-0344H</t>
  </si>
  <si>
    <t>07-1200-1355H</t>
  </si>
  <si>
    <t>07-2000-0346H</t>
  </si>
  <si>
    <t>07-2000-0366H</t>
  </si>
  <si>
    <t>07-2000-0385H</t>
  </si>
  <si>
    <t>07-2000-0386H</t>
  </si>
  <si>
    <t>07-2000-0387H</t>
  </si>
  <si>
    <t>07-2000-0406H</t>
  </si>
  <si>
    <t>07-2000-0415H</t>
  </si>
  <si>
    <t>07-2000-0419H</t>
  </si>
  <si>
    <t>07-2000-0451H</t>
  </si>
  <si>
    <t>07-2000-0461H</t>
  </si>
  <si>
    <t>07-2000-0462H</t>
  </si>
  <si>
    <t>07-2000-0465H</t>
  </si>
  <si>
    <t>07-2000-0483H</t>
  </si>
  <si>
    <t>07-2000-0493H</t>
  </si>
  <si>
    <t>07-2000-0494H</t>
  </si>
  <si>
    <t>07-2000-0495H</t>
  </si>
  <si>
    <t>07-2000-0503H</t>
  </si>
  <si>
    <t>07-2000-0507H</t>
  </si>
  <si>
    <t>07-2000-0513H</t>
  </si>
  <si>
    <t>07-2000-0518H</t>
  </si>
  <si>
    <t>07-2000-0531H</t>
  </si>
  <si>
    <t>07-2000-0535H</t>
  </si>
  <si>
    <t>07-2000-0536H</t>
  </si>
  <si>
    <t>07-2000-0537H</t>
  </si>
  <si>
    <t>07-2000-0538H</t>
  </si>
  <si>
    <t>07-2000-0544H</t>
  </si>
  <si>
    <t>07-2000-0546H</t>
  </si>
  <si>
    <t>07-2000-0556H</t>
  </si>
  <si>
    <t>07-2000-0561H</t>
  </si>
  <si>
    <t>07-2000-0563H</t>
  </si>
  <si>
    <t>07-2000-0579H</t>
  </si>
  <si>
    <t>07-2000-0581H</t>
  </si>
  <si>
    <t>07-2000-0584H</t>
  </si>
  <si>
    <t>07-1200-1394H</t>
  </si>
  <si>
    <t>07-2000-0585H</t>
  </si>
  <si>
    <t>07-2000-0586H</t>
  </si>
  <si>
    <t>07-1200-1396H</t>
  </si>
  <si>
    <t>07-2000-0592H</t>
  </si>
  <si>
    <t>07-2000-0594H</t>
  </si>
  <si>
    <t>07-2000-0595H</t>
  </si>
  <si>
    <t>07-2000-0598H</t>
  </si>
  <si>
    <t>07-1200-1400H</t>
  </si>
  <si>
    <t>07-2000-0602H</t>
  </si>
  <si>
    <t>07-1200-1401H</t>
  </si>
  <si>
    <t>07-2000-0604H</t>
  </si>
  <si>
    <t>07-1200-1402H</t>
  </si>
  <si>
    <t>07-2000-0605H</t>
  </si>
  <si>
    <t>07-1200-1403H</t>
  </si>
  <si>
    <t>07-2000-0608H</t>
  </si>
  <si>
    <t>07-2000-0609H</t>
  </si>
  <si>
    <t>07-1200-1405H</t>
  </si>
  <si>
    <t>07-2000-0610H</t>
  </si>
  <si>
    <t>07-1200-1406H</t>
  </si>
  <si>
    <t>07-2000-0613H</t>
  </si>
  <si>
    <t>07-1200-1407H</t>
  </si>
  <si>
    <t>07-2000-0618H</t>
  </si>
  <si>
    <t>07-1200-1408H</t>
  </si>
  <si>
    <t>07-2000-0619H</t>
  </si>
  <si>
    <t>07-1200-1409H</t>
  </si>
  <si>
    <t>07-2000-0626H</t>
  </si>
  <si>
    <t>07-1200-1410H</t>
  </si>
  <si>
    <t>07-2000-0632H</t>
  </si>
  <si>
    <t>07-1200-1411H</t>
  </si>
  <si>
    <t>07-2000-0635H</t>
  </si>
  <si>
    <t>07-1200-1412H</t>
  </si>
  <si>
    <t>07-2000-0636H</t>
  </si>
  <si>
    <t>07-1200-1413H</t>
  </si>
  <si>
    <t>07-2000-0637H</t>
  </si>
  <si>
    <t>07-1200-1414H</t>
  </si>
  <si>
    <t>07-2000-0638H</t>
  </si>
  <si>
    <t>07-1200-1415H</t>
  </si>
  <si>
    <t>07-2000-0640H</t>
  </si>
  <si>
    <t>07-1200-1416H</t>
  </si>
  <si>
    <t>HUF</t>
  </si>
  <si>
    <t>07-2000-0641H</t>
  </si>
  <si>
    <t>07-2000-0644H</t>
  </si>
  <si>
    <t>07-2000-0645H</t>
  </si>
  <si>
    <t>07-1200-1419H</t>
  </si>
  <si>
    <t>07-2000-0648H</t>
  </si>
  <si>
    <t>07-1200-1421H</t>
  </si>
  <si>
    <t>07-2000-0650H</t>
  </si>
  <si>
    <t>07-1200-1422H</t>
  </si>
  <si>
    <t>07-2000-0652H</t>
  </si>
  <si>
    <t>07-2000-0658H</t>
  </si>
  <si>
    <t>07-2000-0661H</t>
  </si>
  <si>
    <t>07-2000-0666H</t>
  </si>
  <si>
    <t>07-2000-0669H</t>
  </si>
  <si>
    <t>07-1200-1427H</t>
  </si>
  <si>
    <t>07-2000-0681H</t>
  </si>
  <si>
    <t>07-1200-1428H</t>
  </si>
  <si>
    <t>07-2000-0683H</t>
  </si>
  <si>
    <t>07-1201-0225H</t>
  </si>
  <si>
    <t>07-2000-0684H</t>
  </si>
  <si>
    <t>07-2000-0685H</t>
  </si>
  <si>
    <t>07-2000-0686H</t>
  </si>
  <si>
    <t>07-1201-1029H</t>
  </si>
  <si>
    <t>07-2000-0692H</t>
  </si>
  <si>
    <t>07-2000-0693H</t>
  </si>
  <si>
    <t>07-2000-0694H</t>
  </si>
  <si>
    <t>07-2000-0698H</t>
  </si>
  <si>
    <t>07-2000-0701H</t>
  </si>
  <si>
    <t>07-2000-0707H</t>
  </si>
  <si>
    <t>07-2000-0708H</t>
  </si>
  <si>
    <t>07-2000-0712H</t>
  </si>
  <si>
    <t>07-2000-0713H</t>
  </si>
  <si>
    <t>07-2000-0714H</t>
  </si>
  <si>
    <t>07-2000-0715H</t>
  </si>
  <si>
    <t>07-2000-0717H</t>
  </si>
  <si>
    <t>07-2000-0718H</t>
  </si>
  <si>
    <t>07-2000-0719H</t>
  </si>
  <si>
    <t>07-1201-1250H</t>
  </si>
  <si>
    <t>07-2000-0720H</t>
  </si>
  <si>
    <t>07-1201-1251H</t>
  </si>
  <si>
    <t>07-2000-0721H</t>
  </si>
  <si>
    <t>07-1201-1265H</t>
  </si>
  <si>
    <t>07-2100-0064H</t>
  </si>
  <si>
    <t>07-1201-1282H</t>
  </si>
  <si>
    <t>07-2100-0066H</t>
  </si>
  <si>
    <t>07-2100-0122H</t>
  </si>
  <si>
    <t>07-2701-0229H</t>
  </si>
  <si>
    <t>07-2100-0123H</t>
  </si>
  <si>
    <t>07-1201-1296H</t>
  </si>
  <si>
    <t>07-2100-0126H</t>
  </si>
  <si>
    <t>07-2100-0139H</t>
  </si>
  <si>
    <t>07-2100-0145H</t>
  </si>
  <si>
    <t>07-1202-1296H</t>
  </si>
  <si>
    <t>07-2100-0146H</t>
  </si>
  <si>
    <t>07-2000-0002H</t>
  </si>
  <si>
    <t>07-2100-0148H</t>
  </si>
  <si>
    <t>07-2100-0150H</t>
  </si>
  <si>
    <t>07-2100-0151H</t>
  </si>
  <si>
    <t>07-2100-0171H</t>
  </si>
  <si>
    <t>07-2700-0068H</t>
  </si>
  <si>
    <t>07-2700-0113H</t>
  </si>
  <si>
    <t>07-2700-0117H</t>
  </si>
  <si>
    <t>07-2700-0125H</t>
  </si>
  <si>
    <t>07-2700-0129H</t>
  </si>
  <si>
    <t>07-2700-0150H</t>
  </si>
  <si>
    <t>07-2700-0151H</t>
  </si>
  <si>
    <t>07-2700-0152H</t>
  </si>
  <si>
    <t>07-2700-0163H</t>
  </si>
  <si>
    <t>07-2700-0200H</t>
  </si>
  <si>
    <t>07-2700-0216H</t>
  </si>
  <si>
    <t>07-2000-0459H</t>
  </si>
  <si>
    <t>07-2700-0218H</t>
  </si>
  <si>
    <t>07-2000-0460H</t>
  </si>
  <si>
    <t>07-2700-0219H</t>
  </si>
  <si>
    <t>07-2700-0228H</t>
  </si>
  <si>
    <t>07-2700-0230H</t>
  </si>
  <si>
    <t>07-2700-0237H</t>
  </si>
  <si>
    <t>07-2700-0238H</t>
  </si>
  <si>
    <t>07-2700-0242H</t>
  </si>
  <si>
    <t>07-2700-0244H</t>
  </si>
  <si>
    <t>07-2700-0245H</t>
  </si>
  <si>
    <t>07-2700-0246H</t>
  </si>
  <si>
    <t>07-2700-0254H</t>
  </si>
  <si>
    <t>07-2700-0257H</t>
  </si>
  <si>
    <t>07-2000-0534H</t>
  </si>
  <si>
    <t>07-2700-0258H</t>
  </si>
  <si>
    <t>07-2700-0259H</t>
  </si>
  <si>
    <t>07-2700-0260H</t>
  </si>
  <si>
    <t>07-2700-0261H</t>
  </si>
  <si>
    <t>07-2700-0262H</t>
  </si>
  <si>
    <t>07-2700-0263H</t>
  </si>
  <si>
    <t>07-2700-0264H</t>
  </si>
  <si>
    <t>07-2700-0265H</t>
  </si>
  <si>
    <t>07-2700-0266H</t>
  </si>
  <si>
    <t>07-2700-0268H</t>
  </si>
  <si>
    <t>07-2700-0271H</t>
  </si>
  <si>
    <t>07-2700-0275H</t>
  </si>
  <si>
    <t>07-2700-0276H</t>
  </si>
  <si>
    <t>07-2700-0283H</t>
  </si>
  <si>
    <t>07-2700-0284H</t>
  </si>
  <si>
    <t>07-2700-0285H</t>
  </si>
  <si>
    <t>07-2700-0287H</t>
  </si>
  <si>
    <t>07-2700-0290H</t>
  </si>
  <si>
    <t>07-2700-0302H</t>
  </si>
  <si>
    <t>07-2700-0303H</t>
  </si>
  <si>
    <t>07-2700-0306H</t>
  </si>
  <si>
    <t>07-2700-0307H</t>
  </si>
  <si>
    <t>07-2700-0311H</t>
  </si>
  <si>
    <t>07-2700-0313H</t>
  </si>
  <si>
    <t>07-2700-0315H</t>
  </si>
  <si>
    <t>07-2700-0319H</t>
  </si>
  <si>
    <t>07-2700-0320H</t>
  </si>
  <si>
    <t>07-2700-0325H</t>
  </si>
  <si>
    <t>07-2700-0329H</t>
  </si>
  <si>
    <t>07-2700-0330H</t>
  </si>
  <si>
    <t>07-2700-0335H</t>
  </si>
  <si>
    <t>07-2700-0336H</t>
  </si>
  <si>
    <t>07-2700-0337H</t>
  </si>
  <si>
    <t>07-2700-0338H</t>
  </si>
  <si>
    <t>07-2700-0340H</t>
  </si>
  <si>
    <t>07-2700-0341H</t>
  </si>
  <si>
    <t>07-2700-0342H</t>
  </si>
  <si>
    <t>07-2700-0344H</t>
  </si>
  <si>
    <t>07-2000-0657H</t>
  </si>
  <si>
    <t>07-2700-0345H</t>
  </si>
  <si>
    <t>07-2700-0347H</t>
  </si>
  <si>
    <t>07-2700-0348H</t>
  </si>
  <si>
    <t>07-2000-0667H</t>
  </si>
  <si>
    <t>07-2700-0356H</t>
  </si>
  <si>
    <t>07-2700-0360H</t>
  </si>
  <si>
    <t>07-2700-0361H</t>
  </si>
  <si>
    <t>07-2700-0363H</t>
  </si>
  <si>
    <t>07-2700-0364H</t>
  </si>
  <si>
    <t>07-2700-0365H</t>
  </si>
  <si>
    <t>07-2700-0366H</t>
  </si>
  <si>
    <t>07-2700-0367H</t>
  </si>
  <si>
    <t>07-2700-0368H</t>
  </si>
  <si>
    <t>07-2700-0369H</t>
  </si>
  <si>
    <t>07-2700-0370H</t>
  </si>
  <si>
    <t>07-2700-0375H</t>
  </si>
  <si>
    <t>07-2700-0376H</t>
  </si>
  <si>
    <t>07-2700-0377H</t>
  </si>
  <si>
    <t>07-2700-0381H</t>
  </si>
  <si>
    <t>07-2700-0383H</t>
  </si>
  <si>
    <t>07-2700-0386H</t>
  </si>
  <si>
    <t>07-2700-0387H</t>
  </si>
  <si>
    <t>07-2700-0389H</t>
  </si>
  <si>
    <t>07-2700-0390H</t>
  </si>
  <si>
    <t>07-2700-0391H</t>
  </si>
  <si>
    <t>07-2000-0722H</t>
  </si>
  <si>
    <t>07-2700-0392H</t>
  </si>
  <si>
    <t>07-2700-0393H</t>
  </si>
  <si>
    <t>07-2700-0394H</t>
  </si>
  <si>
    <t>07-2700-0395H</t>
  </si>
  <si>
    <t>07-2000-0726H</t>
  </si>
  <si>
    <t>07-2000-0727H</t>
  </si>
  <si>
    <t>07-2700-0397H</t>
  </si>
  <si>
    <t>07-2700-0399H</t>
  </si>
  <si>
    <t>07-2700-0401H</t>
  </si>
  <si>
    <t>07-2700-0403H</t>
  </si>
  <si>
    <t>07-2700-0404H</t>
  </si>
  <si>
    <t>07-2700-0405H</t>
  </si>
  <si>
    <t>07-2700-0410H</t>
  </si>
  <si>
    <t>07-2700-0411H</t>
  </si>
  <si>
    <t>07-2700-0412H</t>
  </si>
  <si>
    <t>07-2700-0413H</t>
  </si>
  <si>
    <t>07-2700-0414H</t>
  </si>
  <si>
    <t>07-2700-0415H</t>
  </si>
  <si>
    <t>07-2100-0172H</t>
  </si>
  <si>
    <t>07-2700-0416H</t>
  </si>
  <si>
    <t>07-2700-0417H</t>
  </si>
  <si>
    <t>07-2101-0097H</t>
  </si>
  <si>
    <t>07-2700-0420H</t>
  </si>
  <si>
    <t>07-2101-0098H</t>
  </si>
  <si>
    <t>07-2700-0421H</t>
  </si>
  <si>
    <t>07-2101-0126H</t>
  </si>
  <si>
    <t>07-2700-0423H</t>
  </si>
  <si>
    <t>07-2700-0424H</t>
  </si>
  <si>
    <t>07-2700-0425H</t>
  </si>
  <si>
    <t>07-2700-0426H</t>
  </si>
  <si>
    <t>07-2700-0427H</t>
  </si>
  <si>
    <t>07-2700-0428H</t>
  </si>
  <si>
    <t>07-2700-0429H</t>
  </si>
  <si>
    <t>07-2700-0430H</t>
  </si>
  <si>
    <t>07-2700-0431H</t>
  </si>
  <si>
    <t>07-2700-0432H</t>
  </si>
  <si>
    <t>07-2700-0433H</t>
  </si>
  <si>
    <t>07-2700-0434H</t>
  </si>
  <si>
    <t>07-2700-0435H</t>
  </si>
  <si>
    <t>07-2700-0436H</t>
  </si>
  <si>
    <t>07-2700-0437H</t>
  </si>
  <si>
    <t>07-2700-0226H</t>
  </si>
  <si>
    <t>07-2701-0295H</t>
  </si>
  <si>
    <t>07-2701-0327H</t>
  </si>
  <si>
    <t>07-2701-0339H</t>
  </si>
  <si>
    <t>07-2701-0374H</t>
  </si>
  <si>
    <t>07-2702-0287H</t>
  </si>
  <si>
    <t>07-2700-0238H_OLD</t>
  </si>
  <si>
    <t>07-2702-0329H</t>
  </si>
  <si>
    <t>07-2800-0349H</t>
  </si>
  <si>
    <t>07-2800-0425H</t>
  </si>
  <si>
    <t>07-2800-0437H</t>
  </si>
  <si>
    <t>07-2800-0449H</t>
  </si>
  <si>
    <t>07-2800-0490H</t>
  </si>
  <si>
    <t>07-2800-0502H</t>
  </si>
  <si>
    <t>07-2800-0510H</t>
  </si>
  <si>
    <t>07-2800-0542H</t>
  </si>
  <si>
    <t>07-2800-0543H</t>
  </si>
  <si>
    <t>07-2800-0545H</t>
  </si>
  <si>
    <t>07-2800-0546H</t>
  </si>
  <si>
    <t>07-2800-0548H</t>
  </si>
  <si>
    <t>07-2800-0549H</t>
  </si>
  <si>
    <t>07-2800-0552H</t>
  </si>
  <si>
    <t>07-2800-0553H</t>
  </si>
  <si>
    <t>07-2800-0563H</t>
  </si>
  <si>
    <t>07-2800-0565H</t>
  </si>
  <si>
    <t>07-2800-0566H</t>
  </si>
  <si>
    <t>07-2800-0570H</t>
  </si>
  <si>
    <t>07-2800-0571H</t>
  </si>
  <si>
    <t>07-2800-0574H</t>
  </si>
  <si>
    <t>07-2800-0583H</t>
  </si>
  <si>
    <t>07-2800-0584H</t>
  </si>
  <si>
    <t>07-9000-0458H</t>
  </si>
  <si>
    <t>07-9000-0459H</t>
  </si>
  <si>
    <t>07-9000-0460H</t>
  </si>
  <si>
    <t>07-9300-0056</t>
  </si>
  <si>
    <t>0F-1200-1190</t>
  </si>
  <si>
    <t>07-2700-0314H</t>
  </si>
  <si>
    <t>07-2700-0406H</t>
  </si>
  <si>
    <t>07-2700-0407H</t>
  </si>
  <si>
    <t>07-2701-0228H</t>
  </si>
  <si>
    <t>07-2700-0441H</t>
  </si>
  <si>
    <t>07-2700-0442H</t>
  </si>
  <si>
    <t>07-2700-0351H</t>
  </si>
  <si>
    <t>07-2701-0363H</t>
  </si>
  <si>
    <t>07-2700-0374H</t>
  </si>
  <si>
    <t>07-2700-0398H</t>
  </si>
  <si>
    <t>0M-MB01-0002</t>
  </si>
  <si>
    <t>07-2701-0413H</t>
  </si>
  <si>
    <t>07-2701-0396H</t>
  </si>
  <si>
    <t>07-2701-0398H</t>
  </si>
  <si>
    <t>07-2700-0444H</t>
  </si>
  <si>
    <t>07-2700-0445H</t>
  </si>
  <si>
    <t>07-2700-0446H</t>
  </si>
  <si>
    <t>07-2702-0413H</t>
  </si>
  <si>
    <t>07-2700-0438H</t>
  </si>
  <si>
    <t>07-2701-0432H</t>
  </si>
  <si>
    <t>07-2700-0448H</t>
  </si>
  <si>
    <t>07-2700-0443H</t>
  </si>
  <si>
    <t>07-2700-0451H</t>
  </si>
  <si>
    <t>TOOL</t>
  </si>
  <si>
    <t>07-2700-0452H</t>
  </si>
  <si>
    <t>07-2700-0453H</t>
  </si>
  <si>
    <t>07-2700-0454H</t>
  </si>
  <si>
    <t>07-2700-0455H</t>
  </si>
  <si>
    <t>07-2701-0049H</t>
  </si>
  <si>
    <t>07-2701-0125H</t>
  </si>
  <si>
    <t>07-2701-0152H</t>
  </si>
  <si>
    <t>07-2701-0216H</t>
  </si>
  <si>
    <t>07-2701-0218H</t>
  </si>
  <si>
    <t>07-2701-0244H</t>
  </si>
  <si>
    <t>07-2701-0319H</t>
  </si>
  <si>
    <t>07-2701-0401H</t>
  </si>
  <si>
    <t>07-2701-0329H</t>
  </si>
  <si>
    <t>07-2701-0362H</t>
  </si>
  <si>
    <t>07-2701-0389H</t>
  </si>
  <si>
    <t>07-2701-0447H</t>
  </si>
  <si>
    <t>07-2701-0390H</t>
  </si>
  <si>
    <t>0M-1200-1344</t>
  </si>
  <si>
    <t>07-2800-0587H</t>
  </si>
  <si>
    <t>07-2701-0434H</t>
  </si>
  <si>
    <t>07-2701-0420H</t>
  </si>
  <si>
    <t>07-2100-0067H</t>
  </si>
  <si>
    <t>Végösszeg</t>
  </si>
  <si>
    <t>07-2801-0349H</t>
  </si>
  <si>
    <t>07-2801-0526H</t>
  </si>
  <si>
    <t>07-2801-0543H</t>
  </si>
  <si>
    <t>07-2801-0546H</t>
  </si>
  <si>
    <t>07-2801-0572H</t>
  </si>
  <si>
    <t>0D-ASS1-O053</t>
  </si>
  <si>
    <t>0D-ASSY-O064</t>
  </si>
  <si>
    <t>0E-ASS1-O015</t>
  </si>
  <si>
    <t>0E-ASS1-O019</t>
  </si>
  <si>
    <t>0E-ASS1-O025</t>
  </si>
  <si>
    <t>0E-ASS1-O030</t>
  </si>
  <si>
    <t>0E-ASS1-O037</t>
  </si>
  <si>
    <t>0E-ASS1-O038</t>
  </si>
  <si>
    <t>0E-ASS1-O040</t>
  </si>
  <si>
    <t>0E-ASSY-O041</t>
  </si>
  <si>
    <t>0E-ASSY-O042</t>
  </si>
  <si>
    <t>0E-ASSY-O043</t>
  </si>
  <si>
    <t>0E-ASSY-O044</t>
  </si>
  <si>
    <t>0E-ASSY-O045</t>
  </si>
  <si>
    <t>0E-ASSY-O046</t>
  </si>
  <si>
    <t>0E-ASSY-O047</t>
  </si>
  <si>
    <t>0E-ASSY-O048</t>
  </si>
  <si>
    <t>0E-ASSY-O049</t>
  </si>
  <si>
    <t>0E-ASSY-O050</t>
  </si>
  <si>
    <t>0E-ASSY-O051</t>
  </si>
  <si>
    <t>0E-ASSY-O052</t>
  </si>
  <si>
    <t>0E-ASSY-O064</t>
  </si>
  <si>
    <t>0E-ASSY-S001</t>
  </si>
  <si>
    <t>0E-ASSY-S003</t>
  </si>
  <si>
    <t>0E-ASSY-S004</t>
  </si>
  <si>
    <t>0F-1200-0186</t>
  </si>
  <si>
    <t>0F-1200-0187</t>
  </si>
  <si>
    <t>0F-1200-0190</t>
  </si>
  <si>
    <t>0F-1200-0249</t>
  </si>
  <si>
    <t>0F-1200-0352</t>
  </si>
  <si>
    <t>0F-1200-0354</t>
  </si>
  <si>
    <t>0F-1200-0417</t>
  </si>
  <si>
    <t>0F-1200-0696</t>
  </si>
  <si>
    <t>0F-1200-0877</t>
  </si>
  <si>
    <t>0F-1200-0886</t>
  </si>
  <si>
    <t>0F-1200-0912</t>
  </si>
  <si>
    <t>0F-1200-0925</t>
  </si>
  <si>
    <t>0F-1200-0949</t>
  </si>
  <si>
    <t>0F-1200-1007</t>
  </si>
  <si>
    <t>0F-1200-1029</t>
  </si>
  <si>
    <t>0F-1200-1032</t>
  </si>
  <si>
    <t>0F-1200-1034</t>
  </si>
  <si>
    <t>0F-1200-1036</t>
  </si>
  <si>
    <t>0F-1200-1037</t>
  </si>
  <si>
    <t>0F-1200-1038</t>
  </si>
  <si>
    <t>0F-1200-1039</t>
  </si>
  <si>
    <t>0F-1200-1072</t>
  </si>
  <si>
    <t>0F-1200-1075</t>
  </si>
  <si>
    <t>0F-1200-1083</t>
  </si>
  <si>
    <t>0F-1200-1084</t>
  </si>
  <si>
    <t>0F-1200-1091</t>
  </si>
  <si>
    <t>0F-1200-1093</t>
  </si>
  <si>
    <t>0F-1200-1098</t>
  </si>
  <si>
    <t>0F-1200-1127</t>
  </si>
  <si>
    <t>0F-1200-1128</t>
  </si>
  <si>
    <t>0F-1200-1157</t>
  </si>
  <si>
    <t>0F-1200-1158</t>
  </si>
  <si>
    <t>0F-1200-1166</t>
  </si>
  <si>
    <t>0F-1200-1175</t>
  </si>
  <si>
    <t>0F-1200-1184</t>
  </si>
  <si>
    <t>0F-1200-1189</t>
  </si>
  <si>
    <t>0F-1200-1192</t>
  </si>
  <si>
    <t>0F-1200-1208</t>
  </si>
  <si>
    <t>0F-1200-1210</t>
  </si>
  <si>
    <t>0F-1200-1211</t>
  </si>
  <si>
    <t>0F-1200-1212</t>
  </si>
  <si>
    <t>0F-1200-1215</t>
  </si>
  <si>
    <t>0F-1200-1216</t>
  </si>
  <si>
    <t>0F-1200-1221</t>
  </si>
  <si>
    <t>0F-1200-1222</t>
  </si>
  <si>
    <t>0F-1200-1223</t>
  </si>
  <si>
    <t>0F-1200-1224</t>
  </si>
  <si>
    <t>0F-1200-1226</t>
  </si>
  <si>
    <t>0F-1200-1227</t>
  </si>
  <si>
    <t>0F-1200-1233</t>
  </si>
  <si>
    <t>0F-1200-1234</t>
  </si>
  <si>
    <t>0F-1200-1237</t>
  </si>
  <si>
    <t>0F-1200-1243</t>
  </si>
  <si>
    <t>0F-1200-1282</t>
  </si>
  <si>
    <t>0F-1200-1283</t>
  </si>
  <si>
    <t>0F-1200-1290</t>
  </si>
  <si>
    <t>0F-1200-1291</t>
  </si>
  <si>
    <t>0F-1200-1300</t>
  </si>
  <si>
    <t>0F-1200-1301</t>
  </si>
  <si>
    <t>0F-1200-1304</t>
  </si>
  <si>
    <t>0F-1200-1305</t>
  </si>
  <si>
    <t>0F-1200-1312</t>
  </si>
  <si>
    <t>0F-1200-1314</t>
  </si>
  <si>
    <t>0F-1200-1317</t>
  </si>
  <si>
    <t>0F-1200-1344</t>
  </si>
  <si>
    <t>0F-1200-1345</t>
  </si>
  <si>
    <t>0F-1200-1347</t>
  </si>
  <si>
    <t>0F-1200-1350</t>
  </si>
  <si>
    <t>0F-1200-1351</t>
  </si>
  <si>
    <t>0F-1200-1352</t>
  </si>
  <si>
    <t>0F-1200-1353</t>
  </si>
  <si>
    <t>0F-1200-1354</t>
  </si>
  <si>
    <t>0F-1200-1355</t>
  </si>
  <si>
    <t>0F-1200-1356</t>
  </si>
  <si>
    <t>0F-1200-1357</t>
  </si>
  <si>
    <t>0F-1200-1358</t>
  </si>
  <si>
    <t>0F-1200-1359</t>
  </si>
  <si>
    <t>0F-1200-1360</t>
  </si>
  <si>
    <t>0F-1200-1363</t>
  </si>
  <si>
    <t>0F-1200-1365</t>
  </si>
  <si>
    <t>0F-1200-1368</t>
  </si>
  <si>
    <t>0F-1200-1378</t>
  </si>
  <si>
    <t>0F-1200-1383</t>
  </si>
  <si>
    <t>0F-1200-1384</t>
  </si>
  <si>
    <t>0F-1200-1385</t>
  </si>
  <si>
    <t>0F-1200-1386</t>
  </si>
  <si>
    <t>0F-1200-1387</t>
  </si>
  <si>
    <t>0F-1200-1388</t>
  </si>
  <si>
    <t>0F-1200-1389</t>
  </si>
  <si>
    <t>0F-1200-1390</t>
  </si>
  <si>
    <t>0F-1200-1391</t>
  </si>
  <si>
    <t>0F-1200-1392</t>
  </si>
  <si>
    <t>0F-1200-1393</t>
  </si>
  <si>
    <t>0F-1200-1398</t>
  </si>
  <si>
    <t>0F-1200-1399</t>
  </si>
  <si>
    <t>0F-1200-1407</t>
  </si>
  <si>
    <t>0F-1200-1420</t>
  </si>
  <si>
    <t>0F-1200-1427</t>
  </si>
  <si>
    <t>0F-1201-1083</t>
  </si>
  <si>
    <t>0F-1201-1084</t>
  </si>
  <si>
    <t>0F-1201-1221</t>
  </si>
  <si>
    <t>0F-1201-1222</t>
  </si>
  <si>
    <t>0F-2000-0002</t>
  </si>
  <si>
    <t>0F-2000-0262</t>
  </si>
  <si>
    <t>0F-2000-0419</t>
  </si>
  <si>
    <t>0F-2000-0461</t>
  </si>
  <si>
    <t>0F-2000-0507</t>
  </si>
  <si>
    <t>0F-2000-0592</t>
  </si>
  <si>
    <t>0F-2000-0594</t>
  </si>
  <si>
    <t>0F-2000-0595</t>
  </si>
  <si>
    <t>0F-2000-0598</t>
  </si>
  <si>
    <t>0F-2000-0602</t>
  </si>
  <si>
    <t>0F-2000-0604</t>
  </si>
  <si>
    <t>0F-2000-0605</t>
  </si>
  <si>
    <t>0F-2000-0609</t>
  </si>
  <si>
    <t>0F-2000-0626</t>
  </si>
  <si>
    <t>0F-2000-0635</t>
  </si>
  <si>
    <t>0F-2000-0636</t>
  </si>
  <si>
    <t>0F-2000-0637</t>
  </si>
  <si>
    <t>0F-2000-0647</t>
  </si>
  <si>
    <t>0F-2000-0652</t>
  </si>
  <si>
    <t>0F-2000-0658</t>
  </si>
  <si>
    <t>0F-2000-0666</t>
  </si>
  <si>
    <t>0F-2000-0667</t>
  </si>
  <si>
    <t>0F-2000-0669</t>
  </si>
  <si>
    <t>0F-2000-0683</t>
  </si>
  <si>
    <t>0F-2000-0684</t>
  </si>
  <si>
    <t>0F-2000-0685</t>
  </si>
  <si>
    <t>0F-2000-0707</t>
  </si>
  <si>
    <t>0F-2000-0708</t>
  </si>
  <si>
    <t>0F-2000-0713</t>
  </si>
  <si>
    <t>0F-2000-0714</t>
  </si>
  <si>
    <t>0F-2000-0722</t>
  </si>
  <si>
    <t>0F-2100-0064</t>
  </si>
  <si>
    <t>0F-2100-0066</t>
  </si>
  <si>
    <t>0F-2100-0145</t>
  </si>
  <si>
    <t>0F-2100-0151</t>
  </si>
  <si>
    <t>0F-2700-0068</t>
  </si>
  <si>
    <t>0F-2700-0226</t>
  </si>
  <si>
    <t>0F-2700-0302</t>
  </si>
  <si>
    <t>0F-2700-0303</t>
  </si>
  <si>
    <t>0F-2700-0342</t>
  </si>
  <si>
    <t>0F-2700-0420</t>
  </si>
  <si>
    <t>0F-2700-0422</t>
  </si>
  <si>
    <t>0F-2700-0441</t>
  </si>
  <si>
    <t>0F-2700-0442</t>
  </si>
  <si>
    <t>0F-2701-0420</t>
  </si>
  <si>
    <t>0F-2800-0507</t>
  </si>
  <si>
    <t>0F-2800-0542</t>
  </si>
  <si>
    <t>0F-2800-0552</t>
  </si>
  <si>
    <t>0F-2800-0554</t>
  </si>
  <si>
    <t>0F-2800-0563</t>
  </si>
  <si>
    <t>0F-2800-0564</t>
  </si>
  <si>
    <t>0F-2800-0570</t>
  </si>
  <si>
    <t>0F-ASS1-B017</t>
  </si>
  <si>
    <t>0F-ASS1-B018</t>
  </si>
  <si>
    <t>0F-ASS1-B021</t>
  </si>
  <si>
    <t>0F-ASS1-O004</t>
  </si>
  <si>
    <t>0F-ASS1-O015</t>
  </si>
  <si>
    <t>0F-ASS1-O019</t>
  </si>
  <si>
    <t>0F-ASS1-O025</t>
  </si>
  <si>
    <t>0F-ASS1-O030</t>
  </si>
  <si>
    <t>0F-ASS1-O037</t>
  </si>
  <si>
    <t>0F-ASS1-O038</t>
  </si>
  <si>
    <t>0F-ASS1-O040</t>
  </si>
  <si>
    <t>0F-ASS1-O053</t>
  </si>
  <si>
    <t>0F-ASS1-O055</t>
  </si>
  <si>
    <t>0F-ASS1-O057</t>
  </si>
  <si>
    <t>0F-ASS1-O060</t>
  </si>
  <si>
    <t>0F-ASS1-O061</t>
  </si>
  <si>
    <t>0F-ASS1-O063</t>
  </si>
  <si>
    <t>0F-ASS2-B017</t>
  </si>
  <si>
    <t>0F-ASS2-B018</t>
  </si>
  <si>
    <t>0F-ASS2-O025</t>
  </si>
  <si>
    <t>0F-ASS2-O040</t>
  </si>
  <si>
    <t>0F-ASS2-O057</t>
  </si>
  <si>
    <t>0F-ASSY-B001</t>
  </si>
  <si>
    <t>0F-ASSY-B006</t>
  </si>
  <si>
    <t>0F-ASSY-B007</t>
  </si>
  <si>
    <t>0F-ASSY-B012</t>
  </si>
  <si>
    <t>0F-ASSY-B013</t>
  </si>
  <si>
    <t>0F-ASSY-B014</t>
  </si>
  <si>
    <t>0F-ASSY-B015</t>
  </si>
  <si>
    <t>0F-ASSY-B016</t>
  </si>
  <si>
    <t>0F-ASSY-B017</t>
  </si>
  <si>
    <t>0F-ASSY-B018</t>
  </si>
  <si>
    <t>0F-ASSY-B021</t>
  </si>
  <si>
    <t>0F-ASSY-N002</t>
  </si>
  <si>
    <t>0F-ASSY-O003</t>
  </si>
  <si>
    <t>0F-ASSY-O004</t>
  </si>
  <si>
    <t>0F-ASSY-O006</t>
  </si>
  <si>
    <t>0F-ASSY-O009</t>
  </si>
  <si>
    <t>0F-ASSY-O014</t>
  </si>
  <si>
    <t>0F-ASSY-O015</t>
  </si>
  <si>
    <t>0F-ASSY-O017</t>
  </si>
  <si>
    <t>0F-ASSY-O018</t>
  </si>
  <si>
    <t>0F-ASSY-O019</t>
  </si>
  <si>
    <t>0F-ASSY-O024</t>
  </si>
  <si>
    <t>0F-ASSY-O025</t>
  </si>
  <si>
    <t>0F-ASSY-O026</t>
  </si>
  <si>
    <t>0F-ASSY-O027</t>
  </si>
  <si>
    <t>0F-ASSY-O028</t>
  </si>
  <si>
    <t>0F-ASSY-O029</t>
  </si>
  <si>
    <t>0F-ASSY-O030</t>
  </si>
  <si>
    <t>0F-ASSY-O031</t>
  </si>
  <si>
    <t>0F-ASSY-O035</t>
  </si>
  <si>
    <t>0F-ASSY-O036</t>
  </si>
  <si>
    <t>0F-ASSY-O037</t>
  </si>
  <si>
    <t>0F-ASSY-O038</t>
  </si>
  <si>
    <t>0F-ASSY-O039</t>
  </si>
  <si>
    <t>0F-ASSY-O040</t>
  </si>
  <si>
    <t>0F-ASSY-O041</t>
  </si>
  <si>
    <t>0F-ASSY-O042</t>
  </si>
  <si>
    <t>0F-ASSY-O043</t>
  </si>
  <si>
    <t>0F-ASSY-O044</t>
  </si>
  <si>
    <t>0F-ASSY-O045</t>
  </si>
  <si>
    <t>0F-ASSY-O046</t>
  </si>
  <si>
    <t>0F-ASSY-O047</t>
  </si>
  <si>
    <t>0F-ASSY-O048</t>
  </si>
  <si>
    <t>0F-ASSY-O049</t>
  </si>
  <si>
    <t>0F-ASSY-O050</t>
  </si>
  <si>
    <t>0F-ASSY-O051</t>
  </si>
  <si>
    <t>0F-ASSY-O052</t>
  </si>
  <si>
    <t>0F-ASSY-O053</t>
  </si>
  <si>
    <t>0F-ASSY-O054</t>
  </si>
  <si>
    <t>0F-ASSY-O055</t>
  </si>
  <si>
    <t>0F-ASSY-O056</t>
  </si>
  <si>
    <t>0F-ASSY-O057</t>
  </si>
  <si>
    <t>0F-ASSY-O058</t>
  </si>
  <si>
    <t>0F-ASSY-O059</t>
  </si>
  <si>
    <t>0F-ASSY-O060</t>
  </si>
  <si>
    <t>0F-ASSY-O061</t>
  </si>
  <si>
    <t>0F-ASSY-O062</t>
  </si>
  <si>
    <t>0F-ASSY-O063</t>
  </si>
  <si>
    <t>0F-ASSY-O064</t>
  </si>
  <si>
    <t>0F-ASSY-O065</t>
  </si>
  <si>
    <t>0F-ASSY-O066</t>
  </si>
  <si>
    <t>0F-ASSY-O067</t>
  </si>
  <si>
    <t>0F-ASSY-O068</t>
  </si>
  <si>
    <t>0F-ASSY-S001</t>
  </si>
  <si>
    <t>0F-ASSY-S003</t>
  </si>
  <si>
    <t>0F-ASSY-S004</t>
  </si>
  <si>
    <t>0F-ASSY-S012</t>
  </si>
  <si>
    <t>0F-ASSY-S013</t>
  </si>
  <si>
    <t>0F-ASSY-S014</t>
  </si>
  <si>
    <t>0F-ASSY-S015</t>
  </si>
  <si>
    <t>0F-ASSY-S018</t>
  </si>
  <si>
    <t>0F-ASSY-V006</t>
  </si>
  <si>
    <t>0F-ASSY-V015</t>
  </si>
  <si>
    <t>0F-ASSY-V021</t>
  </si>
  <si>
    <t>0F-ASSY-V023</t>
  </si>
  <si>
    <t>0F-ASSY-V028</t>
  </si>
  <si>
    <t>0F-ASSY-V029</t>
  </si>
  <si>
    <t>0F-ASSY-V035</t>
  </si>
  <si>
    <t>0F-ASSY-V041</t>
  </si>
  <si>
    <t>0F-ASSY-V042</t>
  </si>
  <si>
    <t>0F-ASSY-V044</t>
  </si>
  <si>
    <t>0F-ASSY-V045</t>
  </si>
  <si>
    <t>0F-ASSY-V050</t>
  </si>
  <si>
    <t>0F-ASSY-V051</t>
  </si>
  <si>
    <t>0F-ASSY-V053</t>
  </si>
  <si>
    <t>0F-ASSY-V056</t>
  </si>
  <si>
    <t>0F-ASSY-V058</t>
  </si>
  <si>
    <t>0F-ASSY-V059</t>
  </si>
  <si>
    <t>0F-ASSY-V060</t>
  </si>
  <si>
    <t>0F-ASSY-V062</t>
  </si>
  <si>
    <t>0F-ASSY-V063</t>
  </si>
  <si>
    <t>0F-ASSY-V064</t>
  </si>
  <si>
    <t>0F-ASSY-V065</t>
  </si>
  <si>
    <t>0F-ASSY-V066</t>
  </si>
  <si>
    <t>0F-ASSY-V067</t>
  </si>
  <si>
    <t>0F-ASSY-V068</t>
  </si>
  <si>
    <t>0F-ASSY-V069</t>
  </si>
  <si>
    <t>0F-ASSY-V070</t>
  </si>
  <si>
    <t>0F-ASSY-V071</t>
  </si>
  <si>
    <t>0F-ASSY-V072</t>
  </si>
  <si>
    <t>0F-ASSY-V073</t>
  </si>
  <si>
    <t>0F-ASSY-V074</t>
  </si>
  <si>
    <t>0F-ASSY-V075</t>
  </si>
  <si>
    <t>0F-ASSY-V076</t>
  </si>
  <si>
    <t>0F-ASSY-V078</t>
  </si>
  <si>
    <t>0F-ASSY-V079</t>
  </si>
  <si>
    <t>0F-ASSY-V080</t>
  </si>
  <si>
    <t>0F-ASSY-V081</t>
  </si>
  <si>
    <t>0F-ASSY-V082</t>
  </si>
  <si>
    <t>0F-ASSY-V083</t>
  </si>
  <si>
    <t>0F-ASSY-V084</t>
  </si>
  <si>
    <t>0F-ASSY-V085</t>
  </si>
  <si>
    <t>0G-ASS1-B017</t>
  </si>
  <si>
    <t>0G-ASS1-B018</t>
  </si>
  <si>
    <t>0G-ASS1-B021</t>
  </si>
  <si>
    <t>0G-ASS1-O004</t>
  </si>
  <si>
    <t>0G-ASS1-O015</t>
  </si>
  <si>
    <t>0G-ASS1-O019</t>
  </si>
  <si>
    <t>0G-ASS1-O025</t>
  </si>
  <si>
    <t>0G-ASS1-O030</t>
  </si>
  <si>
    <t>0G-ASS1-O037</t>
  </si>
  <si>
    <t>0G-ASS1-O038</t>
  </si>
  <si>
    <t>0G-ASS1-O040</t>
  </si>
  <si>
    <t>0G-ASS1-O053</t>
  </si>
  <si>
    <t>0G-ASS1-O055</t>
  </si>
  <si>
    <t>0G-ASS1-O057</t>
  </si>
  <si>
    <t>0G-ASS1-O060</t>
  </si>
  <si>
    <t>0G-ASS1-O061</t>
  </si>
  <si>
    <t>0G-ASS1-O063</t>
  </si>
  <si>
    <t>0G-ASS2-B017</t>
  </si>
  <si>
    <t>0G-ASS2-B018</t>
  </si>
  <si>
    <t>0G-ASS2-O025</t>
  </si>
  <si>
    <t>0G-ASS2-O040</t>
  </si>
  <si>
    <t>0G-ASS2-O057</t>
  </si>
  <si>
    <t>0G-ASSY-B001</t>
  </si>
  <si>
    <t>0G-ASSY-B007</t>
  </si>
  <si>
    <t>0G-ASSY-B012</t>
  </si>
  <si>
    <t>0G-ASSY-B015</t>
  </si>
  <si>
    <t>0G-ASSY-B017</t>
  </si>
  <si>
    <t>0G-ASSY-B018</t>
  </si>
  <si>
    <t>0G-ASSY-B021</t>
  </si>
  <si>
    <t>0G-ASSY-O003</t>
  </si>
  <si>
    <t>0G-ASSY-O004</t>
  </si>
  <si>
    <t>0G-ASSY-O006</t>
  </si>
  <si>
    <t>0G-ASSY-O009</t>
  </si>
  <si>
    <t>0G-ASSY-O015</t>
  </si>
  <si>
    <t>0G-ASSY-O017</t>
  </si>
  <si>
    <t>0G-ASSY-O018</t>
  </si>
  <si>
    <t>0G-ASSY-O019</t>
  </si>
  <si>
    <t>0G-ASSY-O025</t>
  </si>
  <si>
    <t>0G-ASSY-O026</t>
  </si>
  <si>
    <t>0G-ASSY-O030</t>
  </si>
  <si>
    <t>0G-ASSY-O037</t>
  </si>
  <si>
    <t>0G-ASSY-O038</t>
  </si>
  <si>
    <t>0G-ASSY-O040</t>
  </si>
  <si>
    <t>0G-ASSY-O053</t>
  </si>
  <si>
    <t>0G-ASSY-O054</t>
  </si>
  <si>
    <t>0G-ASSY-O055</t>
  </si>
  <si>
    <t>0G-ASSY-O056</t>
  </si>
  <si>
    <t>0G-ASSY-O057</t>
  </si>
  <si>
    <t>0G-ASSY-O058</t>
  </si>
  <si>
    <t>0G-ASSY-O059</t>
  </si>
  <si>
    <t>0G-ASSY-O060</t>
  </si>
  <si>
    <t>0G-ASSY-O061</t>
  </si>
  <si>
    <t>0G-ASSY-O062</t>
  </si>
  <si>
    <t>0G-ASSY-O063</t>
  </si>
  <si>
    <t>0G-ASSY-O064</t>
  </si>
  <si>
    <t>0G-ASSY-O065</t>
  </si>
  <si>
    <t>0G-ASSY-O066</t>
  </si>
  <si>
    <t>0G-ASSY-O067</t>
  </si>
  <si>
    <t>0G-ASSY-O068</t>
  </si>
  <si>
    <t>0G-ASSY-S015</t>
  </si>
  <si>
    <t>0G-ASSY-S018</t>
  </si>
  <si>
    <t>0G-ASSY-V015</t>
  </si>
  <si>
    <t>0G-ASSY-V023</t>
  </si>
  <si>
    <t>0G-ASSY-V028</t>
  </si>
  <si>
    <t>0G-ASSY-V029</t>
  </si>
  <si>
    <t>0G-ASSY-V035</t>
  </si>
  <si>
    <t>0G-ASSY-V042</t>
  </si>
  <si>
    <t>0G-ASSY-V050</t>
  </si>
  <si>
    <t>0G-ASSY-V053</t>
  </si>
  <si>
    <t>0G-ASSY-V056</t>
  </si>
  <si>
    <t>0G-ASSY-V068</t>
  </si>
  <si>
    <t>0G-ASSY-V069</t>
  </si>
  <si>
    <t>0G-ASSY-V070</t>
  </si>
  <si>
    <t>0G-ASSY-V071</t>
  </si>
  <si>
    <t>0G-ASSY-V072</t>
  </si>
  <si>
    <t>0G-ASSY-V073</t>
  </si>
  <si>
    <t>0G-ASSY-V074</t>
  </si>
  <si>
    <t>0G-ASSY-V075</t>
  </si>
  <si>
    <t>0G-ASSY-V076</t>
  </si>
  <si>
    <t>0G-ASSY-V078</t>
  </si>
  <si>
    <t>0G-ASSY-V079</t>
  </si>
  <si>
    <t>0G-ASSY-V080</t>
  </si>
  <si>
    <t>0G-ASSY-V081</t>
  </si>
  <si>
    <t>0G-ASSY-V082</t>
  </si>
  <si>
    <t>0G-ASSY-V083</t>
  </si>
  <si>
    <t>0G-ASSY-V084</t>
  </si>
  <si>
    <t>0G-ASSY-V085</t>
  </si>
  <si>
    <t>0H-ASS1-B017</t>
  </si>
  <si>
    <t>0H-ASS1-B018</t>
  </si>
  <si>
    <t>0H-ASS1-B021</t>
  </si>
  <si>
    <t>0H-ASS1-O004</t>
  </si>
  <si>
    <t>0H-ASS1-O015</t>
  </si>
  <si>
    <t>0H-ASS1-O019</t>
  </si>
  <si>
    <t>0H-ASS1-O025</t>
  </si>
  <si>
    <t>0H-ASS1-O030</t>
  </si>
  <si>
    <t>0H-ASS1-O037</t>
  </si>
  <si>
    <t>0H-ASS1-O038</t>
  </si>
  <si>
    <t>0H-ASS1-O040</t>
  </si>
  <si>
    <t>0H-ASS1-O053</t>
  </si>
  <si>
    <t>0H-ASS1-O055</t>
  </si>
  <si>
    <t>0H-ASS1-O057</t>
  </si>
  <si>
    <t>0H-ASS1-O060</t>
  </si>
  <si>
    <t>0H-ASS1-O061</t>
  </si>
  <si>
    <t>0H-ASS1-O063</t>
  </si>
  <si>
    <t>0H-ASS2-B017</t>
  </si>
  <si>
    <t>0H-ASS2-B018</t>
  </si>
  <si>
    <t>0H-ASS2-O025</t>
  </si>
  <si>
    <t>0H-ASS2-O040</t>
  </si>
  <si>
    <t>0H-ASS2-O057</t>
  </si>
  <si>
    <t>0H-ASSY-B001</t>
  </si>
  <si>
    <t>0H-ASSY-B007</t>
  </si>
  <si>
    <t>0H-ASSY-B012</t>
  </si>
  <si>
    <t>0H-ASSY-B015</t>
  </si>
  <si>
    <t>0H-ASSY-B017</t>
  </si>
  <si>
    <t>0H-ASSY-B018</t>
  </si>
  <si>
    <t>0H-ASSY-B021</t>
  </si>
  <si>
    <t>0H-ASSY-O003</t>
  </si>
  <si>
    <t>0H-ASSY-O004</t>
  </si>
  <si>
    <t>0H-ASSY-O006</t>
  </si>
  <si>
    <t>0H-ASSY-O009</t>
  </si>
  <si>
    <t>0H-ASSY-O015</t>
  </si>
  <si>
    <t>0H-ASSY-O017</t>
  </si>
  <si>
    <t>0H-ASSY-O018</t>
  </si>
  <si>
    <t>0H-ASSY-O019</t>
  </si>
  <si>
    <t>0H-ASSY-O026</t>
  </si>
  <si>
    <t>0H-ASSY-O030</t>
  </si>
  <si>
    <t>0H-ASSY-O037</t>
  </si>
  <si>
    <t>0H-ASSY-O038</t>
  </si>
  <si>
    <t>0H-ASSY-O040</t>
  </si>
  <si>
    <t>0H-ASSY-O053</t>
  </si>
  <si>
    <t>0H-ASSY-O054</t>
  </si>
  <si>
    <t>0H-ASSY-O055</t>
  </si>
  <si>
    <t>0H-ASSY-O056</t>
  </si>
  <si>
    <t>0H-ASSY-O057</t>
  </si>
  <si>
    <t>0H-ASSY-O058</t>
  </si>
  <si>
    <t>0H-ASSY-O059</t>
  </si>
  <si>
    <t>0H-ASSY-O060</t>
  </si>
  <si>
    <t>0H-ASSY-O061</t>
  </si>
  <si>
    <t>0H-ASSY-O062</t>
  </si>
  <si>
    <t>0H-ASSY-O063</t>
  </si>
  <si>
    <t>0H-ASSY-O064</t>
  </si>
  <si>
    <t>0H-ASSY-O065</t>
  </si>
  <si>
    <t>0H-ASSY-O066</t>
  </si>
  <si>
    <t>0H-ASSY-O067</t>
  </si>
  <si>
    <t>0H-ASSY-O068</t>
  </si>
  <si>
    <t>0H-ASSY-S015</t>
  </si>
  <si>
    <t>0H-ASSY-S018</t>
  </si>
  <si>
    <t>0H-ASSY-V015</t>
  </si>
  <si>
    <t>0H-ASSY-V023</t>
  </si>
  <si>
    <t>0H-ASSY-V028</t>
  </si>
  <si>
    <t>0H-ASSY-V029</t>
  </si>
  <si>
    <t>0H-ASSY-V035</t>
  </si>
  <si>
    <t>0H-ASSY-V042</t>
  </si>
  <si>
    <t>0H-ASSY-V050</t>
  </si>
  <si>
    <t>0H-ASSY-V053</t>
  </si>
  <si>
    <t>0H-ASSY-V056</t>
  </si>
  <si>
    <t>0H-ASSY-V068</t>
  </si>
  <si>
    <t>0H-ASSY-V069</t>
  </si>
  <si>
    <t>0H-ASSY-V070</t>
  </si>
  <si>
    <t>0H-ASSY-V071</t>
  </si>
  <si>
    <t>0H-ASSY-V072</t>
  </si>
  <si>
    <t>0H-ASSY-V073</t>
  </si>
  <si>
    <t>0H-ASSY-V074</t>
  </si>
  <si>
    <t>0H-ASSY-V075</t>
  </si>
  <si>
    <t>0H-ASSY-V076</t>
  </si>
  <si>
    <t>0H-ASSY-V078</t>
  </si>
  <si>
    <t>0H-ASSY-V079</t>
  </si>
  <si>
    <t>0H-ASSY-V080</t>
  </si>
  <si>
    <t>0H-ASSY-V081</t>
  </si>
  <si>
    <t>0H-ASSY-V082</t>
  </si>
  <si>
    <t>0H-ASSY-V083</t>
  </si>
  <si>
    <t>0H-ASSY-V084</t>
  </si>
  <si>
    <t>0H-ASSY-V085</t>
  </si>
  <si>
    <t>0J-ASS1-B017</t>
  </si>
  <si>
    <t>0J-ASS1-B018</t>
  </si>
  <si>
    <t>0J-ASS1-B021</t>
  </si>
  <si>
    <t>0J-ASS1-O004</t>
  </si>
  <si>
    <t>0J-ASS1-O015</t>
  </si>
  <si>
    <t>0J-ASS1-O019</t>
  </si>
  <si>
    <t>0J-ASS1-O025</t>
  </si>
  <si>
    <t>0J-ASS1-O030</t>
  </si>
  <si>
    <t>0J-ASS1-O037</t>
  </si>
  <si>
    <t>0J-ASS1-O038</t>
  </si>
  <si>
    <t>0J-ASS1-O040</t>
  </si>
  <si>
    <t>0J-ASS1-O053</t>
  </si>
  <si>
    <t>0J-ASS1-O055</t>
  </si>
  <si>
    <t>0J-ASS1-O057</t>
  </si>
  <si>
    <t>0J-ASS1-O060</t>
  </si>
  <si>
    <t>0J-ASS2-B017</t>
  </si>
  <si>
    <t>0J-ASS2-B018</t>
  </si>
  <si>
    <t>0J-ASS2-O025</t>
  </si>
  <si>
    <t>0J-ASS2-O040</t>
  </si>
  <si>
    <t>0J-ASS2-O057</t>
  </si>
  <si>
    <t>0J-ASSY-B001</t>
  </si>
  <si>
    <t>0J-ASSY-B007</t>
  </si>
  <si>
    <t>0J-ASSY-B012</t>
  </si>
  <si>
    <t>0J-ASSY-B015</t>
  </si>
  <si>
    <t>0J-ASSY-B017</t>
  </si>
  <si>
    <t>0J-ASSY-B018</t>
  </si>
  <si>
    <t>0J-ASSY-B021</t>
  </si>
  <si>
    <t>0J-ASSY-O004</t>
  </si>
  <si>
    <t>0J-ASSY-O009</t>
  </si>
  <si>
    <t>0J-ASSY-O015</t>
  </si>
  <si>
    <t>0J-ASSY-O017</t>
  </si>
  <si>
    <t>0J-ASSY-O018</t>
  </si>
  <si>
    <t>0J-ASSY-O019</t>
  </si>
  <si>
    <t>0J-ASSY-O025</t>
  </si>
  <si>
    <t>0J-ASSY-O026</t>
  </si>
  <si>
    <t>0J-ASSY-O030</t>
  </si>
  <si>
    <t>0J-ASSY-O037</t>
  </si>
  <si>
    <t>0J-ASSY-O038</t>
  </si>
  <si>
    <t>0J-ASSY-O040</t>
  </si>
  <si>
    <t>0J-ASSY-O053</t>
  </si>
  <si>
    <t>0J-ASSY-O054</t>
  </si>
  <si>
    <t>0J-ASSY-O055</t>
  </si>
  <si>
    <t>0J-ASSY-O056</t>
  </si>
  <si>
    <t>0J-ASSY-O057</t>
  </si>
  <si>
    <t>0J-ASSY-O058</t>
  </si>
  <si>
    <t>0J-ASSY-O060</t>
  </si>
  <si>
    <t>0J-ASSY-O062</t>
  </si>
  <si>
    <t>0J-ASSY-O063</t>
  </si>
  <si>
    <t>0J-ASSY-O064</t>
  </si>
  <si>
    <t>0J-ASSY-O065</t>
  </si>
  <si>
    <t>0J-ASSY-O066</t>
  </si>
  <si>
    <t>0J-ASSY-O067</t>
  </si>
  <si>
    <t>0J-ASSY-O068</t>
  </si>
  <si>
    <t>0J-ASSY-S015</t>
  </si>
  <si>
    <t>0J-ASSY-S018</t>
  </si>
  <si>
    <t>0J-ASSY-V015</t>
  </si>
  <si>
    <t>0J-ASSY-V023</t>
  </si>
  <si>
    <t>0J-ASSY-V028</t>
  </si>
  <si>
    <t>0J-ASSY-V029</t>
  </si>
  <si>
    <t>0J-ASSY-V035</t>
  </si>
  <si>
    <t>0J-ASSY-V042</t>
  </si>
  <si>
    <t>0J-ASSY-V050</t>
  </si>
  <si>
    <t>0J-ASSY-V053</t>
  </si>
  <si>
    <t>0J-ASSY-V056</t>
  </si>
  <si>
    <t>0J-ASSY-V068</t>
  </si>
  <si>
    <t>0J-ASSY-V069</t>
  </si>
  <si>
    <t>0J-ASSY-V070</t>
  </si>
  <si>
    <t>0J-ASSY-V071</t>
  </si>
  <si>
    <t>0J-ASSY-V072</t>
  </si>
  <si>
    <t>0J-ASSY-V073</t>
  </si>
  <si>
    <t>0J-ASSY-V074</t>
  </si>
  <si>
    <t>0J-ASSY-V075</t>
  </si>
  <si>
    <t>0J-ASSY-V076</t>
  </si>
  <si>
    <t>0J-ASSY-V078</t>
  </si>
  <si>
    <t>0J-ASSY-V079</t>
  </si>
  <si>
    <t>0J-ASSY-V080</t>
  </si>
  <si>
    <t>0J-ASSY-V081</t>
  </si>
  <si>
    <t>0J-ASSY-V082</t>
  </si>
  <si>
    <t>0J-ASSY-V083</t>
  </si>
  <si>
    <t>0J-ASSY-V084</t>
  </si>
  <si>
    <t>0J-ASSY-V085</t>
  </si>
  <si>
    <t>0K-ASS1-B017</t>
  </si>
  <si>
    <t>0K-ASS1-B018</t>
  </si>
  <si>
    <t>0K-ASS1-B021</t>
  </si>
  <si>
    <t>0K-ASS1-O015</t>
  </si>
  <si>
    <t>0K-ASS1-O019</t>
  </si>
  <si>
    <t>0K-ASS1-O025</t>
  </si>
  <si>
    <t>0K-ASS1-O030</t>
  </si>
  <si>
    <t>0K-ASS1-O037</t>
  </si>
  <si>
    <t>0K-ASS1-O038</t>
  </si>
  <si>
    <t>0K-ASS1-O040</t>
  </si>
  <si>
    <t>0K-ASS1-O053</t>
  </si>
  <si>
    <t>0K-ASS1-O055</t>
  </si>
  <si>
    <t>0K-ASS1-O057</t>
  </si>
  <si>
    <t>0K-ASS1-O060</t>
  </si>
  <si>
    <t>0K-ASS2-B017</t>
  </si>
  <si>
    <t>0K-ASS2-B018</t>
  </si>
  <si>
    <t>0K-ASS2-O025</t>
  </si>
  <si>
    <t>0K-ASS2-O040</t>
  </si>
  <si>
    <t>0K-ASS2-O057</t>
  </si>
  <si>
    <t>0K-ASSY-B001</t>
  </si>
  <si>
    <t>0K-ASSY-B007</t>
  </si>
  <si>
    <t>0K-ASSY-B012</t>
  </si>
  <si>
    <t>0K-ASSY-B015</t>
  </si>
  <si>
    <t>0K-ASSY-B017</t>
  </si>
  <si>
    <t>0K-ASSY-B018</t>
  </si>
  <si>
    <t>0K-ASSY-B021</t>
  </si>
  <si>
    <t>0K-ASSY-O009</t>
  </si>
  <si>
    <t>0K-ASSY-O015</t>
  </si>
  <si>
    <t>0K-ASSY-O017</t>
  </si>
  <si>
    <t>0K-ASSY-O018</t>
  </si>
  <si>
    <t>0K-ASSY-O019</t>
  </si>
  <si>
    <t>0K-ASSY-O025</t>
  </si>
  <si>
    <t>0K-ASSY-O026</t>
  </si>
  <si>
    <t>0K-ASSY-O030</t>
  </si>
  <si>
    <t>0K-ASSY-O037</t>
  </si>
  <si>
    <t>0K-ASSY-O038</t>
  </si>
  <si>
    <t>0K-ASSY-O040</t>
  </si>
  <si>
    <t>0K-ASSY-O053</t>
  </si>
  <si>
    <t>0K-ASSY-O054</t>
  </si>
  <si>
    <t>0K-ASSY-O055</t>
  </si>
  <si>
    <t>0K-ASSY-O056</t>
  </si>
  <si>
    <t>0K-ASSY-O057</t>
  </si>
  <si>
    <t>0K-ASSY-O058</t>
  </si>
  <si>
    <t>0K-ASSY-O060</t>
  </si>
  <si>
    <t>0K-ASSY-O062</t>
  </si>
  <si>
    <t>0K-ASSY-O063</t>
  </si>
  <si>
    <t>0K-ASSY-O064</t>
  </si>
  <si>
    <t>0K-ASSY-O065</t>
  </si>
  <si>
    <t>0K-ASSY-O066</t>
  </si>
  <si>
    <t>0K-ASSY-O067</t>
  </si>
  <si>
    <t>0K-ASSY-O068</t>
  </si>
  <si>
    <t>0K-ASSY-P037</t>
  </si>
  <si>
    <t>0K-ASSY-P038</t>
  </si>
  <si>
    <t>0K-ASSY-S015</t>
  </si>
  <si>
    <t>0K-ASSY-S018</t>
  </si>
  <si>
    <t>0K-ASSY-V015</t>
  </si>
  <si>
    <t>0K-ASSY-V023</t>
  </si>
  <si>
    <t>0K-ASSY-V028</t>
  </si>
  <si>
    <t>0K-ASSY-V029</t>
  </si>
  <si>
    <t>0K-ASSY-V035</t>
  </si>
  <si>
    <t>0K-ASSY-V042</t>
  </si>
  <si>
    <t>0K-ASSY-V050</t>
  </si>
  <si>
    <t>0K-ASSY-V053</t>
  </si>
  <si>
    <t>0K-ASSY-V056</t>
  </si>
  <si>
    <t>0K-ASSY-V068</t>
  </si>
  <si>
    <t>0K-ASSY-V069</t>
  </si>
  <si>
    <t>0K-ASSY-V070</t>
  </si>
  <si>
    <t>0K-ASSY-V071</t>
  </si>
  <si>
    <t>0K-ASSY-V072</t>
  </si>
  <si>
    <t>0K-ASSY-V073</t>
  </si>
  <si>
    <t>0K-ASSY-V074</t>
  </si>
  <si>
    <t>0K-ASSY-V075</t>
  </si>
  <si>
    <t>0K-ASSY-V076</t>
  </si>
  <si>
    <t>0K-ASSY-V078</t>
  </si>
  <si>
    <t>0K-ASSY-V079</t>
  </si>
  <si>
    <t>0K-ASSY-V080</t>
  </si>
  <si>
    <t>0K-ASSY-V081</t>
  </si>
  <si>
    <t>0K-ASSY-V082</t>
  </si>
  <si>
    <t>0K-ASSY-V083</t>
  </si>
  <si>
    <t>0K-ASSY-V084</t>
  </si>
  <si>
    <t>0K-ASSY-V085</t>
  </si>
  <si>
    <t>0L-1200-0186</t>
  </si>
  <si>
    <t>0L-1200-0187</t>
  </si>
  <si>
    <t>0L-1200-0190</t>
  </si>
  <si>
    <t>0L-1200-0225</t>
  </si>
  <si>
    <t>0L-1200-0249</t>
  </si>
  <si>
    <t>0L-1200-0352</t>
  </si>
  <si>
    <t>0L-1200-0354</t>
  </si>
  <si>
    <t>0L-1200-0417</t>
  </si>
  <si>
    <t>0L-1200-0612</t>
  </si>
  <si>
    <t>0L-1200-0696</t>
  </si>
  <si>
    <t>0L-1200-0713</t>
  </si>
  <si>
    <t>0L-1200-0720</t>
  </si>
  <si>
    <t>0L-1200-0726</t>
  </si>
  <si>
    <t>0L-1200-0835</t>
  </si>
  <si>
    <t>0L-1200-0877</t>
  </si>
  <si>
    <t>0L-1200-0886</t>
  </si>
  <si>
    <t>0L-1200-0910</t>
  </si>
  <si>
    <t>0L-1200-0912</t>
  </si>
  <si>
    <t>0L-1200-0925</t>
  </si>
  <si>
    <t>0L-1200-0928</t>
  </si>
  <si>
    <t>0L-1200-0929</t>
  </si>
  <si>
    <t>0L-1200-0937</t>
  </si>
  <si>
    <t>0L-1200-0949</t>
  </si>
  <si>
    <t>0L-1200-0962</t>
  </si>
  <si>
    <t>0L-1200-1007</t>
  </si>
  <si>
    <t>0L-1200-1014</t>
  </si>
  <si>
    <t>0L-1200-1021</t>
  </si>
  <si>
    <t>0L-1200-1029</t>
  </si>
  <si>
    <t>0L-1200-1032</t>
  </si>
  <si>
    <t>0L-1200-1034</t>
  </si>
  <si>
    <t>0L-1200-1036</t>
  </si>
  <si>
    <t>0L-1200-1037</t>
  </si>
  <si>
    <t>0L-1200-1038</t>
  </si>
  <si>
    <t>0L-1200-1039</t>
  </si>
  <si>
    <t>0L-1200-1040</t>
  </si>
  <si>
    <t>0L-1200-1041</t>
  </si>
  <si>
    <t>0L-1200-1056</t>
  </si>
  <si>
    <t>0L-1200-1057</t>
  </si>
  <si>
    <t>0L-1200-1059</t>
  </si>
  <si>
    <t>0L-1200-1060</t>
  </si>
  <si>
    <t>0L-1200-1072</t>
  </si>
  <si>
    <t>0L-1200-1075</t>
  </si>
  <si>
    <t>0L-1200-1078</t>
  </si>
  <si>
    <t>0L-1200-1083</t>
  </si>
  <si>
    <t>0L-1200-1084</t>
  </si>
  <si>
    <t>0L-1200-1091</t>
  </si>
  <si>
    <t>0L-1200-1093</t>
  </si>
  <si>
    <t>0L-1200-1097</t>
  </si>
  <si>
    <t>0L-1200-1098</t>
  </si>
  <si>
    <t>0L-1200-1100</t>
  </si>
  <si>
    <t>0L-1200-1123</t>
  </si>
  <si>
    <t>0L-1200-1124</t>
  </si>
  <si>
    <t>0L-1200-1125</t>
  </si>
  <si>
    <t>0L-1200-1127</t>
  </si>
  <si>
    <t>0L-1200-1128</t>
  </si>
  <si>
    <t>0L-1200-1136</t>
  </si>
  <si>
    <t>0L-1200-1157</t>
  </si>
  <si>
    <t>0L-1200-1158</t>
  </si>
  <si>
    <t>0L-1200-1166</t>
  </si>
  <si>
    <t>0L-1200-1172</t>
  </si>
  <si>
    <t>0L-1200-1175</t>
  </si>
  <si>
    <t>0L-1200-1176</t>
  </si>
  <si>
    <t>0L-1200-1177</t>
  </si>
  <si>
    <t>0L-1200-1183</t>
  </si>
  <si>
    <t>0L-1200-1184</t>
  </si>
  <si>
    <t>0L-1200-1189</t>
  </si>
  <si>
    <t>0L-1200-1190</t>
  </si>
  <si>
    <t>0L-1200-1192</t>
  </si>
  <si>
    <t>0L-1200-1196</t>
  </si>
  <si>
    <t>0L-1200-1197</t>
  </si>
  <si>
    <t>0L-1200-1199</t>
  </si>
  <si>
    <t>0L-1200-1200</t>
  </si>
  <si>
    <t>0L-1200-1204</t>
  </si>
  <si>
    <t>0L-1200-1206</t>
  </si>
  <si>
    <t>0L-1200-1208</t>
  </si>
  <si>
    <t>0L-1200-1210</t>
  </si>
  <si>
    <t>0L-1200-1211</t>
  </si>
  <si>
    <t>0L-1200-1212</t>
  </si>
  <si>
    <t>0L-1200-1215</t>
  </si>
  <si>
    <t>0L-1200-1216</t>
  </si>
  <si>
    <t>0L-1200-1217</t>
  </si>
  <si>
    <t>0L-1200-1221</t>
  </si>
  <si>
    <t>0L-1200-1222</t>
  </si>
  <si>
    <t>0L-1200-1223</t>
  </si>
  <si>
    <t>0L-1200-1224</t>
  </si>
  <si>
    <t>0L-1200-1226</t>
  </si>
  <si>
    <t>0L-1200-1227</t>
  </si>
  <si>
    <t>0L-1200-1229</t>
  </si>
  <si>
    <t>0L-1200-1233</t>
  </si>
  <si>
    <t>0L-1200-1234</t>
  </si>
  <si>
    <t>0L-1200-1237</t>
  </si>
  <si>
    <t>0L-1200-1241</t>
  </si>
  <si>
    <t>0L-1200-1243</t>
  </si>
  <si>
    <t>0L-1200-1246</t>
  </si>
  <si>
    <t>0L-1200-1248</t>
  </si>
  <si>
    <t>0L-1200-1249</t>
  </si>
  <si>
    <t>0L-1200-1272</t>
  </si>
  <si>
    <t>0L-1200-1282</t>
  </si>
  <si>
    <t>0L-1200-1283</t>
  </si>
  <si>
    <t>0L-1200-1288</t>
  </si>
  <si>
    <t>0L-1200-1290</t>
  </si>
  <si>
    <t>0L-1200-1291</t>
  </si>
  <si>
    <t>0L-1200-1294</t>
  </si>
  <si>
    <t>0L-1200-1299</t>
  </si>
  <si>
    <t>0L-1200-1300</t>
  </si>
  <si>
    <t>0L-1200-1301</t>
  </si>
  <si>
    <t>0L-1200-1304</t>
  </si>
  <si>
    <t>0L-1200-1305</t>
  </si>
  <si>
    <t>0L-1200-1307</t>
  </si>
  <si>
    <t>0L-1200-1312</t>
  </si>
  <si>
    <t>0L-1200-1314</t>
  </si>
  <si>
    <t>0L-1200-1315</t>
  </si>
  <si>
    <t>0L-1200-1316</t>
  </si>
  <si>
    <t>0L-1200-1317</t>
  </si>
  <si>
    <t>0L-1200-1319</t>
  </si>
  <si>
    <t>0L-1200-1323</t>
  </si>
  <si>
    <t>0L-1200-1332</t>
  </si>
  <si>
    <t>0L-1200-1337</t>
  </si>
  <si>
    <t>0L-1200-1339</t>
  </si>
  <si>
    <t>0L-1200-1341</t>
  </si>
  <si>
    <t>0L-1200-1342</t>
  </si>
  <si>
    <t>0L-1200-1343</t>
  </si>
  <si>
    <t>0L-1200-1344</t>
  </si>
  <si>
    <t>0L-1200-1345</t>
  </si>
  <si>
    <t>0L-1200-1347</t>
  </si>
  <si>
    <t>0L-1200-1348</t>
  </si>
  <si>
    <t>0L-1200-1349</t>
  </si>
  <si>
    <t>0L-1200-1350</t>
  </si>
  <si>
    <t>0L-1200-1351</t>
  </si>
  <si>
    <t>0L-1200-1352</t>
  </si>
  <si>
    <t>0L-1200-1353</t>
  </si>
  <si>
    <t>0L-1200-1354</t>
  </si>
  <si>
    <t>0L-1200-1355</t>
  </si>
  <si>
    <t>0L-1200-1356</t>
  </si>
  <si>
    <t>0L-1200-1357</t>
  </si>
  <si>
    <t>0L-1200-1358</t>
  </si>
  <si>
    <t>0L-1200-1359</t>
  </si>
  <si>
    <t>0L-1200-1360</t>
  </si>
  <si>
    <t>0L-1200-1361</t>
  </si>
  <si>
    <t>0L-1200-1362</t>
  </si>
  <si>
    <t>0L-1200-1363</t>
  </si>
  <si>
    <t>0L-1200-1364</t>
  </si>
  <si>
    <t>0L-1200-1365</t>
  </si>
  <si>
    <t>0L-1200-1367</t>
  </si>
  <si>
    <t>0L-1200-1368</t>
  </si>
  <si>
    <t>0L-1200-1369</t>
  </si>
  <si>
    <t>0L-1200-1370</t>
  </si>
  <si>
    <t>0L-1200-1371</t>
  </si>
  <si>
    <t>0L-1200-1372</t>
  </si>
  <si>
    <t>0L-1200-1373</t>
  </si>
  <si>
    <t>0L-1200-1374</t>
  </si>
  <si>
    <t>0L-1200-1375</t>
  </si>
  <si>
    <t>0L-1200-1376</t>
  </si>
  <si>
    <t>0L-1200-1377</t>
  </si>
  <si>
    <t>0L-1200-1378</t>
  </si>
  <si>
    <t>0L-1200-1379</t>
  </si>
  <si>
    <t>0L-1200-1380</t>
  </si>
  <si>
    <t>0L-1200-1381</t>
  </si>
  <si>
    <t>0L-1200-1382</t>
  </si>
  <si>
    <t>0L-1200-1383</t>
  </si>
  <si>
    <t>0L-1200-1384</t>
  </si>
  <si>
    <t>0L-1200-1385</t>
  </si>
  <si>
    <t>0L-1200-1386</t>
  </si>
  <si>
    <t>0L-1200-1387</t>
  </si>
  <si>
    <t>0L-1200-1388</t>
  </si>
  <si>
    <t>0L-1200-1389</t>
  </si>
  <si>
    <t>0L-1200-1390</t>
  </si>
  <si>
    <t>0L-1200-1391</t>
  </si>
  <si>
    <t>0L-1200-1392</t>
  </si>
  <si>
    <t>0L-1200-1393</t>
  </si>
  <si>
    <t>0L-1200-1397</t>
  </si>
  <si>
    <t>0L-1200-1398</t>
  </si>
  <si>
    <t>0L-1200-1399</t>
  </si>
  <si>
    <t>0L-1200-1406</t>
  </si>
  <si>
    <t>0L-1200-1407</t>
  </si>
  <si>
    <t>0L-1200-1412</t>
  </si>
  <si>
    <t>0L-1200-1413</t>
  </si>
  <si>
    <t>0L-1200-1416</t>
  </si>
  <si>
    <t>0L-1200-1418</t>
  </si>
  <si>
    <t>0L-1200-1419</t>
  </si>
  <si>
    <t>0L-1200-1420</t>
  </si>
  <si>
    <t>0L-1200-1421</t>
  </si>
  <si>
    <t>0L-1200-1422</t>
  </si>
  <si>
    <t>0L-1200-1423</t>
  </si>
  <si>
    <t>0L-1200-1424</t>
  </si>
  <si>
    <t>0L-1200-1427</t>
  </si>
  <si>
    <t>0L-1200-1428</t>
  </si>
  <si>
    <t>0L-1201-0225</t>
  </si>
  <si>
    <t>0L-1201-0612</t>
  </si>
  <si>
    <t>0L-1201-0613</t>
  </si>
  <si>
    <t>0L-1201-1083</t>
  </si>
  <si>
    <t>0L-1201-1084</t>
  </si>
  <si>
    <t>0L-1201-1171</t>
  </si>
  <si>
    <t>0L-1201-1172</t>
  </si>
  <si>
    <t>0L-1201-1196</t>
  </si>
  <si>
    <t>0L-1201-1197</t>
  </si>
  <si>
    <t>0L-1201-1199</t>
  </si>
  <si>
    <t>0L-1201-1200</t>
  </si>
  <si>
    <t>0L-1201-1204</t>
  </si>
  <si>
    <t>0L-1201-1217</t>
  </si>
  <si>
    <t>0L-1201-1221</t>
  </si>
  <si>
    <t>0L-1201-1222</t>
  </si>
  <si>
    <t>0L-1201-1238</t>
  </si>
  <si>
    <t>0L-1201-1250</t>
  </si>
  <si>
    <t>0L-1201-1251</t>
  </si>
  <si>
    <t>0L-1201-1282</t>
  </si>
  <si>
    <t>0L-1201-1294</t>
  </si>
  <si>
    <t>0L-1201-1302</t>
  </si>
  <si>
    <t>0L-1201-1341</t>
  </si>
  <si>
    <t>0L-2000-0262</t>
  </si>
  <si>
    <t>0L-2000-0419</t>
  </si>
  <si>
    <t>0L-2000-0461</t>
  </si>
  <si>
    <t>0L-2000-0483</t>
  </si>
  <si>
    <t>0L-2000-0493</t>
  </si>
  <si>
    <t>0L-2000-0494</t>
  </si>
  <si>
    <t>0L-2000-0507</t>
  </si>
  <si>
    <t>0L-2000-0561</t>
  </si>
  <si>
    <t>0L-2000-0592</t>
  </si>
  <si>
    <t>0L-2000-0594</t>
  </si>
  <si>
    <t>0L-2000-0595</t>
  </si>
  <si>
    <t>0L-2000-0598</t>
  </si>
  <si>
    <t>0L-2000-0602</t>
  </si>
  <si>
    <t>0L-2000-0604</t>
  </si>
  <si>
    <t>0L-2000-0605</t>
  </si>
  <si>
    <t>0L-2000-0609</t>
  </si>
  <si>
    <t>0L-2000-0626</t>
  </si>
  <si>
    <t>0L-2000-0635</t>
  </si>
  <si>
    <t>0L-2000-0636</t>
  </si>
  <si>
    <t>0L-2000-0637</t>
  </si>
  <si>
    <t>0L-2000-0647</t>
  </si>
  <si>
    <t>0L-2000-0652</t>
  </si>
  <si>
    <t>0L-2000-0657</t>
  </si>
  <si>
    <t>0L-2000-0658</t>
  </si>
  <si>
    <t>0L-2000-0666</t>
  </si>
  <si>
    <t>0L-2000-0667</t>
  </si>
  <si>
    <t>0L-2000-0669</t>
  </si>
  <si>
    <t>0L-2000-0683</t>
  </si>
  <si>
    <t>0L-2000-0684</t>
  </si>
  <si>
    <t>0L-2000-0685</t>
  </si>
  <si>
    <t>0L-2000-0698</t>
  </si>
  <si>
    <t>0L-2000-0707</t>
  </si>
  <si>
    <t>0L-2000-0708</t>
  </si>
  <si>
    <t>0L-2000-0713</t>
  </si>
  <si>
    <t>0L-2000-0714</t>
  </si>
  <si>
    <t>0L-2000-0715</t>
  </si>
  <si>
    <t>0L-2000-0717</t>
  </si>
  <si>
    <t>0L-2000-0718</t>
  </si>
  <si>
    <t>0L-2000-0719</t>
  </si>
  <si>
    <t>0L-2000-0720</t>
  </si>
  <si>
    <t>0L-2000-0721</t>
  </si>
  <si>
    <t>0L-2000-0722</t>
  </si>
  <si>
    <t>0L-2000-0723</t>
  </si>
  <si>
    <t>0L-2000-0724</t>
  </si>
  <si>
    <t>0L-2000-0725</t>
  </si>
  <si>
    <t>0L-2000-0726</t>
  </si>
  <si>
    <t>0L-2100-0064</t>
  </si>
  <si>
    <t>0L-2100-0066</t>
  </si>
  <si>
    <t>0L-2100-0145</t>
  </si>
  <si>
    <t>0L-2100-0150</t>
  </si>
  <si>
    <t>0L-2100-0151</t>
  </si>
  <si>
    <t>0L-2100-0171</t>
  </si>
  <si>
    <t>0L-2100-0173</t>
  </si>
  <si>
    <t>0L-2700-0068</t>
  </si>
  <si>
    <t>0L-2700-0125</t>
  </si>
  <si>
    <t>0L-2700-0129</t>
  </si>
  <si>
    <t>0L-2700-0150</t>
  </si>
  <si>
    <t>0L-2700-0151</t>
  </si>
  <si>
    <t>0L-2700-0152</t>
  </si>
  <si>
    <t>0L-2700-0225</t>
  </si>
  <si>
    <t>0L-2700-0226</t>
  </si>
  <si>
    <t>0L-2700-0228</t>
  </si>
  <si>
    <t>0L-2700-0230</t>
  </si>
  <si>
    <t>0L-2700-0237</t>
  </si>
  <si>
    <t>0L-2700-0238</t>
  </si>
  <si>
    <t>0L-2700-0238_OLD</t>
  </si>
  <si>
    <t>0L-2700-0253</t>
  </si>
  <si>
    <t>0L-2700-0271</t>
  </si>
  <si>
    <t>0L-2700-0276</t>
  </si>
  <si>
    <t>0L-2700-0282</t>
  </si>
  <si>
    <t>0L-2700-0283</t>
  </si>
  <si>
    <t>0L-2700-0287</t>
  </si>
  <si>
    <t>0L-2700-0302</t>
  </si>
  <si>
    <t>0L-2700-0303</t>
  </si>
  <si>
    <t>0L-2700-0304</t>
  </si>
  <si>
    <t>0L-2700-0307</t>
  </si>
  <si>
    <t>0L-2700-0311</t>
  </si>
  <si>
    <t>0L-2700-0313</t>
  </si>
  <si>
    <t>0L-2700-0326</t>
  </si>
  <si>
    <t>0L-2700-0327</t>
  </si>
  <si>
    <t>0L-2700-0328</t>
  </si>
  <si>
    <t>0L-2700-0329</t>
  </si>
  <si>
    <t>0L-2700-0330</t>
  </si>
  <si>
    <t>0L-2700-0336</t>
  </si>
  <si>
    <t>0L-2700-0340</t>
  </si>
  <si>
    <t>0L-2700-0342</t>
  </si>
  <si>
    <t>0L-2700-0356</t>
  </si>
  <si>
    <t>0L-2700-0357</t>
  </si>
  <si>
    <t>0L-2700-0361</t>
  </si>
  <si>
    <t>0L-2700-0366</t>
  </si>
  <si>
    <t>0L-2700-0367</t>
  </si>
  <si>
    <t>0L-2700-0368</t>
  </si>
  <si>
    <t>0L-2700-0369</t>
  </si>
  <si>
    <t>0L-2700-0370</t>
  </si>
  <si>
    <t>0L-2700-0372</t>
  </si>
  <si>
    <t>0L-2700-0373</t>
  </si>
  <si>
    <t>0L-2700-0374</t>
  </si>
  <si>
    <t>0L-2700-0375</t>
  </si>
  <si>
    <t>0L-2700-0376</t>
  </si>
  <si>
    <t>0L-2700-0377</t>
  </si>
  <si>
    <t>0L-2700-0387</t>
  </si>
  <si>
    <t>0L-2700-0388</t>
  </si>
  <si>
    <t>0L-2700-0391</t>
  </si>
  <si>
    <t>0L-2700-0392</t>
  </si>
  <si>
    <t>0L-2700-0393</t>
  </si>
  <si>
    <t>0L-2700-0394</t>
  </si>
  <si>
    <t>0L-2700-0395</t>
  </si>
  <si>
    <t>0L-2700-0396</t>
  </si>
  <si>
    <t>0L-2700-0397</t>
  </si>
  <si>
    <t>0L-2700-0398</t>
  </si>
  <si>
    <t>0L-2700-0399</t>
  </si>
  <si>
    <t>0L-2700-0400</t>
  </si>
  <si>
    <t>0L-2700-0401</t>
  </si>
  <si>
    <t>0L-2700-0406</t>
  </si>
  <si>
    <t>0L-2700-0407</t>
  </si>
  <si>
    <t>0L-2700-0410</t>
  </si>
  <si>
    <t>0L-2700-0413</t>
  </si>
  <si>
    <t>0L-2700-0414</t>
  </si>
  <si>
    <t>0L-2700-0417</t>
  </si>
  <si>
    <t>0L-2700-0420</t>
  </si>
  <si>
    <t>0L-2700-0422</t>
  </si>
  <si>
    <t>0L-2700-0426</t>
  </si>
  <si>
    <t>0L-2700-0427</t>
  </si>
  <si>
    <t>0L-2700-0428</t>
  </si>
  <si>
    <t>0L-2700-0429</t>
  </si>
  <si>
    <t>0L-2700-0430</t>
  </si>
  <si>
    <t>0L-2700-0431</t>
  </si>
  <si>
    <t>0L-2700-0432</t>
  </si>
  <si>
    <t>0L-2700-0433</t>
  </si>
  <si>
    <t>0L-2700-0434</t>
  </si>
  <si>
    <t>0L-2700-0435</t>
  </si>
  <si>
    <t>0L-2700-0436</t>
  </si>
  <si>
    <t>0L-2700-0441</t>
  </si>
  <si>
    <t>0L-2700-0442</t>
  </si>
  <si>
    <t>0L-2700-0443</t>
  </si>
  <si>
    <t>0L-2700-0448</t>
  </si>
  <si>
    <t>0L-2700-0455</t>
  </si>
  <si>
    <t>0L-2701-0125</t>
  </si>
  <si>
    <t>0L-2701-0152</t>
  </si>
  <si>
    <t>0L-2701-0228</t>
  </si>
  <si>
    <t>0L-2701-0229</t>
  </si>
  <si>
    <t>0L-2701-0287</t>
  </si>
  <si>
    <t>0L-2701-0295</t>
  </si>
  <si>
    <t>0L-2701-0327</t>
  </si>
  <si>
    <t>0L-2701-0328</t>
  </si>
  <si>
    <t>0L-2701-0329</t>
  </si>
  <si>
    <t>0L-2701-0339</t>
  </si>
  <si>
    <t>0L-2701-0374</t>
  </si>
  <si>
    <t>0L-2701-0413</t>
  </si>
  <si>
    <t>0L-2701-0414</t>
  </si>
  <si>
    <t>0L-2701-0420</t>
  </si>
  <si>
    <t>0L-2701-0429</t>
  </si>
  <si>
    <t>0L-2701-0430</t>
  </si>
  <si>
    <t>0L-2701-0431</t>
  </si>
  <si>
    <t>0L-2701-0432</t>
  </si>
  <si>
    <t>0L-2701-0434</t>
  </si>
  <si>
    <t>0L-2702-0287</t>
  </si>
  <si>
    <t>0L-2702-0327</t>
  </si>
  <si>
    <t>0L-2702-0329</t>
  </si>
  <si>
    <t>0L-2702-0413</t>
  </si>
  <si>
    <t>0L-2800-0507</t>
  </si>
  <si>
    <t>0L-2800-0542</t>
  </si>
  <si>
    <t>0L-2800-0552</t>
  </si>
  <si>
    <t>0L-2800-0554</t>
  </si>
  <si>
    <t>0L-2800-0563</t>
  </si>
  <si>
    <t>0L-2800-0564</t>
  </si>
  <si>
    <t>0L-2800-0565</t>
  </si>
  <si>
    <t>0L-2800-0570</t>
  </si>
  <si>
    <t>0L-2800-0583</t>
  </si>
  <si>
    <t>0L-2800-0586</t>
  </si>
  <si>
    <t>0L-ASB1-O003</t>
  </si>
  <si>
    <t>0L-ASS1-B017</t>
  </si>
  <si>
    <t>0L-ASS1-B018</t>
  </si>
  <si>
    <t>0L-ASS1-B021</t>
  </si>
  <si>
    <t>0L-ASS1-O004</t>
  </si>
  <si>
    <t>0L-ASS1-O015</t>
  </si>
  <si>
    <t>0L-ASS1-O019</t>
  </si>
  <si>
    <t>0L-ASS1-O025</t>
  </si>
  <si>
    <t>0L-ASS1-O030</t>
  </si>
  <si>
    <t>0L-ASS1-O037</t>
  </si>
  <si>
    <t>0L-ASS1-O038</t>
  </si>
  <si>
    <t>0L-ASS1-O040</t>
  </si>
  <si>
    <t>0L-ASS1-O053</t>
  </si>
  <si>
    <t>0L-ASS1-O055</t>
  </si>
  <si>
    <t>0L-ASS1-O057</t>
  </si>
  <si>
    <t>0L-ASS1-O060</t>
  </si>
  <si>
    <t>0L-ASS1-O061</t>
  </si>
  <si>
    <t>0L-ASS1-O063</t>
  </si>
  <si>
    <t>0L-ASS2-B017</t>
  </si>
  <si>
    <t>0L-ASS2-B018</t>
  </si>
  <si>
    <t>0L-ASS2-O025</t>
  </si>
  <si>
    <t>0L-ASS2-O040</t>
  </si>
  <si>
    <t>0L-ASS2-O057</t>
  </si>
  <si>
    <t>0L-ASSB-O003</t>
  </si>
  <si>
    <t>0L-ASSB-O004</t>
  </si>
  <si>
    <t>0L-ASSB-O006</t>
  </si>
  <si>
    <t>0L-ASSY-B001</t>
  </si>
  <si>
    <t>0L-ASSY-B006</t>
  </si>
  <si>
    <t>0L-ASSY-B007</t>
  </si>
  <si>
    <t>0L-ASSY-B012</t>
  </si>
  <si>
    <t>0L-ASSY-B013</t>
  </si>
  <si>
    <t>0L-ASSY-B014</t>
  </si>
  <si>
    <t>0L-ASSY-B015</t>
  </si>
  <si>
    <t>0L-ASSY-B016</t>
  </si>
  <si>
    <t>0L-ASSY-B017</t>
  </si>
  <si>
    <t>0L-ASSY-B018</t>
  </si>
  <si>
    <t>0L-ASSY-B021</t>
  </si>
  <si>
    <t>0L-ASSY-N002</t>
  </si>
  <si>
    <t>0L-ASSY-O003</t>
  </si>
  <si>
    <t>0L-ASSY-O004</t>
  </si>
  <si>
    <t>0L-ASSY-O006</t>
  </si>
  <si>
    <t>0L-ASSY-O009</t>
  </si>
  <si>
    <t>0L-ASSY-O014</t>
  </si>
  <si>
    <t>0L-ASSY-O015</t>
  </si>
  <si>
    <t>0L-ASSY-O017</t>
  </si>
  <si>
    <t>0L-ASSY-O018</t>
  </si>
  <si>
    <t>0L-ASSY-O019</t>
  </si>
  <si>
    <t>0L-ASSY-O024</t>
  </si>
  <si>
    <t>0L-ASSY-O025</t>
  </si>
  <si>
    <t>0L-ASSY-O026</t>
  </si>
  <si>
    <t>0L-ASSY-O027</t>
  </si>
  <si>
    <t>0L-ASSY-O028</t>
  </si>
  <si>
    <t>0L-ASSY-O029</t>
  </si>
  <si>
    <t>0L-ASSY-O030</t>
  </si>
  <si>
    <t>0L-ASSY-O031</t>
  </si>
  <si>
    <t>0L-ASSY-O035</t>
  </si>
  <si>
    <t>0L-ASSY-O036</t>
  </si>
  <si>
    <t>0L-ASSY-O037</t>
  </si>
  <si>
    <t>0L-ASSY-O038</t>
  </si>
  <si>
    <t>0L-ASSY-O039</t>
  </si>
  <si>
    <t>0L-ASSY-O040</t>
  </si>
  <si>
    <t>0L-ASSY-O041</t>
  </si>
  <si>
    <t>0L-ASSY-O042</t>
  </si>
  <si>
    <t>0L-ASSY-O043</t>
  </si>
  <si>
    <t>0L-ASSY-O044</t>
  </si>
  <si>
    <t>0L-ASSY-O045</t>
  </si>
  <si>
    <t>0L-ASSY-O046</t>
  </si>
  <si>
    <t>0L-ASSY-O047</t>
  </si>
  <si>
    <t>0L-ASSY-O048</t>
  </si>
  <si>
    <t>0L-ASSY-O049</t>
  </si>
  <si>
    <t>0L-ASSY-O050</t>
  </si>
  <si>
    <t>0L-ASSY-O051</t>
  </si>
  <si>
    <t>0L-ASSY-O052</t>
  </si>
  <si>
    <t>0L-ASSY-O053</t>
  </si>
  <si>
    <t>0L-ASSY-O054</t>
  </si>
  <si>
    <t>0L-ASSY-O055</t>
  </si>
  <si>
    <t>0L-ASSY-O056</t>
  </si>
  <si>
    <t>0L-ASSY-O057</t>
  </si>
  <si>
    <t>0L-ASSY-O058</t>
  </si>
  <si>
    <t>0L-ASSY-O059</t>
  </si>
  <si>
    <t>0L-ASSY-O060</t>
  </si>
  <si>
    <t>0L-ASSY-O061</t>
  </si>
  <si>
    <t>0L-ASSY-O062</t>
  </si>
  <si>
    <t>0L-ASSY-O063</t>
  </si>
  <si>
    <t>0L-ASSY-O064</t>
  </si>
  <si>
    <t>0L-ASSY-O065</t>
  </si>
  <si>
    <t>0L-ASSY-O066</t>
  </si>
  <si>
    <t>0L-ASSY-O067</t>
  </si>
  <si>
    <t>0L-ASSY-O068</t>
  </si>
  <si>
    <t>0L-ASSY-P037</t>
  </si>
  <si>
    <t>0L-ASSY-P038</t>
  </si>
  <si>
    <t>0L-ASSY-S001</t>
  </si>
  <si>
    <t>0L-ASSY-S003</t>
  </si>
  <si>
    <t>0L-ASSY-S004</t>
  </si>
  <si>
    <t>0L-ASSY-S012</t>
  </si>
  <si>
    <t>0L-ASSY-S013</t>
  </si>
  <si>
    <t>0L-ASSY-S014</t>
  </si>
  <si>
    <t>0L-ASSY-S015</t>
  </si>
  <si>
    <t>0L-ASSY-S018</t>
  </si>
  <si>
    <t>0L-ASSY-S019</t>
  </si>
  <si>
    <t>0L-ASSY-S020</t>
  </si>
  <si>
    <t>0L-ASSY-S021</t>
  </si>
  <si>
    <t>0L-ASSY-S022</t>
  </si>
  <si>
    <t>0L-ASSY-V006</t>
  </si>
  <si>
    <t>0L-ASSY-V015</t>
  </si>
  <si>
    <t>0L-ASSY-V021</t>
  </si>
  <si>
    <t>0L-ASSY-V023</t>
  </si>
  <si>
    <t>0L-ASSY-V028</t>
  </si>
  <si>
    <t>0L-ASSY-V029</t>
  </si>
  <si>
    <t>0L-ASSY-V035</t>
  </si>
  <si>
    <t>0L-ASSY-V041</t>
  </si>
  <si>
    <t>0L-ASSY-V042</t>
  </si>
  <si>
    <t>0L-ASSY-V044</t>
  </si>
  <si>
    <t>0L-ASSY-V045</t>
  </si>
  <si>
    <t>0L-ASSY-V050</t>
  </si>
  <si>
    <t>0L-ASSY-V051</t>
  </si>
  <si>
    <t>0L-ASSY-V053</t>
  </si>
  <si>
    <t>0L-ASSY-V056</t>
  </si>
  <si>
    <t>0L-ASSY-V058</t>
  </si>
  <si>
    <t>0L-ASSY-V059</t>
  </si>
  <si>
    <t>0L-ASSY-V060</t>
  </si>
  <si>
    <t>0L-ASSY-V062</t>
  </si>
  <si>
    <t>0L-ASSY-V063</t>
  </si>
  <si>
    <t>0L-ASSY-V064</t>
  </si>
  <si>
    <t>0L-ASSY-V065</t>
  </si>
  <si>
    <t>0L-ASSY-V066</t>
  </si>
  <si>
    <t>0L-ASSY-V067</t>
  </si>
  <si>
    <t>0L-ASSY-V068</t>
  </si>
  <si>
    <t>0L-ASSY-V069</t>
  </si>
  <si>
    <t>0L-ASSY-V070</t>
  </si>
  <si>
    <t>0L-ASSY-V071</t>
  </si>
  <si>
    <t>0L-ASSY-V072</t>
  </si>
  <si>
    <t>0L-ASSY-V073</t>
  </si>
  <si>
    <t>0L-ASSY-V074</t>
  </si>
  <si>
    <t>0L-ASSY-V075</t>
  </si>
  <si>
    <t>0L-ASSY-V076</t>
  </si>
  <si>
    <t>0L-ASSY-V078</t>
  </si>
  <si>
    <t>0L-ASSY-V079</t>
  </si>
  <si>
    <t>0L-ASSY-V080</t>
  </si>
  <si>
    <t>0L-ASSY-V081</t>
  </si>
  <si>
    <t>0L-ASSY-V082</t>
  </si>
  <si>
    <t>0L-ASSY-V083</t>
  </si>
  <si>
    <t>0L-ASSY-V084</t>
  </si>
  <si>
    <t>0L-ASSY-V085</t>
  </si>
  <si>
    <t>0M-1200-0107</t>
  </si>
  <si>
    <t>0M-1200-0152</t>
  </si>
  <si>
    <t>0M-1200-0154</t>
  </si>
  <si>
    <t>0M-1200-0181</t>
  </si>
  <si>
    <t>0M-1200-0182</t>
  </si>
  <si>
    <t>0M-1200-0183</t>
  </si>
  <si>
    <t>0M-1200-0186</t>
  </si>
  <si>
    <t>0M-1200-0187</t>
  </si>
  <si>
    <t>0M-1200-0190</t>
  </si>
  <si>
    <t>0M-1200-0204</t>
  </si>
  <si>
    <t>0M-1200-0225</t>
  </si>
  <si>
    <t>0M-1200-0249</t>
  </si>
  <si>
    <t>0M-1200-0352</t>
  </si>
  <si>
    <t>0M-1200-0354</t>
  </si>
  <si>
    <t>0M-1200-0401</t>
  </si>
  <si>
    <t>0M-1200-0416</t>
  </si>
  <si>
    <t>0M-1200-0417</t>
  </si>
  <si>
    <t>0M-1200-0436</t>
  </si>
  <si>
    <t>0M-1200-0438</t>
  </si>
  <si>
    <t>0M-1200-0440</t>
  </si>
  <si>
    <t>0M-1200-0472</t>
  </si>
  <si>
    <t>0M-1200-0481</t>
  </si>
  <si>
    <t>0M-1200-0508</t>
  </si>
  <si>
    <t>0M-1200-0510</t>
  </si>
  <si>
    <t>0M-1200-0534</t>
  </si>
  <si>
    <t>0M-1200-0550</t>
  </si>
  <si>
    <t>0M-1200-0551</t>
  </si>
  <si>
    <t>0M-1200-0559</t>
  </si>
  <si>
    <t>0M-1200-0560</t>
  </si>
  <si>
    <t>0M-1200-0561</t>
  </si>
  <si>
    <t>0M-1200-0564</t>
  </si>
  <si>
    <t>0M-1200-0594</t>
  </si>
  <si>
    <t>0M-1200-0601</t>
  </si>
  <si>
    <t>0M-1200-0612</t>
  </si>
  <si>
    <t>0M-1200-0696</t>
  </si>
  <si>
    <t>0M-1200-0713</t>
  </si>
  <si>
    <t>0M-1200-0719</t>
  </si>
  <si>
    <t>0M-1200-0720</t>
  </si>
  <si>
    <t>0M-1200-0724</t>
  </si>
  <si>
    <t>0M-1200-0726</t>
  </si>
  <si>
    <t>0M-1200-0748</t>
  </si>
  <si>
    <t>0M-1200-0802</t>
  </si>
  <si>
    <t>0M-1200-0813</t>
  </si>
  <si>
    <t>0M-1200-0817</t>
  </si>
  <si>
    <t>0M-1200-0818</t>
  </si>
  <si>
    <t>0M-1200-0826</t>
  </si>
  <si>
    <t>0M-1200-0835</t>
  </si>
  <si>
    <t>0M-1200-0850</t>
  </si>
  <si>
    <t>0M-1200-0852</t>
  </si>
  <si>
    <t>0M-1200-0856</t>
  </si>
  <si>
    <t>0M-1200-0857</t>
  </si>
  <si>
    <t>0M-1200-0877</t>
  </si>
  <si>
    <t>0M-1200-0886</t>
  </si>
  <si>
    <t>0M-1200-0888</t>
  </si>
  <si>
    <t>0M-1200-0891</t>
  </si>
  <si>
    <t>0M-1200-0907</t>
  </si>
  <si>
    <t>0M-1200-0910</t>
  </si>
  <si>
    <t>0M-1200-0912</t>
  </si>
  <si>
    <t>0M-1200-0915</t>
  </si>
  <si>
    <t>0M-1200-0919</t>
  </si>
  <si>
    <t>0M-1200-0921</t>
  </si>
  <si>
    <t>0M-1200-0925</t>
  </si>
  <si>
    <t>0M-1200-0926</t>
  </si>
  <si>
    <t>0M-1200-0928</t>
  </si>
  <si>
    <t>0M-1200-0929</t>
  </si>
  <si>
    <t>0M-1200-0937</t>
  </si>
  <si>
    <t>0M-1200-0949</t>
  </si>
  <si>
    <t>0M-1200-0951</t>
  </si>
  <si>
    <t>0M-1200-0953</t>
  </si>
  <si>
    <t>0M-1200-0954</t>
  </si>
  <si>
    <t>0M-1200-0961</t>
  </si>
  <si>
    <t>0M-1200-0962</t>
  </si>
  <si>
    <t>0M-1200-0968</t>
  </si>
  <si>
    <t>0M-1200-0985</t>
  </si>
  <si>
    <t>0M-1200-0986</t>
  </si>
  <si>
    <t>0M-1200-0999</t>
  </si>
  <si>
    <t>0M-1200-1002</t>
  </si>
  <si>
    <t>0M-1200-1007</t>
  </si>
  <si>
    <t>0M-1200-1021</t>
  </si>
  <si>
    <t>0M-1200-1029</t>
  </si>
  <si>
    <t>0M-1200-1034</t>
  </si>
  <si>
    <t>0M-1200-1036</t>
  </si>
  <si>
    <t>0M-1200-1037</t>
  </si>
  <si>
    <t>0M-1200-1038</t>
  </si>
  <si>
    <t>0M-1200-1039</t>
  </si>
  <si>
    <t>0M-1200-1040</t>
  </si>
  <si>
    <t>0M-1200-1041</t>
  </si>
  <si>
    <t>0M-1200-1054</t>
  </si>
  <si>
    <t>0M-1200-1056</t>
  </si>
  <si>
    <t>0M-1200-1057</t>
  </si>
  <si>
    <t>0M-1200-1059</t>
  </si>
  <si>
    <t>0M-1200-1060</t>
  </si>
  <si>
    <t>0M-1200-1072</t>
  </si>
  <si>
    <t>0M-1200-1074</t>
  </si>
  <si>
    <t>0M-1200-1075</t>
  </si>
  <si>
    <t>0M-1200-1078</t>
  </si>
  <si>
    <t>0M-1200-1083</t>
  </si>
  <si>
    <t>0M-1200-1084</t>
  </si>
  <si>
    <t>0M-1200-1091</t>
  </si>
  <si>
    <t>0M-1200-1093</t>
  </si>
  <si>
    <t>0M-1200-1097</t>
  </si>
  <si>
    <t>0M-1200-1098</t>
  </si>
  <si>
    <t>0M-1200-1100</t>
  </si>
  <si>
    <t>0M-1200-1123</t>
  </si>
  <si>
    <t>0M-1200-1125</t>
  </si>
  <si>
    <t>0M-1200-1127</t>
  </si>
  <si>
    <t>0M-1200-1128</t>
  </si>
  <si>
    <t>0M-1200-1136</t>
  </si>
  <si>
    <t>0M-1200-1139</t>
  </si>
  <si>
    <t>0M-1200-1140</t>
  </si>
  <si>
    <t>0M-1200-1142</t>
  </si>
  <si>
    <t>0M-1200-1145</t>
  </si>
  <si>
    <t>0M-1200-1148</t>
  </si>
  <si>
    <t>0M-1200-1156</t>
  </si>
  <si>
    <t>0M-1200-1157</t>
  </si>
  <si>
    <t>0M-1200-1158</t>
  </si>
  <si>
    <t>0M-1200-1162</t>
  </si>
  <si>
    <t>0M-1200-1166</t>
  </si>
  <si>
    <t>0M-1200-1172</t>
  </si>
  <si>
    <t>0M-1200-1175</t>
  </si>
  <si>
    <t>0M-1200-1176</t>
  </si>
  <si>
    <t>0M-1200-1177</t>
  </si>
  <si>
    <t>0M-1200-1183</t>
  </si>
  <si>
    <t>0M-1200-1184</t>
  </si>
  <si>
    <t>0M-1200-1189</t>
  </si>
  <si>
    <t>0M-1200-1190</t>
  </si>
  <si>
    <t>0M-1200-1192</t>
  </si>
  <si>
    <t>0M-1200-1196</t>
  </si>
  <si>
    <t>0M-1200-1197</t>
  </si>
  <si>
    <t>0M-1200-1199</t>
  </si>
  <si>
    <t>0M-1200-1200</t>
  </si>
  <si>
    <t>0M-1200-1204</t>
  </si>
  <si>
    <t>0M-1200-1206</t>
  </si>
  <si>
    <t>0M-1200-1208</t>
  </si>
  <si>
    <t>0M-1200-1210</t>
  </si>
  <si>
    <t>0M-1200-1211</t>
  </si>
  <si>
    <t>0M-1200-1212</t>
  </si>
  <si>
    <t>0M-1200-1213</t>
  </si>
  <si>
    <t>0M-1200-1215</t>
  </si>
  <si>
    <t>0M-1200-1216</t>
  </si>
  <si>
    <t>0M-1200-1217</t>
  </si>
  <si>
    <t>0M-1200-1221</t>
  </si>
  <si>
    <t>0M-1200-1222</t>
  </si>
  <si>
    <t>0M-1200-1223</t>
  </si>
  <si>
    <t>0M-1200-1224</t>
  </si>
  <si>
    <t>0M-1200-1226</t>
  </si>
  <si>
    <t>0M-1200-1227</t>
  </si>
  <si>
    <t>0M-1200-1229</t>
  </si>
  <si>
    <t>0M-1200-1233</t>
  </si>
  <si>
    <t>0M-1200-1234</t>
  </si>
  <si>
    <t>0M-1200-1237</t>
  </si>
  <si>
    <t>0M-1200-1238</t>
  </si>
  <si>
    <t>0M-1200-1241</t>
  </si>
  <si>
    <t>0M-1200-1243</t>
  </si>
  <si>
    <t>0M-1200-1244</t>
  </si>
  <si>
    <t>0M-1200-1245</t>
  </si>
  <si>
    <t>0M-1200-1246</t>
  </si>
  <si>
    <t>0M-1200-1247</t>
  </si>
  <si>
    <t>0M-1200-1248</t>
  </si>
  <si>
    <t>0M-1200-1249</t>
  </si>
  <si>
    <t>0M-1200-1258</t>
  </si>
  <si>
    <t>0M-1200-1261</t>
  </si>
  <si>
    <t>0M-1200-1262</t>
  </si>
  <si>
    <t>0M-1200-1265</t>
  </si>
  <si>
    <t>0M-1200-1272</t>
  </si>
  <si>
    <t>0M-1200-1273</t>
  </si>
  <si>
    <t>0M-1200-1275</t>
  </si>
  <si>
    <t>0M-1200-1278</t>
  </si>
  <si>
    <t>0M-1200-1280</t>
  </si>
  <si>
    <t>0M-1200-1282</t>
  </si>
  <si>
    <t>0M-1200-1283</t>
  </si>
  <si>
    <t>0M-1200-1288</t>
  </si>
  <si>
    <t>0M-1200-1290</t>
  </si>
  <si>
    <t>0M-1200-1291</t>
  </si>
  <si>
    <t>0M-1200-1294</t>
  </si>
  <si>
    <t>0M-1200-1296</t>
  </si>
  <si>
    <t>0M-1200-1297</t>
  </si>
  <si>
    <t>0M-1200-1298</t>
  </si>
  <si>
    <t>0M-1200-1299</t>
  </si>
  <si>
    <t>0M-1200-1300</t>
  </si>
  <si>
    <t>0M-1200-1301</t>
  </si>
  <si>
    <t>0M-1200-1303</t>
  </si>
  <si>
    <t>0M-1200-1304</t>
  </si>
  <si>
    <t>0M-1200-1305</t>
  </si>
  <si>
    <t>0M-1200-1306</t>
  </si>
  <si>
    <t>0M-1200-1307</t>
  </si>
  <si>
    <t>0M-1200-1308</t>
  </si>
  <si>
    <t>0M-1200-1309</t>
  </si>
  <si>
    <t>0M-1200-1310</t>
  </si>
  <si>
    <t>0M-1200-1311</t>
  </si>
  <si>
    <t>0M-1200-1312</t>
  </si>
  <si>
    <t>0M-1200-1313</t>
  </si>
  <si>
    <t>0M-1200-1314</t>
  </si>
  <si>
    <t>0M-1200-1315</t>
  </si>
  <si>
    <t>0M-1200-1316</t>
  </si>
  <si>
    <t>0M-1200-1317</t>
  </si>
  <si>
    <t>0M-1200-1318</t>
  </si>
  <si>
    <t>0M-1200-1319</t>
  </si>
  <si>
    <t>0M-1200-1320</t>
  </si>
  <si>
    <t>0M-1200-1321</t>
  </si>
  <si>
    <t>0M-1200-1322</t>
  </si>
  <si>
    <t>0M-1200-1323</t>
  </si>
  <si>
    <t>0M-1200-1324</t>
  </si>
  <si>
    <t>0M-1200-1325</t>
  </si>
  <si>
    <t>0M-1200-1326</t>
  </si>
  <si>
    <t>0M-1200-1327</t>
  </si>
  <si>
    <t>0M-1200-1328</t>
  </si>
  <si>
    <t>0M-1200-1329</t>
  </si>
  <si>
    <t>0M-1200-1330</t>
  </si>
  <si>
    <t>0M-1200-1331</t>
  </si>
  <si>
    <t>0M-1200-1332</t>
  </si>
  <si>
    <t>0M-1200-1333</t>
  </si>
  <si>
    <t>0M-1200-1334</t>
  </si>
  <si>
    <t>0M-1200-1335</t>
  </si>
  <si>
    <t>0M-1200-1336</t>
  </si>
  <si>
    <t>0M-1200-1337</t>
  </si>
  <si>
    <t>0M-1200-1338</t>
  </si>
  <si>
    <t>0M-1200-1339</t>
  </si>
  <si>
    <t>0M-1200-1340</t>
  </si>
  <si>
    <t>0M-1200-1341</t>
  </si>
  <si>
    <t>0M-1200-1342</t>
  </si>
  <si>
    <t>0M-1200-1343</t>
  </si>
  <si>
    <t>0M-1200-1345</t>
  </si>
  <si>
    <t>0M-1200-1346</t>
  </si>
  <si>
    <t>0M-1200-1347</t>
  </si>
  <si>
    <t>0M-1200-1348</t>
  </si>
  <si>
    <t>0M-1200-1349</t>
  </si>
  <si>
    <t>0M-1200-1350</t>
  </si>
  <si>
    <t>0M-1200-1351</t>
  </si>
  <si>
    <t>0M-1200-1352</t>
  </si>
  <si>
    <t>0M-1200-1353</t>
  </si>
  <si>
    <t>0M-1200-1354</t>
  </si>
  <si>
    <t>0M-1200-1355</t>
  </si>
  <si>
    <t>0M-1200-1356</t>
  </si>
  <si>
    <t>0M-1200-1357</t>
  </si>
  <si>
    <t>0M-1200-1358</t>
  </si>
  <si>
    <t>0M-1200-1359</t>
  </si>
  <si>
    <t>0M-1200-1360</t>
  </si>
  <si>
    <t>0M-1200-1361</t>
  </si>
  <si>
    <t>0M-1200-1362</t>
  </si>
  <si>
    <t>0M-1200-1363</t>
  </si>
  <si>
    <t>0M-1200-1364</t>
  </si>
  <si>
    <t>0M-1200-1365</t>
  </si>
  <si>
    <t>0M-1200-1366</t>
  </si>
  <si>
    <t>0M-1200-1367</t>
  </si>
  <si>
    <t>0M-1200-1368</t>
  </si>
  <si>
    <t>0M-1200-1369</t>
  </si>
  <si>
    <t>0M-1200-1370</t>
  </si>
  <si>
    <t>0M-1200-1371</t>
  </si>
  <si>
    <t>0M-1200-1372</t>
  </si>
  <si>
    <t>0M-1200-1373</t>
  </si>
  <si>
    <t>0M-1200-1374</t>
  </si>
  <si>
    <t>0M-1200-1375</t>
  </si>
  <si>
    <t>0M-1200-1376</t>
  </si>
  <si>
    <t>0M-1200-1377</t>
  </si>
  <si>
    <t>0M-1200-1378</t>
  </si>
  <si>
    <t>0M-1200-1379</t>
  </si>
  <si>
    <t>0M-1200-1380</t>
  </si>
  <si>
    <t>0M-1200-1381</t>
  </si>
  <si>
    <t>0M-1200-1382</t>
  </si>
  <si>
    <t>0M-1200-1383</t>
  </si>
  <si>
    <t>0M-1200-1384</t>
  </si>
  <si>
    <t>0M-1200-1385</t>
  </si>
  <si>
    <t>0M-1200-1386</t>
  </si>
  <si>
    <t>0M-1200-1387</t>
  </si>
  <si>
    <t>0M-1200-1388</t>
  </si>
  <si>
    <t>0M-1200-1389</t>
  </si>
  <si>
    <t>0M-1200-1390</t>
  </si>
  <si>
    <t>0M-1200-1391</t>
  </si>
  <si>
    <t>0M-1200-1392</t>
  </si>
  <si>
    <t>0M-1200-1393</t>
  </si>
  <si>
    <t>0M-1200-1394</t>
  </si>
  <si>
    <t>0M-1200-1395</t>
  </si>
  <si>
    <t>0M-1200-1396</t>
  </si>
  <si>
    <t>0M-1200-1397</t>
  </si>
  <si>
    <t>0M-1200-1398</t>
  </si>
  <si>
    <t>0M-1200-1399</t>
  </si>
  <si>
    <t>0M-1200-1402</t>
  </si>
  <si>
    <t>0M-1200-1403</t>
  </si>
  <si>
    <t>0M-1200-1404</t>
  </si>
  <si>
    <t>0M-1200-1405</t>
  </si>
  <si>
    <t>0M-1200-1406</t>
  </si>
  <si>
    <t>0M-1200-1407</t>
  </si>
  <si>
    <t>0M-1200-1408</t>
  </si>
  <si>
    <t>0M-1200-1409</t>
  </si>
  <si>
    <t>0M-1200-1410</t>
  </si>
  <si>
    <t>0M-1200-1411</t>
  </si>
  <si>
    <t>0M-1200-1412</t>
  </si>
  <si>
    <t>0M-1200-1413</t>
  </si>
  <si>
    <t>0M-1200-1414</t>
  </si>
  <si>
    <t>0M-1200-1415</t>
  </si>
  <si>
    <t>0M-1200-1416</t>
  </si>
  <si>
    <t>0M-1200-1417</t>
  </si>
  <si>
    <t>0M-1200-1418</t>
  </si>
  <si>
    <t>0M-1200-1419</t>
  </si>
  <si>
    <t>0M-1200-1420</t>
  </si>
  <si>
    <t>0M-1200-1421</t>
  </si>
  <si>
    <t>0M-1200-1422</t>
  </si>
  <si>
    <t>0M-1200-1423</t>
  </si>
  <si>
    <t>0M-1200-1424</t>
  </si>
  <si>
    <t>0M-1200-1425</t>
  </si>
  <si>
    <t>0M-1200-1426</t>
  </si>
  <si>
    <t>0M-1200-1427</t>
  </si>
  <si>
    <t>0M-1200-1428</t>
  </si>
  <si>
    <t>0M-1201-0225</t>
  </si>
  <si>
    <t>0M-1201-0612</t>
  </si>
  <si>
    <t>0M-1201-0613</t>
  </si>
  <si>
    <t>0M-1201-1029</t>
  </si>
  <si>
    <t>0M-1201-1083</t>
  </si>
  <si>
    <t>0M-1201-1084</t>
  </si>
  <si>
    <t>0M-1201-1171</t>
  </si>
  <si>
    <t>0M-1201-1172</t>
  </si>
  <si>
    <t>0M-1201-1196</t>
  </si>
  <si>
    <t>0M-1201-1197</t>
  </si>
  <si>
    <t>0M-1201-1199</t>
  </si>
  <si>
    <t>0M-1201-1200</t>
  </si>
  <si>
    <t>0M-1201-1204</t>
  </si>
  <si>
    <t>0M-1201-1217</t>
  </si>
  <si>
    <t>0M-1201-1221</t>
  </si>
  <si>
    <t>0M-1201-1222</t>
  </si>
  <si>
    <t>0M-1201-1238</t>
  </si>
  <si>
    <t>0M-1201-1250</t>
  </si>
  <si>
    <t>0M-1201-1251</t>
  </si>
  <si>
    <t>0M-1201-1265</t>
  </si>
  <si>
    <t>0M-1201-1282</t>
  </si>
  <si>
    <t>0M-1201-1294</t>
  </si>
  <si>
    <t>0M-1201-1295</t>
  </si>
  <si>
    <t>0M-1201-1296</t>
  </si>
  <si>
    <t>0M-1201-1302</t>
  </si>
  <si>
    <t>0M-1201-1341</t>
  </si>
  <si>
    <t>0M-1202-1296</t>
  </si>
  <si>
    <t>0M-2000-0120</t>
  </si>
  <si>
    <t>0M-2000-0226</t>
  </si>
  <si>
    <t>0M-2000-0262</t>
  </si>
  <si>
    <t>0M-2000-0306</t>
  </si>
  <si>
    <t>0M-2000-0313</t>
  </si>
  <si>
    <t>0M-2000-0344</t>
  </si>
  <si>
    <t>0M-2000-0346</t>
  </si>
  <si>
    <t>0M-2000-0366</t>
  </si>
  <si>
    <t>0M-2000-0385</t>
  </si>
  <si>
    <t>0M-2000-0386</t>
  </si>
  <si>
    <t>0M-2000-0387</t>
  </si>
  <si>
    <t>0M-2000-0406</t>
  </si>
  <si>
    <t>0M-2000-0415</t>
  </si>
  <si>
    <t>0M-2000-0419</t>
  </si>
  <si>
    <t>0M-2000-0451</t>
  </si>
  <si>
    <t>0M-2000-0459</t>
  </si>
  <si>
    <t>0M-2000-0460</t>
  </si>
  <si>
    <t>0M-2000-0461</t>
  </si>
  <si>
    <t>0M-2000-0462</t>
  </si>
  <si>
    <t>0M-2000-0465</t>
  </si>
  <si>
    <t>0M-2000-0483</t>
  </si>
  <si>
    <t>0M-2000-0495</t>
  </si>
  <si>
    <t>0M-2000-0503</t>
  </si>
  <si>
    <t>0M-2000-0507</t>
  </si>
  <si>
    <t>0M-2000-0513</t>
  </si>
  <si>
    <t>0M-2000-0518</t>
  </si>
  <si>
    <t>0M-2000-0531</t>
  </si>
  <si>
    <t>0M-2000-0534</t>
  </si>
  <si>
    <t>0M-2000-0535</t>
  </si>
  <si>
    <t>0M-2000-0536</t>
  </si>
  <si>
    <t>0M-2000-0537</t>
  </si>
  <si>
    <t>0M-2000-0538</t>
  </si>
  <si>
    <t>0M-2000-0544</t>
  </si>
  <si>
    <t>0M-2000-0546</t>
  </si>
  <si>
    <t>0M-2000-0556</t>
  </si>
  <si>
    <t>0M-2000-0561</t>
  </si>
  <si>
    <t>0M-2000-0563</t>
  </si>
  <si>
    <t>0M-2000-0579</t>
  </si>
  <si>
    <t>0M-2000-0581</t>
  </si>
  <si>
    <t>0M-2000-0584</t>
  </si>
  <si>
    <t>0M-2000-0585</t>
  </si>
  <si>
    <t>0M-2000-0586</t>
  </si>
  <si>
    <t>0M-2000-0592</t>
  </si>
  <si>
    <t>0M-2000-0594</t>
  </si>
  <si>
    <t>0M-2000-0595</t>
  </si>
  <si>
    <t>0M-2000-0598</t>
  </si>
  <si>
    <t>0M-2000-0602</t>
  </si>
  <si>
    <t>0M-2000-0604</t>
  </si>
  <si>
    <t>0M-2000-0605</t>
  </si>
  <si>
    <t>0M-2000-0608</t>
  </si>
  <si>
    <t>0M-2000-0609</t>
  </si>
  <si>
    <t>0M-2000-0610</t>
  </si>
  <si>
    <t>0M-2000-0613</t>
  </si>
  <si>
    <t>0M-2000-0618</t>
  </si>
  <si>
    <t>0M-2000-0619</t>
  </si>
  <si>
    <t>0M-2000-0626</t>
  </si>
  <si>
    <t>0M-2000-0632</t>
  </si>
  <si>
    <t>0M-2000-0635</t>
  </si>
  <si>
    <t>0M-2000-0636</t>
  </si>
  <si>
    <t>0M-2000-0637</t>
  </si>
  <si>
    <t>0M-2000-0638</t>
  </si>
  <si>
    <t>0M-2000-0640</t>
  </si>
  <si>
    <t>0M-2000-0641</t>
  </si>
  <si>
    <t>0M-2000-0644</t>
  </si>
  <si>
    <t>0M-2000-0645</t>
  </si>
  <si>
    <t>0M-2000-0647</t>
  </si>
  <si>
    <t>0M-2000-0648</t>
  </si>
  <si>
    <t>0M-2000-0650</t>
  </si>
  <si>
    <t>0M-2000-0652</t>
  </si>
  <si>
    <t>0M-2000-0657</t>
  </si>
  <si>
    <t>0M-2000-0658</t>
  </si>
  <si>
    <t>0M-2000-0661</t>
  </si>
  <si>
    <t>0M-2000-0666</t>
  </si>
  <si>
    <t>0M-2000-0667</t>
  </si>
  <si>
    <t>0M-2000-0669</t>
  </si>
  <si>
    <t>0M-2000-0681</t>
  </si>
  <si>
    <t>0M-2000-0683</t>
  </si>
  <si>
    <t>0M-2000-0684</t>
  </si>
  <si>
    <t>0M-2000-0685</t>
  </si>
  <si>
    <t>0M-2000-0686</t>
  </si>
  <si>
    <t>0M-2000-0692</t>
  </si>
  <si>
    <t>0M-2000-0693</t>
  </si>
  <si>
    <t>0M-2000-0694</t>
  </si>
  <si>
    <t>0M-2000-0698</t>
  </si>
  <si>
    <t>0M-2000-0701</t>
  </si>
  <si>
    <t>0M-2000-0707</t>
  </si>
  <si>
    <t>0M-2000-0708</t>
  </si>
  <si>
    <t>0M-2000-0712</t>
  </si>
  <si>
    <t>0M-2000-0713</t>
  </si>
  <si>
    <t>0M-2000-0714</t>
  </si>
  <si>
    <t>0M-2000-0715</t>
  </si>
  <si>
    <t>0M-2000-0717</t>
  </si>
  <si>
    <t>0M-2000-0718</t>
  </si>
  <si>
    <t>0M-2000-0719</t>
  </si>
  <si>
    <t>0M-2000-0720</t>
  </si>
  <si>
    <t>0M-2000-0721</t>
  </si>
  <si>
    <t>0M-2000-0722</t>
  </si>
  <si>
    <t>0M-2000-0723</t>
  </si>
  <si>
    <t>0M-2000-0724</t>
  </si>
  <si>
    <t>0M-2000-0725</t>
  </si>
  <si>
    <t>0M-2000-0726</t>
  </si>
  <si>
    <t>0M-2000-0727</t>
  </si>
  <si>
    <t>0M-2001-0586</t>
  </si>
  <si>
    <t>0M-2001-0610</t>
  </si>
  <si>
    <t>0M-2100-0064</t>
  </si>
  <si>
    <t>0M-2100-0066</t>
  </si>
  <si>
    <t>0M-2100-0122</t>
  </si>
  <si>
    <t>0M-2100-0123</t>
  </si>
  <si>
    <t>0M-2100-0126</t>
  </si>
  <si>
    <t>0M-2100-0139</t>
  </si>
  <si>
    <t>0M-2100-0143</t>
  </si>
  <si>
    <t>0M-2100-0145</t>
  </si>
  <si>
    <t>0M-2100-0146</t>
  </si>
  <si>
    <t>0M-2100-0148</t>
  </si>
  <si>
    <t>0M-2100-0151</t>
  </si>
  <si>
    <t>0M-2100-0171</t>
  </si>
  <si>
    <t>0M-2100-0172</t>
  </si>
  <si>
    <t>0M-2100-0173</t>
  </si>
  <si>
    <t>0M-2101-0097</t>
  </si>
  <si>
    <t>0M-2101-0098</t>
  </si>
  <si>
    <t>0M-2101-0126</t>
  </si>
  <si>
    <t>0M-2700-0049</t>
  </si>
  <si>
    <t>0M-2700-0068</t>
  </si>
  <si>
    <t>0M-2700-0113</t>
  </si>
  <si>
    <t>0M-2700-0117</t>
  </si>
  <si>
    <t>0M-2700-0125</t>
  </si>
  <si>
    <t>0M-2700-0129</t>
  </si>
  <si>
    <t>0M-2700-0150</t>
  </si>
  <si>
    <t>0M-2700-0151</t>
  </si>
  <si>
    <t>0M-2700-0152</t>
  </si>
  <si>
    <t>0M-2700-0163</t>
  </si>
  <si>
    <t>0M-2700-0200</t>
  </si>
  <si>
    <t>0M-2700-0202</t>
  </si>
  <si>
    <t>0M-2700-0216</t>
  </si>
  <si>
    <t>0M-2700-0218</t>
  </si>
  <si>
    <t>0M-2700-0219</t>
  </si>
  <si>
    <t>0M-2700-0225</t>
  </si>
  <si>
    <t>0M-2700-0226</t>
  </si>
  <si>
    <t>0M-2700-0228</t>
  </si>
  <si>
    <t>0M-2700-0229</t>
  </si>
  <si>
    <t>0M-2700-0230</t>
  </si>
  <si>
    <t>0M-2700-0238</t>
  </si>
  <si>
    <t>0M-2700-0238_OLD</t>
  </si>
  <si>
    <t>0M-2700-0242</t>
  </si>
  <si>
    <t>0M-2700-0244</t>
  </si>
  <si>
    <t>0M-2700-0245</t>
  </si>
  <si>
    <t>0M-2700-0246</t>
  </si>
  <si>
    <t>0M-2700-0253</t>
  </si>
  <si>
    <t>0M-2700-0254</t>
  </si>
  <si>
    <t>0M-2700-0256</t>
  </si>
  <si>
    <t>0M-2700-0257</t>
  </si>
  <si>
    <t>0M-2700-0258</t>
  </si>
  <si>
    <t>0M-2700-0259</t>
  </si>
  <si>
    <t>0M-2700-0260</t>
  </si>
  <si>
    <t>0M-2700-0261</t>
  </si>
  <si>
    <t>0M-2700-0262</t>
  </si>
  <si>
    <t>0M-2700-0263</t>
  </si>
  <si>
    <t>0M-2700-0264</t>
  </si>
  <si>
    <t>0M-2700-0265</t>
  </si>
  <si>
    <t>0M-2700-0266</t>
  </si>
  <si>
    <t>0M-2700-0268</t>
  </si>
  <si>
    <t>0M-2700-0269</t>
  </si>
  <si>
    <t>0M-2700-0271</t>
  </si>
  <si>
    <t>0M-2700-0275</t>
  </si>
  <si>
    <t>0M-2700-0282</t>
  </si>
  <si>
    <t>0M-2700-0283</t>
  </si>
  <si>
    <t>0M-2700-0284</t>
  </si>
  <si>
    <t>0M-2700-0285</t>
  </si>
  <si>
    <t>0M-2700-0287</t>
  </si>
  <si>
    <t>0M-2700-0290</t>
  </si>
  <si>
    <t>0M-2700-0302</t>
  </si>
  <si>
    <t>0M-2700-0303</t>
  </si>
  <si>
    <t>0M-2700-0306</t>
  </si>
  <si>
    <t>0M-2700-0307</t>
  </si>
  <si>
    <t>0M-2700-0311</t>
  </si>
  <si>
    <t>0M-2700-0313</t>
  </si>
  <si>
    <t>0M-2700-0314</t>
  </si>
  <si>
    <t>0M-2700-0315</t>
  </si>
  <si>
    <t>0M-2700-0319</t>
  </si>
  <si>
    <t>0M-2700-0320</t>
  </si>
  <si>
    <t>0M-2700-0325</t>
  </si>
  <si>
    <t>0M-2700-0326</t>
  </si>
  <si>
    <t>0M-2700-0327</t>
  </si>
  <si>
    <t>0M-2700-0328</t>
  </si>
  <si>
    <t>0M-2700-0329</t>
  </si>
  <si>
    <t>0M-2700-0330</t>
  </si>
  <si>
    <t>0M-2700-0335</t>
  </si>
  <si>
    <t>0M-2700-0336</t>
  </si>
  <si>
    <t>0M-2700-0337</t>
  </si>
  <si>
    <t>0M-2700-0338</t>
  </si>
  <si>
    <t>0M-2700-0340</t>
  </si>
  <si>
    <t>0M-2700-0341</t>
  </si>
  <si>
    <t>0M-2700-0342</t>
  </si>
  <si>
    <t>0M-2700-0344</t>
  </si>
  <si>
    <t>0M-2700-0345</t>
  </si>
  <si>
    <t>0M-2700-0346</t>
  </si>
  <si>
    <t>0M-2700-0347</t>
  </si>
  <si>
    <t>0M-2700-0348</t>
  </si>
  <si>
    <t>0M-2700-0351</t>
  </si>
  <si>
    <t>0M-2700-0356</t>
  </si>
  <si>
    <t>0M-2700-0357</t>
  </si>
  <si>
    <t>0M-2700-0360</t>
  </si>
  <si>
    <t>0M-2700-0362</t>
  </si>
  <si>
    <t>0M-2700-0363</t>
  </si>
  <si>
    <t>0M-2700-0364</t>
  </si>
  <si>
    <t>0M-2700-0365</t>
  </si>
  <si>
    <t>0M-2700-0366</t>
  </si>
  <si>
    <t>0M-2700-0367</t>
  </si>
  <si>
    <t>0M-2700-0368</t>
  </si>
  <si>
    <t>0M-2700-0369</t>
  </si>
  <si>
    <t>0M-2700-0370</t>
  </si>
  <si>
    <t>0M-2700-0372</t>
  </si>
  <si>
    <t>0M-2700-0373</t>
  </si>
  <si>
    <t>0M-2700-0374</t>
  </si>
  <si>
    <t>0M-2700-0375</t>
  </si>
  <si>
    <t>0M-2700-0376</t>
  </si>
  <si>
    <t>0M-2700-0377</t>
  </si>
  <si>
    <t>0M-2700-0380</t>
  </si>
  <si>
    <t>0M-2700-0381</t>
  </si>
  <si>
    <t>0M-2700-0382</t>
  </si>
  <si>
    <t>0M-2700-0383</t>
  </si>
  <si>
    <t>0M-2700-0384</t>
  </si>
  <si>
    <t>0M-2700-0385</t>
  </si>
  <si>
    <t>0M-2700-0386</t>
  </si>
  <si>
    <t>0M-2700-0387</t>
  </si>
  <si>
    <t>0M-2700-0388</t>
  </si>
  <si>
    <t>0M-2700-0389</t>
  </si>
  <si>
    <t>0M-2700-0390</t>
  </si>
  <si>
    <t>0M-2700-0391</t>
  </si>
  <si>
    <t>0M-2700-0392</t>
  </si>
  <si>
    <t>0M-2700-0393</t>
  </si>
  <si>
    <t>0M-2700-0394</t>
  </si>
  <si>
    <t>0M-2700-0395</t>
  </si>
  <si>
    <t>0M-2700-0396</t>
  </si>
  <si>
    <t>0M-2700-0397</t>
  </si>
  <si>
    <t>0M-2700-0398</t>
  </si>
  <si>
    <t>0M-2700-0399</t>
  </si>
  <si>
    <t>0M-2700-0400</t>
  </si>
  <si>
    <t>0M-2700-0401</t>
  </si>
  <si>
    <t>0M-2700-0402</t>
  </si>
  <si>
    <t>0M-2700-0403</t>
  </si>
  <si>
    <t>0M-2700-0404</t>
  </si>
  <si>
    <t>0M-2700-0405</t>
  </si>
  <si>
    <t>0M-2700-0406</t>
  </si>
  <si>
    <t>0M-2700-0407</t>
  </si>
  <si>
    <t>0M-2700-0410</t>
  </si>
  <si>
    <t>0M-2700-0411</t>
  </si>
  <si>
    <t>0M-2700-0412</t>
  </si>
  <si>
    <t>0M-2700-0413</t>
  </si>
  <si>
    <t>0M-2700-0414</t>
  </si>
  <si>
    <t>0M-2700-0415</t>
  </si>
  <si>
    <t>0M-2700-0416</t>
  </si>
  <si>
    <t>0M-2700-0417</t>
  </si>
  <si>
    <t>0M-2700-0419</t>
  </si>
  <si>
    <t>0M-2700-0420</t>
  </si>
  <si>
    <t>0M-2700-0421</t>
  </si>
  <si>
    <t>0M-2700-0422</t>
  </si>
  <si>
    <t>0M-2700-0423</t>
  </si>
  <si>
    <t>0M-2700-0424</t>
  </si>
  <si>
    <t>0M-2700-0425</t>
  </si>
  <si>
    <t>0M-2700-0426</t>
  </si>
  <si>
    <t>0M-2700-0427</t>
  </si>
  <si>
    <t>0M-2700-0428</t>
  </si>
  <si>
    <t>0M-2700-0429</t>
  </si>
  <si>
    <t>0M-2700-0430</t>
  </si>
  <si>
    <t>0M-2700-0431</t>
  </si>
  <si>
    <t>0M-2700-0432</t>
  </si>
  <si>
    <t>0M-2700-0433</t>
  </si>
  <si>
    <t>0M-2700-0434</t>
  </si>
  <si>
    <t>0M-2700-0435</t>
  </si>
  <si>
    <t>0M-2700-0436</t>
  </si>
  <si>
    <t>0M-2700-0437</t>
  </si>
  <si>
    <t>0M-2700-0439</t>
  </si>
  <si>
    <t>0M-2700-0440</t>
  </si>
  <si>
    <t>0M-2700-0441</t>
  </si>
  <si>
    <t>0M-2700-0442</t>
  </si>
  <si>
    <t>0M-2700-0443</t>
  </si>
  <si>
    <t>0M-2700-0444</t>
  </si>
  <si>
    <t>0M-2700-0445</t>
  </si>
  <si>
    <t>0M-2700-0446</t>
  </si>
  <si>
    <t>0M-2700-0447</t>
  </si>
  <si>
    <t>0M-2700-0448</t>
  </si>
  <si>
    <t>0M-2700-0449</t>
  </si>
  <si>
    <t>0M-2700-0450</t>
  </si>
  <si>
    <t>0M-2700-0455</t>
  </si>
  <si>
    <t>0M-2701-0049</t>
  </si>
  <si>
    <t>0M-2701-0125</t>
  </si>
  <si>
    <t>0M-2701-0152</t>
  </si>
  <si>
    <t>0M-2701-0216</t>
  </si>
  <si>
    <t>0M-2701-0218</t>
  </si>
  <si>
    <t>0M-2701-0228</t>
  </si>
  <si>
    <t>0M-2701-0229</t>
  </si>
  <si>
    <t>0M-2701-0244</t>
  </si>
  <si>
    <t>0M-2701-0287</t>
  </si>
  <si>
    <t>0M-2701-0295</t>
  </si>
  <si>
    <t>0M-2701-0319</t>
  </si>
  <si>
    <t>0M-2701-0327</t>
  </si>
  <si>
    <t>0M-2701-0328</t>
  </si>
  <si>
    <t>0M-2701-0329</t>
  </si>
  <si>
    <t>0M-2701-0339</t>
  </si>
  <si>
    <t>0M-2701-0362</t>
  </si>
  <si>
    <t>0M-2701-0363</t>
  </si>
  <si>
    <t>0M-2701-0374</t>
  </si>
  <si>
    <t>0M-2701-0389</t>
  </si>
  <si>
    <t>0M-2701-0390</t>
  </si>
  <si>
    <t>0M-2701-0396</t>
  </si>
  <si>
    <t>0M-2701-0397</t>
  </si>
  <si>
    <t>0M-2701-0398</t>
  </si>
  <si>
    <t>0M-2701-0399</t>
  </si>
  <si>
    <t>0M-2701-0400</t>
  </si>
  <si>
    <t>0M-2701-0401</t>
  </si>
  <si>
    <t>0M-2701-0413</t>
  </si>
  <si>
    <t>0M-2701-0414</t>
  </si>
  <si>
    <t>0M-2701-0420</t>
  </si>
  <si>
    <t>0M-2701-0425</t>
  </si>
  <si>
    <t>0M-2701-0429</t>
  </si>
  <si>
    <t>0M-2701-0430</t>
  </si>
  <si>
    <t>0M-2701-0431</t>
  </si>
  <si>
    <t>0M-2701-0432</t>
  </si>
  <si>
    <t>0M-2701-0434</t>
  </si>
  <si>
    <t>0M-2701-0447</t>
  </si>
  <si>
    <t>0M-2702-0287</t>
  </si>
  <si>
    <t>0M-2702-0327</t>
  </si>
  <si>
    <t>0M-2702-0329</t>
  </si>
  <si>
    <t>0M-2702-0339</t>
  </si>
  <si>
    <t>0M-2702-0396</t>
  </si>
  <si>
    <t>0M-2702-0398</t>
  </si>
  <si>
    <t>0M-2702-0413</t>
  </si>
  <si>
    <t>0M-2800-0349</t>
  </si>
  <si>
    <t>0M-2800-0425</t>
  </si>
  <si>
    <t>0M-2800-0437</t>
  </si>
  <si>
    <t>0M-2800-0449</t>
  </si>
  <si>
    <t>0M-2800-0490</t>
  </si>
  <si>
    <t>0M-2800-0502</t>
  </si>
  <si>
    <t>0M-2800-0507</t>
  </si>
  <si>
    <t>0M-2800-0510</t>
  </si>
  <si>
    <t>0M-2800-0526</t>
  </si>
  <si>
    <t>0M-2800-0542</t>
  </si>
  <si>
    <t>0M-2800-0543</t>
  </si>
  <si>
    <t>0M-2800-0545</t>
  </si>
  <si>
    <t>0M-2800-0546</t>
  </si>
  <si>
    <t>0M-2800-0548</t>
  </si>
  <si>
    <t>0M-2800-0549</t>
  </si>
  <si>
    <t>0M-2800-0552</t>
  </si>
  <si>
    <t>0M-2800-0553</t>
  </si>
  <si>
    <t>0M-2800-0563</t>
  </si>
  <si>
    <t>0M-2800-0564</t>
  </si>
  <si>
    <t>0M-2800-0565</t>
  </si>
  <si>
    <t>0M-2800-0566</t>
  </si>
  <si>
    <t>0M-2800-0570</t>
  </si>
  <si>
    <t>0M-2800-0571</t>
  </si>
  <si>
    <t>0M-2800-0574</t>
  </si>
  <si>
    <t>0M-2800-0583</t>
  </si>
  <si>
    <t>0M-2800-0584</t>
  </si>
  <si>
    <t>0M-2800-0586</t>
  </si>
  <si>
    <t>0M-2800-0587</t>
  </si>
  <si>
    <t>0M-2801-0349</t>
  </si>
  <si>
    <t>0M-2801-0526</t>
  </si>
  <si>
    <t>0M-2801-0543</t>
  </si>
  <si>
    <t>0M-2801-0546</t>
  </si>
  <si>
    <t>0M-2801-0572</t>
  </si>
  <si>
    <t>0M-9000-0458</t>
  </si>
  <si>
    <t>0M-9000-0459</t>
  </si>
  <si>
    <t>0M-9000-0460</t>
  </si>
  <si>
    <t>0M-9000-0461</t>
  </si>
  <si>
    <t>0M-9000-0462</t>
  </si>
  <si>
    <t>0M-9300-0056</t>
  </si>
  <si>
    <t>0M-AEX0-0004</t>
  </si>
  <si>
    <t>0M-AEX0-0005</t>
  </si>
  <si>
    <t>0M-AEX0-0006</t>
  </si>
  <si>
    <t>0M-AEX0-0007</t>
  </si>
  <si>
    <t>0M-ASSY-O059</t>
  </si>
  <si>
    <t>0M-GE13-0031</t>
  </si>
  <si>
    <t>0M-HETH-0001</t>
  </si>
  <si>
    <t>0M-HETH-0003</t>
  </si>
  <si>
    <t>0M-HETH-0004</t>
  </si>
  <si>
    <t>0M-HETH-0006</t>
  </si>
  <si>
    <t>0M-HETH-0007</t>
  </si>
  <si>
    <t>0M-HETH-0008</t>
  </si>
  <si>
    <t>0M-HETH-0009</t>
  </si>
  <si>
    <t>0M-HETH-0010</t>
  </si>
  <si>
    <t>0M-HETH-0011</t>
  </si>
  <si>
    <t>0M-HETH-0012</t>
  </si>
  <si>
    <t>0M-HETH-0013</t>
  </si>
  <si>
    <t>0M-HETH-0014</t>
  </si>
  <si>
    <t>0M-M302-0002</t>
  </si>
  <si>
    <t>0M-MB01-0001</t>
  </si>
  <si>
    <t>0M-MB01-0003</t>
  </si>
  <si>
    <t>0M-MB01-0004</t>
  </si>
  <si>
    <t>0M-MB02-0002</t>
  </si>
  <si>
    <t>0M-MB02-0003</t>
  </si>
  <si>
    <t>0M-MB02-0004</t>
  </si>
  <si>
    <t>0M-MB02-0006</t>
  </si>
  <si>
    <t>0M-MB02-0007</t>
  </si>
  <si>
    <t>0M-MB02-0008</t>
  </si>
  <si>
    <t>0M-MB04-0001</t>
  </si>
  <si>
    <t>0M-MB04-0002</t>
  </si>
  <si>
    <t>0M-MB04-0003</t>
  </si>
  <si>
    <t>0M-MB04-0004</t>
  </si>
  <si>
    <t>0M-MB04-0005</t>
  </si>
  <si>
    <t>0M-MB04-0006</t>
  </si>
  <si>
    <t>0M-MB05-0001</t>
  </si>
  <si>
    <t>0M-MB05-0002</t>
  </si>
  <si>
    <t>0M-MB05-0003</t>
  </si>
  <si>
    <t>0M-MB05-0004</t>
  </si>
  <si>
    <t>0M-MB05-0005</t>
  </si>
  <si>
    <t>0M-MB05-0006</t>
  </si>
  <si>
    <t>0M-MB05-0007</t>
  </si>
  <si>
    <t>0M-MB05-0008</t>
  </si>
  <si>
    <t>0M-MB05-0010</t>
  </si>
  <si>
    <t>0M-MB05-0011</t>
  </si>
  <si>
    <t>0M-MB05-0012</t>
  </si>
  <si>
    <t>0M-MB05-0013</t>
  </si>
  <si>
    <t>0M-MBF1-0003</t>
  </si>
  <si>
    <t>0M-MBF1-0004</t>
  </si>
  <si>
    <t>0M-MBF2-0002</t>
  </si>
  <si>
    <t>0M-MBF2-0003</t>
  </si>
  <si>
    <t>0M-MBF2-0004</t>
  </si>
  <si>
    <t>0M-MBF2-0005</t>
  </si>
  <si>
    <t>0M-MBF4-0001</t>
  </si>
  <si>
    <t>0M-MBF4-0002</t>
  </si>
  <si>
    <t>0M-MBF4-0003</t>
  </si>
  <si>
    <t>0M-MBF5-0001</t>
  </si>
  <si>
    <t>0M-MBF5-0002</t>
  </si>
  <si>
    <t>0M-MBF5-0003</t>
  </si>
  <si>
    <t>0M-MBF5-0004</t>
  </si>
  <si>
    <t>0M-MBF5-0005</t>
  </si>
  <si>
    <t>0M-MBF5-0006</t>
  </si>
  <si>
    <t>0M-MG03-0001</t>
  </si>
  <si>
    <t>0M-MG06-0009</t>
  </si>
  <si>
    <t>0M-MI02-0001</t>
  </si>
  <si>
    <t>0M-MK01-0001</t>
  </si>
  <si>
    <t>0M-MK02-0002</t>
  </si>
  <si>
    <t>0M-MK02-0003</t>
  </si>
  <si>
    <t>0M-MK02-0005</t>
  </si>
  <si>
    <t>0M-MK02-0006</t>
  </si>
  <si>
    <t>0M-MK02-0008</t>
  </si>
  <si>
    <t>0M-MK02-0010</t>
  </si>
  <si>
    <t>0M-MK02-0011</t>
  </si>
  <si>
    <t>0M-MK02-0013</t>
  </si>
  <si>
    <t>0M-MK02-0014</t>
  </si>
  <si>
    <t>0M-MK03-0001</t>
  </si>
  <si>
    <t>0M-MK03-0002</t>
  </si>
  <si>
    <t>0M-MK03-0003</t>
  </si>
  <si>
    <t>0M-MK03-0004</t>
  </si>
  <si>
    <t>0M-MK03-0005</t>
  </si>
  <si>
    <t>0M-MK03-0006</t>
  </si>
  <si>
    <t>0M-MK03-0007</t>
  </si>
  <si>
    <t>0M-MK03-0008</t>
  </si>
  <si>
    <t>0M-MK03-0009</t>
  </si>
  <si>
    <t>0M-MK03-0010</t>
  </si>
  <si>
    <t>0M-MK03-0011</t>
  </si>
  <si>
    <t>0M-MK03-0012</t>
  </si>
  <si>
    <t>0M-MK03-0013</t>
  </si>
  <si>
    <t>0M-MK03-0014</t>
  </si>
  <si>
    <t>0M-MK03-0016</t>
  </si>
  <si>
    <t>0M-MK03-0017</t>
  </si>
  <si>
    <t>0M-MK03-0018</t>
  </si>
  <si>
    <t>0M-MK03-0019</t>
  </si>
  <si>
    <t>0M-MK03-0020</t>
  </si>
  <si>
    <t>0M-MK03-0021</t>
  </si>
  <si>
    <t>0M-MK03-0022</t>
  </si>
  <si>
    <t>0M-MK03-0023</t>
  </si>
  <si>
    <t>0M-MK03-0024</t>
  </si>
  <si>
    <t>0M-MK03-0025</t>
  </si>
  <si>
    <t>0M-MK03-0026</t>
  </si>
  <si>
    <t>0M-MK03-0027</t>
  </si>
  <si>
    <t>0M-MK03-0028</t>
  </si>
  <si>
    <t>0M-MK03-0029</t>
  </si>
  <si>
    <t>0M-MK03-0030</t>
  </si>
  <si>
    <t>0M-MK03-0031</t>
  </si>
  <si>
    <t>0M-MK03-0032</t>
  </si>
  <si>
    <t>0M-MK03-0034</t>
  </si>
  <si>
    <t>0M-MK03-0035</t>
  </si>
  <si>
    <t>0M-MK03-0036</t>
  </si>
  <si>
    <t>0M-MK03-0037</t>
  </si>
  <si>
    <t>0M-MK03-0038</t>
  </si>
  <si>
    <t>0M-MK03-0039</t>
  </si>
  <si>
    <t>0M-MK03-0040</t>
  </si>
  <si>
    <t>0M-MK03-0041</t>
  </si>
  <si>
    <t>0M-MK03-0043</t>
  </si>
  <si>
    <t>0M-MK03-0044</t>
  </si>
  <si>
    <t>0M-MK03-0046</t>
  </si>
  <si>
    <t>0M-MK03-0047</t>
  </si>
  <si>
    <t>0M-MK03-0048</t>
  </si>
  <si>
    <t>0M-MK03-0049</t>
  </si>
  <si>
    <t>0M-MK03-0050</t>
  </si>
  <si>
    <t>0M-MK03-0051</t>
  </si>
  <si>
    <t>0M-MK03-0059</t>
  </si>
  <si>
    <t>0M-MK03-0061</t>
  </si>
  <si>
    <t>0M-MK03-0063</t>
  </si>
  <si>
    <t>0M-MK03-0066</t>
  </si>
  <si>
    <t>0M-MK03-0067</t>
  </si>
  <si>
    <t>0M-MK03-0068</t>
  </si>
  <si>
    <t>0M-MK03-0069</t>
  </si>
  <si>
    <t>0M-MK03-0070</t>
  </si>
  <si>
    <t>0M-MK03-0071</t>
  </si>
  <si>
    <t>0M-MK03-0072</t>
  </si>
  <si>
    <t>0M-MK03-0073</t>
  </si>
  <si>
    <t>0M-MK03-0074</t>
  </si>
  <si>
    <t>0M-MK03-0075</t>
  </si>
  <si>
    <t>0M-MK03-0076</t>
  </si>
  <si>
    <t>0M-MK03-0076_OLD</t>
  </si>
  <si>
    <t>0M-MK03-0077</t>
  </si>
  <si>
    <t>0M-MK03-TEST</t>
  </si>
  <si>
    <t>0M-MNF2-0001</t>
  </si>
  <si>
    <t>0M-MO01-0001</t>
  </si>
  <si>
    <t>0M-MO01-0002</t>
  </si>
  <si>
    <t>0M-MO01-0003</t>
  </si>
  <si>
    <t>0M-MO01-0013</t>
  </si>
  <si>
    <t>0M-MO01-0014</t>
  </si>
  <si>
    <t>0M-MO01-0015</t>
  </si>
  <si>
    <t>0M-MO01-0016</t>
  </si>
  <si>
    <t>0M-MO01-0017</t>
  </si>
  <si>
    <t>0M-MO01-0018</t>
  </si>
  <si>
    <t>0M-MO01-0019</t>
  </si>
  <si>
    <t>0M-MO02-0001</t>
  </si>
  <si>
    <t>0M-MO02-0002</t>
  </si>
  <si>
    <t>0M-MO02-0003</t>
  </si>
  <si>
    <t>0M-MO02-0005</t>
  </si>
  <si>
    <t>0M-MO02-0006</t>
  </si>
  <si>
    <t>0M-MO02-0007</t>
  </si>
  <si>
    <t>0M-MO02-0008</t>
  </si>
  <si>
    <t>0M-MO02-0009</t>
  </si>
  <si>
    <t>0M-MO02-0010</t>
  </si>
  <si>
    <t>0M-MO02-0011</t>
  </si>
  <si>
    <t>0M-MO02-0012</t>
  </si>
  <si>
    <t>0M-MO11-0001</t>
  </si>
  <si>
    <t>0M-MO11-0002</t>
  </si>
  <si>
    <t>0M-MO11-0003</t>
  </si>
  <si>
    <t>0M-MOF1-0001</t>
  </si>
  <si>
    <t>0M-MOF1-0004</t>
  </si>
  <si>
    <t>0M-MOF1-0007</t>
  </si>
  <si>
    <t>0M-MOF1-0010</t>
  </si>
  <si>
    <t>0M-MOF1-0011</t>
  </si>
  <si>
    <t>0M-MOF1-0012</t>
  </si>
  <si>
    <t>0M-MOF1-0013</t>
  </si>
  <si>
    <t>0M-MOF1-0014</t>
  </si>
  <si>
    <t>0M-MOF1-0015</t>
  </si>
  <si>
    <t>0M-MOF1-0016</t>
  </si>
  <si>
    <t>0M-MOF1-0017</t>
  </si>
  <si>
    <t>0M-MOF1-0018</t>
  </si>
  <si>
    <t>0M-MOF1-0019</t>
  </si>
  <si>
    <t>0M-MOF1-0020</t>
  </si>
  <si>
    <t>0M-MOF1-0021</t>
  </si>
  <si>
    <t>0M-MOF1-0022</t>
  </si>
  <si>
    <t>0M-MOF1-0023</t>
  </si>
  <si>
    <t>0M-MOF1-0024</t>
  </si>
  <si>
    <t>0M-MOF1-0025</t>
  </si>
  <si>
    <t>0M-MOF1-0026</t>
  </si>
  <si>
    <t>0M-MOF1-0027</t>
  </si>
  <si>
    <t>0M-MOF1-0028</t>
  </si>
  <si>
    <t>0M-MOF1-0029</t>
  </si>
  <si>
    <t>0M-MOF1-0030</t>
  </si>
  <si>
    <t>0M-MOF1-0031</t>
  </si>
  <si>
    <t>0M-MOF1-0032</t>
  </si>
  <si>
    <t>0M-MOF1-0033</t>
  </si>
  <si>
    <t>0M-MOF1-0034</t>
  </si>
  <si>
    <t>0M-MOF1-0035</t>
  </si>
  <si>
    <t>0M-MOF1-0036</t>
  </si>
  <si>
    <t>0M-MOF1-0037</t>
  </si>
  <si>
    <t>0M-MOF1-0038</t>
  </si>
  <si>
    <t>0M-MOF1-0039</t>
  </si>
  <si>
    <t>0M-MOF1-0040</t>
  </si>
  <si>
    <t>0M-MOF1-0041</t>
  </si>
  <si>
    <t>0M-MOF1-0042</t>
  </si>
  <si>
    <t>0M-MOF1-0043</t>
  </si>
  <si>
    <t>0M-MOF1-0044</t>
  </si>
  <si>
    <t>0M-MOF1-0045</t>
  </si>
  <si>
    <t>0M-MOF1-0046</t>
  </si>
  <si>
    <t>0M-MOF1-0047</t>
  </si>
  <si>
    <t>0M-MOF1-0048</t>
  </si>
  <si>
    <t>0M-MOF1-0049</t>
  </si>
  <si>
    <t>0M-MOF1-0050</t>
  </si>
  <si>
    <t>0M-MOF1-0051</t>
  </si>
  <si>
    <t>0M-MOF1-0052</t>
  </si>
  <si>
    <t>0M-MOF1-0053</t>
  </si>
  <si>
    <t>0M-MOF1-0054</t>
  </si>
  <si>
    <t>0M-MOF1-0055</t>
  </si>
  <si>
    <t>0M-MOF1-0056</t>
  </si>
  <si>
    <t>0M-MOF1-0057</t>
  </si>
  <si>
    <t>0M-MOF1-0058</t>
  </si>
  <si>
    <t>0M-MOF1-0059</t>
  </si>
  <si>
    <t>0M-MOF1-0060</t>
  </si>
  <si>
    <t>0M-MOF1-0061</t>
  </si>
  <si>
    <t>0M-MOF1-0062</t>
  </si>
  <si>
    <t>0M-MOF1-0063</t>
  </si>
  <si>
    <t>0M-MOF1-0064</t>
  </si>
  <si>
    <t>0M-MOF1-0065</t>
  </si>
  <si>
    <t>0M-MOF1-0066</t>
  </si>
  <si>
    <t>0M-MOF1-0067</t>
  </si>
  <si>
    <t>0M-MOF1-0068</t>
  </si>
  <si>
    <t>0M-MOF1-0069</t>
  </si>
  <si>
    <t>0M-MOF1-0070</t>
  </si>
  <si>
    <t>0M-MOF1-0071</t>
  </si>
  <si>
    <t>0M-MOF1-0072</t>
  </si>
  <si>
    <t>0M-MOF1-0073</t>
  </si>
  <si>
    <t>0M-MOF1-0074</t>
  </si>
  <si>
    <t>0M-MOF1-0075</t>
  </si>
  <si>
    <t>0M-MOF1-0076</t>
  </si>
  <si>
    <t>0M-MOF1-0077</t>
  </si>
  <si>
    <t>0M-MOF1-0078</t>
  </si>
  <si>
    <t>0M-MOF1-0079</t>
  </si>
  <si>
    <t>0M-MOF1-0080</t>
  </si>
  <si>
    <t>0M-MOF1-0081</t>
  </si>
  <si>
    <t>0M-MOF1-0082</t>
  </si>
  <si>
    <t>0M-MOF1-0083</t>
  </si>
  <si>
    <t>0M-MOF1-0084</t>
  </si>
  <si>
    <t>0M-MOF1-0085</t>
  </si>
  <si>
    <t>0M-MOF1-0086</t>
  </si>
  <si>
    <t>0M-MOF1-0087</t>
  </si>
  <si>
    <t>0M-MOF1-0088</t>
  </si>
  <si>
    <t>0M-MOF1-0089</t>
  </si>
  <si>
    <t>0M-MOF1-0090</t>
  </si>
  <si>
    <t>0M-MOF1-0091</t>
  </si>
  <si>
    <t>0M-MOF1-0092</t>
  </si>
  <si>
    <t>0M-MOF1-0093</t>
  </si>
  <si>
    <t>0M-MOF1-0094</t>
  </si>
  <si>
    <t>0M-MOF1-0095</t>
  </si>
  <si>
    <t>0M-MOF1-0096</t>
  </si>
  <si>
    <t>0M-MOF1-0097</t>
  </si>
  <si>
    <t>0M-MOF1-0098</t>
  </si>
  <si>
    <t>0M-MOF1-0099</t>
  </si>
  <si>
    <t>0M-MOF1-0100</t>
  </si>
  <si>
    <t>0M-MOF1-0101</t>
  </si>
  <si>
    <t>0M-MOF1-0102</t>
  </si>
  <si>
    <t>0M-MOF1-0103</t>
  </si>
  <si>
    <t>0M-MOF1-0104</t>
  </si>
  <si>
    <t>0M-MOF2-0004</t>
  </si>
  <si>
    <t>0M-MOF2-0005</t>
  </si>
  <si>
    <t>0M-MOF2-0006</t>
  </si>
  <si>
    <t>0M-MOF2-0007</t>
  </si>
  <si>
    <t>0M-MOF2-0008</t>
  </si>
  <si>
    <t>0M-MOF2-0010</t>
  </si>
  <si>
    <t>0M-MOF2-0012</t>
  </si>
  <si>
    <t>0M-MOF2-0013</t>
  </si>
  <si>
    <t>0M-MOF2-0014</t>
  </si>
  <si>
    <t>0M-MOF2-0016</t>
  </si>
  <si>
    <t>0M-MOF2-0017</t>
  </si>
  <si>
    <t>0M-MOF2-0018</t>
  </si>
  <si>
    <t>0M-MOF2-0019</t>
  </si>
  <si>
    <t>0M-MOF2-0020</t>
  </si>
  <si>
    <t>0M-MOF2-0021</t>
  </si>
  <si>
    <t>0M-MOF2-0024</t>
  </si>
  <si>
    <t>0M-MOF2-0028</t>
  </si>
  <si>
    <t>0M-MOF2-0031</t>
  </si>
  <si>
    <t>0M-MOF2-0039</t>
  </si>
  <si>
    <t>0M-MOF2-0040</t>
  </si>
  <si>
    <t>0M-MOF2-0042</t>
  </si>
  <si>
    <t>0M-MOF2-0043</t>
  </si>
  <si>
    <t>0M-MOF2-0044</t>
  </si>
  <si>
    <t>0M-MOF2-0045</t>
  </si>
  <si>
    <t>0M-MOF2-0046</t>
  </si>
  <si>
    <t>0M-MOF2-0047</t>
  </si>
  <si>
    <t>0M-MOF2-0048</t>
  </si>
  <si>
    <t>0M-MOF2-0049</t>
  </si>
  <si>
    <t>0M-MOF2-0050</t>
  </si>
  <si>
    <t>0M-MOF2-0051</t>
  </si>
  <si>
    <t>0M-MOF2-0052</t>
  </si>
  <si>
    <t>0M-MOF2-0053</t>
  </si>
  <si>
    <t>0M-MOF2-0054</t>
  </si>
  <si>
    <t>0M-MOF2-0055</t>
  </si>
  <si>
    <t>0M-MOF2-0056</t>
  </si>
  <si>
    <t>0M-MOF2-0057</t>
  </si>
  <si>
    <t>0M-MOF2-0058</t>
  </si>
  <si>
    <t>0M-MOF2-0059</t>
  </si>
  <si>
    <t>0M-MOF2-0060</t>
  </si>
  <si>
    <t>0M-MOF2-0061</t>
  </si>
  <si>
    <t>0M-MOF2-0062</t>
  </si>
  <si>
    <t>0M-MOF2-0063</t>
  </si>
  <si>
    <t>0M-MOF2-0064</t>
  </si>
  <si>
    <t>0M-MOF2-0065</t>
  </si>
  <si>
    <t>0M-MOF2-0066</t>
  </si>
  <si>
    <t>0M-MOF2-0067</t>
  </si>
  <si>
    <t>0M-MOF2-0068</t>
  </si>
  <si>
    <t>0M-MOF2-0069</t>
  </si>
  <si>
    <t>0M-MOF2-0070</t>
  </si>
  <si>
    <t>0M-MOF2-0071</t>
  </si>
  <si>
    <t>0M-MOF2-0072</t>
  </si>
  <si>
    <t>0M-MOF2-0073</t>
  </si>
  <si>
    <t>0M-MOF2-0074</t>
  </si>
  <si>
    <t>0M-MOF2-0075</t>
  </si>
  <si>
    <t>0M-MOF2-0076</t>
  </si>
  <si>
    <t>0M-MOF2-0077</t>
  </si>
  <si>
    <t>0M-MOF2-0078</t>
  </si>
  <si>
    <t>0M-MOF2-0079</t>
  </si>
  <si>
    <t>0M-MOF2-0080</t>
  </si>
  <si>
    <t>0M-MOF2-0081</t>
  </si>
  <si>
    <t>0M-MOF2-0082</t>
  </si>
  <si>
    <t>0M-MOF2-0083</t>
  </si>
  <si>
    <t>0M-MOF2-0084</t>
  </si>
  <si>
    <t>0M-MOF2-0085</t>
  </si>
  <si>
    <t>0M-MOF2-0086</t>
  </si>
  <si>
    <t>0M-MOF2-0087</t>
  </si>
  <si>
    <t>0M-MOF2-0088</t>
  </si>
  <si>
    <t>0M-MOF2-0089</t>
  </si>
  <si>
    <t>0M-MOF2-0090</t>
  </si>
  <si>
    <t>0M-MOF2-0091</t>
  </si>
  <si>
    <t>0M-MOF2-0092</t>
  </si>
  <si>
    <t>0M-MOF2-0093</t>
  </si>
  <si>
    <t>0M-MOF2-0100</t>
  </si>
  <si>
    <t>0M-MOF2-0101</t>
  </si>
  <si>
    <t>0M-MOF2-0102</t>
  </si>
  <si>
    <t>0M-MOF2-0103</t>
  </si>
  <si>
    <t>0M-MOF2-0104</t>
  </si>
  <si>
    <t>0M-MOF2-0105</t>
  </si>
  <si>
    <t>0M-MOF2-0106</t>
  </si>
  <si>
    <t>0M-MOF2-0107</t>
  </si>
  <si>
    <t>0M-MOF2-0108</t>
  </si>
  <si>
    <t>0M-MOF2-0109</t>
  </si>
  <si>
    <t>0M-MOF2-0110</t>
  </si>
  <si>
    <t>0M-MOF2-0111</t>
  </si>
  <si>
    <t>0M-MOF2-0112</t>
  </si>
  <si>
    <t>0M-MOF2-0113</t>
  </si>
  <si>
    <t>0M-MOF2-0114</t>
  </si>
  <si>
    <t>0M-MOF2-0115</t>
  </si>
  <si>
    <t>0M-MOF2-0116</t>
  </si>
  <si>
    <t>0M-MOF2-0117</t>
  </si>
  <si>
    <t>0M-MOF2-0118</t>
  </si>
  <si>
    <t>0M-MOF2-0119</t>
  </si>
  <si>
    <t>0M-MOF2-0120</t>
  </si>
  <si>
    <t>0M-MOF2-0121</t>
  </si>
  <si>
    <t>0M-MOF2-0122</t>
  </si>
  <si>
    <t>0M-MOF2-0123</t>
  </si>
  <si>
    <t>0M-MOF2-0124</t>
  </si>
  <si>
    <t>0M-MOF2-0125</t>
  </si>
  <si>
    <t>0M-MOF2-0126</t>
  </si>
  <si>
    <t>0M-MOF2-0127</t>
  </si>
  <si>
    <t>0M-MOF2-0128</t>
  </si>
  <si>
    <t>0M-MOF2-0129</t>
  </si>
  <si>
    <t>0M-MOF2-0130</t>
  </si>
  <si>
    <t>0M-MOF2-0131</t>
  </si>
  <si>
    <t>0M-MOF2-0132</t>
  </si>
  <si>
    <t>0M-MOF2-0133</t>
  </si>
  <si>
    <t>0M-MOF2-0134</t>
  </si>
  <si>
    <t>0M-MOF2-0135</t>
  </si>
  <si>
    <t>0M-MOF2-0136</t>
  </si>
  <si>
    <t>0M-MOF2-0137</t>
  </si>
  <si>
    <t>0M-MOF2-0138</t>
  </si>
  <si>
    <t>0M-MOF2-0139</t>
  </si>
  <si>
    <t>0M-MOF3-0001</t>
  </si>
  <si>
    <t>0M-MOF3-0002</t>
  </si>
  <si>
    <t>0M-MOF3-0003</t>
  </si>
  <si>
    <t>0M-MOF3-0005</t>
  </si>
  <si>
    <t>0M-MOF3-0006</t>
  </si>
  <si>
    <t>0M-MOF3-0007</t>
  </si>
  <si>
    <t>0M-MOF3-0008</t>
  </si>
  <si>
    <t>0M-MOF3-0011</t>
  </si>
  <si>
    <t>0M-MOF3-0012</t>
  </si>
  <si>
    <t>0M-MOF3-0013</t>
  </si>
  <si>
    <t>0M-MOF3-0014</t>
  </si>
  <si>
    <t>0M-MOF3-0015</t>
  </si>
  <si>
    <t>0M-MOF3-0016</t>
  </si>
  <si>
    <t>0M-MOF3-0017</t>
  </si>
  <si>
    <t>0M-MOF3-0018</t>
  </si>
  <si>
    <t>0M-MOF3-0019</t>
  </si>
  <si>
    <t>0M-MOF3-0024</t>
  </si>
  <si>
    <t>0M-MOF3-0027</t>
  </si>
  <si>
    <t>0M-MOF3-0028</t>
  </si>
  <si>
    <t>0M-MOF3-0029</t>
  </si>
  <si>
    <t>0M-MOF3-0030</t>
  </si>
  <si>
    <t>0M-MOF3-0031</t>
  </si>
  <si>
    <t>0M-MOF3-0032</t>
  </si>
  <si>
    <t>0M-MOF3-0033</t>
  </si>
  <si>
    <t>0M-MOF3-0034</t>
  </si>
  <si>
    <t>0M-MOF3-0035</t>
  </si>
  <si>
    <t>0M-MOF3-0036</t>
  </si>
  <si>
    <t>0M-MOF3-0037</t>
  </si>
  <si>
    <t>0M-MOF3-0038</t>
  </si>
  <si>
    <t>0M-MOF3-0039</t>
  </si>
  <si>
    <t>0M-MOF3-0040</t>
  </si>
  <si>
    <t>0M-MOF3-0041</t>
  </si>
  <si>
    <t>0M-MOF3-0042</t>
  </si>
  <si>
    <t>0M-MOF3-0043</t>
  </si>
  <si>
    <t>0M-MOF3-0044</t>
  </si>
  <si>
    <t>0M-MOF3-0045</t>
  </si>
  <si>
    <t>0M-MOF3-0046</t>
  </si>
  <si>
    <t>0M-MOF3-0047</t>
  </si>
  <si>
    <t>0M-MOF3-0048</t>
  </si>
  <si>
    <t>0M-MOF3-0049</t>
  </si>
  <si>
    <t>0M-MOF3-0050</t>
  </si>
  <si>
    <t>0M-MOF3-0051</t>
  </si>
  <si>
    <t>0M-MOF3-0052</t>
  </si>
  <si>
    <t>0M-MOF3-0053</t>
  </si>
  <si>
    <t>0M-MOF3-0054</t>
  </si>
  <si>
    <t>0M-MOF3-0055</t>
  </si>
  <si>
    <t>0M-MOF3-0056</t>
  </si>
  <si>
    <t>0M-MOF3-0057</t>
  </si>
  <si>
    <t>0M-MOF3-0058</t>
  </si>
  <si>
    <t>0M-MOF3-0059</t>
  </si>
  <si>
    <t>0M-MOF3-0060</t>
  </si>
  <si>
    <t>0M-MOF3-0061</t>
  </si>
  <si>
    <t>0M-MOF3-0062</t>
  </si>
  <si>
    <t>0M-MOF3-0063</t>
  </si>
  <si>
    <t>0M-MOF3-0064</t>
  </si>
  <si>
    <t>0M-MOF3-0065</t>
  </si>
  <si>
    <t>0M-MOF3-0066</t>
  </si>
  <si>
    <t>0M-MOF3-0067</t>
  </si>
  <si>
    <t>0M-MOF3-0068</t>
  </si>
  <si>
    <t>0M-MOF3-0069</t>
  </si>
  <si>
    <t>0M-MOF3-0070</t>
  </si>
  <si>
    <t>0M-MOF3-0071</t>
  </si>
  <si>
    <t>0M-MOF3-0072</t>
  </si>
  <si>
    <t>0M-MOF3-0073</t>
  </si>
  <si>
    <t>0M-MOF3-0074</t>
  </si>
  <si>
    <t>0M-MOF3-0075</t>
  </si>
  <si>
    <t>0M-MOF3-0076</t>
  </si>
  <si>
    <t>0M-MOF3-0077</t>
  </si>
  <si>
    <t>0M-MOF3-0078</t>
  </si>
  <si>
    <t>0M-MOF3-0079</t>
  </si>
  <si>
    <t>0M-MOF3-0080</t>
  </si>
  <si>
    <t>0M-MOF3-0081</t>
  </si>
  <si>
    <t>0M-MOF3-0082</t>
  </si>
  <si>
    <t>0M-MOF3-0083</t>
  </si>
  <si>
    <t>0M-MOF3-0084</t>
  </si>
  <si>
    <t>0M-MOF3-0085</t>
  </si>
  <si>
    <t>0M-MOF3-0086</t>
  </si>
  <si>
    <t>0M-MOF3-0087</t>
  </si>
  <si>
    <t>0M-MOF3-0088</t>
  </si>
  <si>
    <t>0M-MOF3-0089</t>
  </si>
  <si>
    <t>0M-MOF3-0090</t>
  </si>
  <si>
    <t>0M-MOF3-0091</t>
  </si>
  <si>
    <t>0M-MOF3-0092</t>
  </si>
  <si>
    <t>0M-MOF3-0093</t>
  </si>
  <si>
    <t>0M-MOF3-0094</t>
  </si>
  <si>
    <t>0M-MOF3-0095</t>
  </si>
  <si>
    <t>0M-MOF3-0096</t>
  </si>
  <si>
    <t>0M-MOF3-0097</t>
  </si>
  <si>
    <t>0M-MOF3-0098</t>
  </si>
  <si>
    <t>0M-MOF3-0099</t>
  </si>
  <si>
    <t>0M-MOF3-0100</t>
  </si>
  <si>
    <t>0M-MOF3-0101</t>
  </si>
  <si>
    <t>0M-MOF3-0102</t>
  </si>
  <si>
    <t>0M-MOF3-0103</t>
  </si>
  <si>
    <t>0M-MOF3-0104</t>
  </si>
  <si>
    <t>0M-MOF3-0105</t>
  </si>
  <si>
    <t>0M-MOF3-0106</t>
  </si>
  <si>
    <t>0M-MOF3-0107</t>
  </si>
  <si>
    <t>0M-MOF3-0108</t>
  </si>
  <si>
    <t>0M-MOF3-0109</t>
  </si>
  <si>
    <t>0M-MOF3-0110</t>
  </si>
  <si>
    <t>0M-MOF3-0111</t>
  </si>
  <si>
    <t>0M-MOF3-0112</t>
  </si>
  <si>
    <t>0M-MOF3-0113</t>
  </si>
  <si>
    <t>0M-MOF3-0114</t>
  </si>
  <si>
    <t>0M-MOF3-0115</t>
  </si>
  <si>
    <t>0M-MOF3-0116</t>
  </si>
  <si>
    <t>0M-MOF3-0117</t>
  </si>
  <si>
    <t>0M-MOF3-0118</t>
  </si>
  <si>
    <t>0M-MOF3-0119</t>
  </si>
  <si>
    <t>0M-MOF3-0120</t>
  </si>
  <si>
    <t>0M-MOF3-0121</t>
  </si>
  <si>
    <t>0M-MOF3-0122</t>
  </si>
  <si>
    <t>0M-MOF3-0123</t>
  </si>
  <si>
    <t>0M-MOF3-0124</t>
  </si>
  <si>
    <t>0M-MOF3-0125</t>
  </si>
  <si>
    <t>0M-MOF3-0126</t>
  </si>
  <si>
    <t>0M-MOF3-0127</t>
  </si>
  <si>
    <t>0M-MOF3-0128</t>
  </si>
  <si>
    <t>0M-MOF3-0129</t>
  </si>
  <si>
    <t>0M-MOF3-0130</t>
  </si>
  <si>
    <t>0M-MOF3-0131</t>
  </si>
  <si>
    <t>0M-MOF3-0132</t>
  </si>
  <si>
    <t>0M-MOF3-0133</t>
  </si>
  <si>
    <t>0M-MOF3-0134</t>
  </si>
  <si>
    <t>0M-MOF3-0135</t>
  </si>
  <si>
    <t>0M-MOF3-0136</t>
  </si>
  <si>
    <t>0M-MOF3-0137</t>
  </si>
  <si>
    <t>0M-MOF3-0138</t>
  </si>
  <si>
    <t>0M-MOF3-0139</t>
  </si>
  <si>
    <t>0M-MOF3-0140</t>
  </si>
  <si>
    <t>0M-MOF3-0141</t>
  </si>
  <si>
    <t>0M-MOF3-0142</t>
  </si>
  <si>
    <t>0M-MOF3-0143</t>
  </si>
  <si>
    <t>0M-MOF3-0144</t>
  </si>
  <si>
    <t>0M-MOF3-0145</t>
  </si>
  <si>
    <t>0M-MOF3-0146</t>
  </si>
  <si>
    <t>0M-MOF3-0147</t>
  </si>
  <si>
    <t>0M-MOF3-0148</t>
  </si>
  <si>
    <t>0M-MOF3-0149</t>
  </si>
  <si>
    <t>0M-MOF3-0150</t>
  </si>
  <si>
    <t>0M-MOF3-0151</t>
  </si>
  <si>
    <t>0M-MOF3-0152</t>
  </si>
  <si>
    <t>0M-MOF3-0153</t>
  </si>
  <si>
    <t>0M-MOF3-0154</t>
  </si>
  <si>
    <t>0M-MOF3-0155</t>
  </si>
  <si>
    <t>0M-MOF3-0156</t>
  </si>
  <si>
    <t>0M-MOF3-0157</t>
  </si>
  <si>
    <t>0M-MOF3-0158</t>
  </si>
  <si>
    <t>0M-MOF3-0159</t>
  </si>
  <si>
    <t>0M-MOF3-0160</t>
  </si>
  <si>
    <t>0M-MOF3-0161</t>
  </si>
  <si>
    <t>0M-MOF3-0162</t>
  </si>
  <si>
    <t>0M-MOF3-0163</t>
  </si>
  <si>
    <t>0M-MOF3-0164</t>
  </si>
  <si>
    <t>0M-MOF3-0165</t>
  </si>
  <si>
    <t>0M-MOF3-0166</t>
  </si>
  <si>
    <t>0M-MOF3-0167</t>
  </si>
  <si>
    <t>0M-MOF3-0168</t>
  </si>
  <si>
    <t>0M-MOF3-0169</t>
  </si>
  <si>
    <t>0M-MOF3-0170</t>
  </si>
  <si>
    <t>0M-MOF3-0171</t>
  </si>
  <si>
    <t>0M-MOF3-0172</t>
  </si>
  <si>
    <t>0M-MOF3-0173</t>
  </si>
  <si>
    <t>0M-MOF3-0174</t>
  </si>
  <si>
    <t>0M-MOF3-0175</t>
  </si>
  <si>
    <t>0M-MOF3-0176</t>
  </si>
  <si>
    <t>0M-MOF3-0177</t>
  </si>
  <si>
    <t>0M-MOF3-0178</t>
  </si>
  <si>
    <t>0M-MOF3-0179</t>
  </si>
  <si>
    <t>0M-MOF3-0180</t>
  </si>
  <si>
    <t>0M-MOF3-0181</t>
  </si>
  <si>
    <t>0M-MOF3-0182</t>
  </si>
  <si>
    <t>0M-MOF3-0183</t>
  </si>
  <si>
    <t>0M-MOF3-0184</t>
  </si>
  <si>
    <t>0M-MOF3-0185</t>
  </si>
  <si>
    <t>0M-MOF3-0186</t>
  </si>
  <si>
    <t>0M-MOF3-0187</t>
  </si>
  <si>
    <t>0M-MOF3-0188</t>
  </si>
  <si>
    <t>0M-MOF3-0189</t>
  </si>
  <si>
    <t>0M-MOF3-0190</t>
  </si>
  <si>
    <t>0M-MOF4-0002</t>
  </si>
  <si>
    <t>0M-MOF4-0003</t>
  </si>
  <si>
    <t>0M-MOF4-0006</t>
  </si>
  <si>
    <t>0M-MOF4-0008</t>
  </si>
  <si>
    <t>0M-MOF4-0009</t>
  </si>
  <si>
    <t>0M-MOF4-0018</t>
  </si>
  <si>
    <t>0M-MOF4-0019</t>
  </si>
  <si>
    <t>0M-MOF4-0020</t>
  </si>
  <si>
    <t>0M-MOF4-0021</t>
  </si>
  <si>
    <t>0M-MOF4-0022</t>
  </si>
  <si>
    <t>0M-MOF4-0023</t>
  </si>
  <si>
    <t>0M-MOF4-0024</t>
  </si>
  <si>
    <t>0M-MOF4-0025</t>
  </si>
  <si>
    <t>0M-MOF4-0026</t>
  </si>
  <si>
    <t>0M-MOF4-0027</t>
  </si>
  <si>
    <t>0M-MOF4-0028</t>
  </si>
  <si>
    <t>0M-MOF4-0029</t>
  </si>
  <si>
    <t>0M-MOF4-0030</t>
  </si>
  <si>
    <t>0M-MOF4-0031</t>
  </si>
  <si>
    <t>0M-MOF4-0032</t>
  </si>
  <si>
    <t>0M-MOF4-0033</t>
  </si>
  <si>
    <t>0M-MOF4-0034</t>
  </si>
  <si>
    <t>0M-MOF4-0035</t>
  </si>
  <si>
    <t>0M-MOF4-0036</t>
  </si>
  <si>
    <t>0M-MOF4-0037</t>
  </si>
  <si>
    <t>0M-MOF4-0038</t>
  </si>
  <si>
    <t>0M-MOF4-0039</t>
  </si>
  <si>
    <t>0M-MOF4-0040</t>
  </si>
  <si>
    <t>0M-MOF4-0041</t>
  </si>
  <si>
    <t>0M-MOF4-0042</t>
  </si>
  <si>
    <t>0M-MOF4-0043</t>
  </si>
  <si>
    <t>0M-MOF4-0044</t>
  </si>
  <si>
    <t>0M-MOF4-0045</t>
  </si>
  <si>
    <t>0M-MOF4-0046</t>
  </si>
  <si>
    <t>0M-MOF4-0047</t>
  </si>
  <si>
    <t>0M-MOF4-0048</t>
  </si>
  <si>
    <t>0M-MOF4-0049</t>
  </si>
  <si>
    <t>0M-MOF4-0050</t>
  </si>
  <si>
    <t>0M-MOF4-0051</t>
  </si>
  <si>
    <t>0M-MOF4-0052</t>
  </si>
  <si>
    <t>0M-MOF4-0053</t>
  </si>
  <si>
    <t>0M-MOF4-0054</t>
  </si>
  <si>
    <t>0M-MOF4-0055</t>
  </si>
  <si>
    <t>0M-MOF4-0056</t>
  </si>
  <si>
    <t>0M-MOF4-0057</t>
  </si>
  <si>
    <t>0M-MOF4-0058</t>
  </si>
  <si>
    <t>0M-MOF4-0059</t>
  </si>
  <si>
    <t>0M-MOF4-0060</t>
  </si>
  <si>
    <t>0M-MOF4-0061</t>
  </si>
  <si>
    <t>0M-MOF4-0062</t>
  </si>
  <si>
    <t>0M-MOF4-0063</t>
  </si>
  <si>
    <t>0M-MOF4-0064</t>
  </si>
  <si>
    <t>0M-MOF4-0065</t>
  </si>
  <si>
    <t>0M-MOF4-0066</t>
  </si>
  <si>
    <t>0M-MOF4-0067</t>
  </si>
  <si>
    <t>0M-MOF4-0068</t>
  </si>
  <si>
    <t>0M-MOF4-0069</t>
  </si>
  <si>
    <t>0M-MOF4-0070</t>
  </si>
  <si>
    <t>0M-MOF4-0071</t>
  </si>
  <si>
    <t>0M-MOF4-0072</t>
  </si>
  <si>
    <t>0M-MOF4-0073</t>
  </si>
  <si>
    <t>0M-MOF4-0074</t>
  </si>
  <si>
    <t>0M-MOF4-0075</t>
  </si>
  <si>
    <t>0M-MOF4-0076</t>
  </si>
  <si>
    <t>0M-MOF4-0077</t>
  </si>
  <si>
    <t>0M-MOF4-0078</t>
  </si>
  <si>
    <t>0M-MOF4-0079</t>
  </si>
  <si>
    <t>0M-MOF4-0080</t>
  </si>
  <si>
    <t>0M-MOF4-0081</t>
  </si>
  <si>
    <t>0M-MOF4-0082</t>
  </si>
  <si>
    <t>0M-MOF4-0083</t>
  </si>
  <si>
    <t>0M-MOF4-0084</t>
  </si>
  <si>
    <t>0M-MOF4-0085</t>
  </si>
  <si>
    <t>0M-MOF4-0086</t>
  </si>
  <si>
    <t>0M-MOF4-0087</t>
  </si>
  <si>
    <t>0M-MOF5-0001</t>
  </si>
  <si>
    <t>0M-MOF5-0003</t>
  </si>
  <si>
    <t>0M-MOF5-0004</t>
  </si>
  <si>
    <t>0M-MOF5-0005</t>
  </si>
  <si>
    <t>0M-MOF5-0006</t>
  </si>
  <si>
    <t>0M-MOF5-0012</t>
  </si>
  <si>
    <t>0M-MOF5-0033</t>
  </si>
  <si>
    <t>0M-MOF5-0034</t>
  </si>
  <si>
    <t>0M-MOF5-0035</t>
  </si>
  <si>
    <t>0M-MOF5-0036</t>
  </si>
  <si>
    <t>0M-MOF5-0037</t>
  </si>
  <si>
    <t>0M-MOF5-0038</t>
  </si>
  <si>
    <t>0M-MOF5-0039</t>
  </si>
  <si>
    <t>0M-MOF5-0040</t>
  </si>
  <si>
    <t>0M-MOF5-0041</t>
  </si>
  <si>
    <t>0M-MOF5-0042</t>
  </si>
  <si>
    <t>0M-MOF5-0043</t>
  </si>
  <si>
    <t>0M-MOF5-0044</t>
  </si>
  <si>
    <t>0M-MOF5-0045</t>
  </si>
  <si>
    <t>0M-MOF5-0046</t>
  </si>
  <si>
    <t>0M-MOF5-0047</t>
  </si>
  <si>
    <t>0M-MOF5-0048</t>
  </si>
  <si>
    <t>0M-MOF5-0049</t>
  </si>
  <si>
    <t>0M-MOF5-0050</t>
  </si>
  <si>
    <t>0M-MOF5-0051</t>
  </si>
  <si>
    <t>0M-MOF5-0052</t>
  </si>
  <si>
    <t>0M-MOF5-0053</t>
  </si>
  <si>
    <t>0M-MOF5-0054</t>
  </si>
  <si>
    <t>0M-MOF5-0055</t>
  </si>
  <si>
    <t>0M-MOF5-0056</t>
  </si>
  <si>
    <t>0M-MOF5-0057</t>
  </si>
  <si>
    <t>0M-MOF5-0058</t>
  </si>
  <si>
    <t>0M-MOF5-0059</t>
  </si>
  <si>
    <t>0M-MOF5-0060</t>
  </si>
  <si>
    <t>0M-MOF5-0061</t>
  </si>
  <si>
    <t>0M-MOF5-0062</t>
  </si>
  <si>
    <t>0M-MOF5-0063</t>
  </si>
  <si>
    <t>0M-MOF5-0064</t>
  </si>
  <si>
    <t>0M-MOF5-0065</t>
  </si>
  <si>
    <t>0M-MOF5-0066</t>
  </si>
  <si>
    <t>0M-MOF5-0067</t>
  </si>
  <si>
    <t>0M-MOF5-0068</t>
  </si>
  <si>
    <t>0M-MOF5-0069</t>
  </si>
  <si>
    <t>0M-MOF5-0070</t>
  </si>
  <si>
    <t>0M-MOF5-0071</t>
  </si>
  <si>
    <t>0M-MOF5-0072</t>
  </si>
  <si>
    <t>0M-MOF5-0073</t>
  </si>
  <si>
    <t>0M-MOF5-0074</t>
  </si>
  <si>
    <t>0M-MOF5-0075</t>
  </si>
  <si>
    <t>0M-MOF5-0076</t>
  </si>
  <si>
    <t>0M-MOF5-0077</t>
  </si>
  <si>
    <t>0M-MOF5-0078</t>
  </si>
  <si>
    <t>0M-MOF5-0079</t>
  </si>
  <si>
    <t>0M-MOF5-0080</t>
  </si>
  <si>
    <t>0M-MOF5-0081</t>
  </si>
  <si>
    <t>0M-MOF5-0082</t>
  </si>
  <si>
    <t>0M-MOF5-0083</t>
  </si>
  <si>
    <t>0M-MOF5-0084</t>
  </si>
  <si>
    <t>0M-MOF5-0085</t>
  </si>
  <si>
    <t>0M-MOF5-0086</t>
  </si>
  <si>
    <t>0M-MOF5-0087</t>
  </si>
  <si>
    <t>0M-MOF5-0088</t>
  </si>
  <si>
    <t>0M-MOF5-0089</t>
  </si>
  <si>
    <t>0M-MOF5-0090</t>
  </si>
  <si>
    <t>0M-MOF5-0091</t>
  </si>
  <si>
    <t>0M-MOF5-0092</t>
  </si>
  <si>
    <t>0M-MOF5-0093</t>
  </si>
  <si>
    <t>0M-MOF5-0094</t>
  </si>
  <si>
    <t>0M-MOF5-0095</t>
  </si>
  <si>
    <t>0M-MOF5-0096</t>
  </si>
  <si>
    <t>0M-MOF5-0097</t>
  </si>
  <si>
    <t>0M-MOF5-0098</t>
  </si>
  <si>
    <t>0M-MOF5-0099</t>
  </si>
  <si>
    <t>0M-MOF5-0100</t>
  </si>
  <si>
    <t>0M-MOF5-0101</t>
  </si>
  <si>
    <t>0M-MOF5-0102</t>
  </si>
  <si>
    <t>0M-MOF5-0103</t>
  </si>
  <si>
    <t>0M-MOF5-0104</t>
  </si>
  <si>
    <t>0M-MOF5-0105</t>
  </si>
  <si>
    <t>0M-MOF5-0106</t>
  </si>
  <si>
    <t>0M-MOF5-0107</t>
  </si>
  <si>
    <t>0M-MOF5-0108</t>
  </si>
  <si>
    <t>0M-MOF5-0109</t>
  </si>
  <si>
    <t>0M-MOF5-0110</t>
  </si>
  <si>
    <t>0M-MOF5-0111</t>
  </si>
  <si>
    <t>0M-MOF5-0112</t>
  </si>
  <si>
    <t>0M-MOF5-0113</t>
  </si>
  <si>
    <t>0M-MOF5-0114</t>
  </si>
  <si>
    <t>0M-MOF5-0115</t>
  </si>
  <si>
    <t>0M-MOF5-0116</t>
  </si>
  <si>
    <t>0M-MOF5-0117</t>
  </si>
  <si>
    <t>0M-MOF5-0118</t>
  </si>
  <si>
    <t>0M-MOF5-0119</t>
  </si>
  <si>
    <t>0M-MOF5-0120</t>
  </si>
  <si>
    <t>0M-MOF5-0121</t>
  </si>
  <si>
    <t>0M-MOF5-0122</t>
  </si>
  <si>
    <t>0M-MOF5-0123</t>
  </si>
  <si>
    <t>0M-MOF5-0124</t>
  </si>
  <si>
    <t>0M-MOF5-0125</t>
  </si>
  <si>
    <t>0M-MOF5-0126</t>
  </si>
  <si>
    <t>0M-MOF5-0127</t>
  </si>
  <si>
    <t>0M-MOF5-0128</t>
  </si>
  <si>
    <t>0M-MOF5-0129</t>
  </si>
  <si>
    <t>0M-MOF5-0130</t>
  </si>
  <si>
    <t>0M-MOF5-0131</t>
  </si>
  <si>
    <t>0M-MOF5-0132</t>
  </si>
  <si>
    <t>0M-MP01-0002</t>
  </si>
  <si>
    <t>0M-MP01-0003</t>
  </si>
  <si>
    <t>0M-MP01-0005</t>
  </si>
  <si>
    <t>0M-MP01-0006</t>
  </si>
  <si>
    <t>0M-MP01-0008</t>
  </si>
  <si>
    <t>0M-MP01-0009</t>
  </si>
  <si>
    <t>0M-MP01-0010</t>
  </si>
  <si>
    <t>0M-MP01-0011</t>
  </si>
  <si>
    <t>0M-MP01-0012</t>
  </si>
  <si>
    <t>0M-MP02-0001</t>
  </si>
  <si>
    <t>0M-MP02-0003</t>
  </si>
  <si>
    <t>0M-MP02-0004</t>
  </si>
  <si>
    <t>0M-MP02-0006</t>
  </si>
  <si>
    <t>0M-MP02-0007</t>
  </si>
  <si>
    <t>0M-MP02-0008</t>
  </si>
  <si>
    <t>0M-MP04-0001</t>
  </si>
  <si>
    <t>0M-MP04-0002</t>
  </si>
  <si>
    <t>0M-MP04-0003</t>
  </si>
  <si>
    <t>0M-MP04-0004</t>
  </si>
  <si>
    <t>0M-MP04-0008</t>
  </si>
  <si>
    <t>0M-MP05-0001</t>
  </si>
  <si>
    <t>0M-MP05-0002</t>
  </si>
  <si>
    <t>0M-MP05-0004</t>
  </si>
  <si>
    <t>0M-MPF2-0008</t>
  </si>
  <si>
    <t>0M-MPF2-0009</t>
  </si>
  <si>
    <t>0M-MPF2-0010</t>
  </si>
  <si>
    <t>0M-MPF2-0011</t>
  </si>
  <si>
    <t>0M-MPF2-0012</t>
  </si>
  <si>
    <t>0M-MPF2-0013</t>
  </si>
  <si>
    <t>0M-MPF3-0001</t>
  </si>
  <si>
    <t>0M-MPF4-0001</t>
  </si>
  <si>
    <t>0M-MPF4-0002</t>
  </si>
  <si>
    <t>0M-MPF4-0005</t>
  </si>
  <si>
    <t>0M-MPF4-0007</t>
  </si>
  <si>
    <t>0M-MPF4-0008</t>
  </si>
  <si>
    <t>0M-MPF4-0009</t>
  </si>
  <si>
    <t>0M-MPF4-0010</t>
  </si>
  <si>
    <t>0M-MPF4-0011</t>
  </si>
  <si>
    <t>0M-MPF4-0012</t>
  </si>
  <si>
    <t>0M-MPF4-0013</t>
  </si>
  <si>
    <t>0M-MPF4-0014</t>
  </si>
  <si>
    <t>0M-MPF4-0015</t>
  </si>
  <si>
    <t>0M-MPF4-0017</t>
  </si>
  <si>
    <t>0M-MPF4-0018</t>
  </si>
  <si>
    <t>0M-MPF4-0019</t>
  </si>
  <si>
    <t>0M-MPF4-0020</t>
  </si>
  <si>
    <t>0M-MPF4-0021</t>
  </si>
  <si>
    <t>0M-MPF4-0024</t>
  </si>
  <si>
    <t>0M-MPF4-0025</t>
  </si>
  <si>
    <t>0M-MPF4-0026</t>
  </si>
  <si>
    <t>0M-MPF4-0027</t>
  </si>
  <si>
    <t>0M-MPF4-0028</t>
  </si>
  <si>
    <t>0M-MPF4-0029</t>
  </si>
  <si>
    <t>0M-MPF4-0031</t>
  </si>
  <si>
    <t>0M-MPF4-0035</t>
  </si>
  <si>
    <t>0M-MPF4-0036</t>
  </si>
  <si>
    <t>0M-MPF4-0037</t>
  </si>
  <si>
    <t>0M-MPF5-0001</t>
  </si>
  <si>
    <t>0M-MPF5-0004</t>
  </si>
  <si>
    <t>0M-MPF5-0005</t>
  </si>
  <si>
    <t>0M-MPF5-0006</t>
  </si>
  <si>
    <t>0M-MPF5-0007</t>
  </si>
  <si>
    <t>0M-MPF5-0009</t>
  </si>
  <si>
    <t>0M-MPF5-0011</t>
  </si>
  <si>
    <t>0M-MPF5-0012</t>
  </si>
  <si>
    <t>0M-MPF5-0013</t>
  </si>
  <si>
    <t>0M-MPF5-0014</t>
  </si>
  <si>
    <t>0M-MPF5-0015</t>
  </si>
  <si>
    <t>0M-MS01-0001</t>
  </si>
  <si>
    <t>0M-MS01-0003</t>
  </si>
  <si>
    <t>0M-MS01-0004</t>
  </si>
  <si>
    <t>0M-MS01-0005</t>
  </si>
  <si>
    <t>0M-MS01-0006</t>
  </si>
  <si>
    <t>0M-MS01-0007</t>
  </si>
  <si>
    <t>0M-MS01-0008</t>
  </si>
  <si>
    <t>0M-MS01-0009</t>
  </si>
  <si>
    <t>0M-MS01-0010</t>
  </si>
  <si>
    <t>0M-MS01-0011</t>
  </si>
  <si>
    <t>0M-MS01-0012</t>
  </si>
  <si>
    <t>0M-MS01-0013</t>
  </si>
  <si>
    <t>0M-MS01-0014</t>
  </si>
  <si>
    <t>0M-MS01-0015</t>
  </si>
  <si>
    <t>0M-MS01-0016</t>
  </si>
  <si>
    <t>0M-MS01-0017</t>
  </si>
  <si>
    <t>0M-MS01-0018</t>
  </si>
  <si>
    <t>0M-MS01-0019</t>
  </si>
  <si>
    <t>0M-MS01-0020</t>
  </si>
  <si>
    <t>0M-MS01-0021</t>
  </si>
  <si>
    <t>0M-MS01-0022</t>
  </si>
  <si>
    <t>0M-MS01-0023</t>
  </si>
  <si>
    <t>0M-MS01-0024</t>
  </si>
  <si>
    <t>0M-MS03-0001</t>
  </si>
  <si>
    <t>0M-MS03-0002</t>
  </si>
  <si>
    <t>0M-MS03-0003</t>
  </si>
  <si>
    <t>0M-MS03-0006</t>
  </si>
  <si>
    <t>0M-MS03-0007</t>
  </si>
  <si>
    <t>0M-MS03-0008</t>
  </si>
  <si>
    <t>0M-MS03-0009</t>
  </si>
  <si>
    <t>0M-MS03-0010</t>
  </si>
  <si>
    <t>0M-MS03-0011</t>
  </si>
  <si>
    <t>0M-MS03-0012</t>
  </si>
  <si>
    <t>0M-MS03-0013</t>
  </si>
  <si>
    <t>0M-MS03-0014</t>
  </si>
  <si>
    <t>0M-MS04-0001</t>
  </si>
  <si>
    <t>0M-MS04-0002</t>
  </si>
  <si>
    <t>0M-MS04-0003</t>
  </si>
  <si>
    <t>0M-MS04-0004</t>
  </si>
  <si>
    <t>0M-MS04-0005</t>
  </si>
  <si>
    <t>0M-MS04-0007</t>
  </si>
  <si>
    <t>0M-MS04-0008</t>
  </si>
  <si>
    <t>0M-MS04-0009</t>
  </si>
  <si>
    <t>0M-MS04-0010</t>
  </si>
  <si>
    <t>0M-MS04-0011</t>
  </si>
  <si>
    <t>0M-MS04-0012</t>
  </si>
  <si>
    <t>0M-MS04-0013</t>
  </si>
  <si>
    <t>0M-MS04-0014</t>
  </si>
  <si>
    <t>0M-MS04-0015</t>
  </si>
  <si>
    <t>0M-MS05-0001</t>
  </si>
  <si>
    <t>0M-MS05-0002</t>
  </si>
  <si>
    <t>0M-MS05-0003</t>
  </si>
  <si>
    <t>0M-MS05-0004</t>
  </si>
  <si>
    <t>0M-MS05-0005</t>
  </si>
  <si>
    <t>0M-MS05-0008</t>
  </si>
  <si>
    <t>0M-MS05-0009</t>
  </si>
  <si>
    <t>0M-MS05-0010</t>
  </si>
  <si>
    <t>0M-MS05-0011</t>
  </si>
  <si>
    <t>0M-MS05-0012</t>
  </si>
  <si>
    <t>0M-MS05-0013</t>
  </si>
  <si>
    <t>0M-MS05-0014</t>
  </si>
  <si>
    <t>0M-MS11-0001</t>
  </si>
  <si>
    <t>0M-MS11-0002</t>
  </si>
  <si>
    <t>0M-MS11-0003</t>
  </si>
  <si>
    <t>0M-MS11-0004</t>
  </si>
  <si>
    <t>0M-MS11-0005</t>
  </si>
  <si>
    <t>0M-MS11-0006</t>
  </si>
  <si>
    <t>0M-MSF2-0001</t>
  </si>
  <si>
    <t>0M-MSF2-0002</t>
  </si>
  <si>
    <t>0M-MSF2-0003</t>
  </si>
  <si>
    <t>0M-MSF2-0004</t>
  </si>
  <si>
    <t>0M-MV01-0001</t>
  </si>
  <si>
    <t>0M-MV01-0006</t>
  </si>
  <si>
    <t>0M-MV01-0007</t>
  </si>
  <si>
    <t>0M-MV01-0008</t>
  </si>
  <si>
    <t>0M-MV01-0009</t>
  </si>
  <si>
    <t>0M-MV01-0012</t>
  </si>
  <si>
    <t>0M-MV01-0013</t>
  </si>
  <si>
    <t>0M-MV01-0014</t>
  </si>
  <si>
    <t>0M-MV01-0015</t>
  </si>
  <si>
    <t>0M-MV01-0017</t>
  </si>
  <si>
    <t>0M-MV01-0018</t>
  </si>
  <si>
    <t>0M-MV01-0019</t>
  </si>
  <si>
    <t>0M-MV01-0020</t>
  </si>
  <si>
    <t>0M-MV01-0021</t>
  </si>
  <si>
    <t>0M-MV01-0022</t>
  </si>
  <si>
    <t>0M-MV01-0024</t>
  </si>
  <si>
    <t>0M-MV01-0025</t>
  </si>
  <si>
    <t>0M-MV01-0029</t>
  </si>
  <si>
    <t>0M-MV01-0030</t>
  </si>
  <si>
    <t>0M-MV01-0031</t>
  </si>
  <si>
    <t>0M-MV01-0034</t>
  </si>
  <si>
    <t>0M-MV01-0035</t>
  </si>
  <si>
    <t>0M-MV01-0036</t>
  </si>
  <si>
    <t>0M-MV01-0037</t>
  </si>
  <si>
    <t>0M-MV01-0039</t>
  </si>
  <si>
    <t>0M-MV01-0040</t>
  </si>
  <si>
    <t>0M-MV01-0041</t>
  </si>
  <si>
    <t>0M-MV01-0042</t>
  </si>
  <si>
    <t>0M-MV01-0043</t>
  </si>
  <si>
    <t>0M-MV01-0045</t>
  </si>
  <si>
    <t>0M-MV01-0046</t>
  </si>
  <si>
    <t>0M-MV01-0048</t>
  </si>
  <si>
    <t>0M-MV01-0049</t>
  </si>
  <si>
    <t>0M-MV01-0050</t>
  </si>
  <si>
    <t>0M-MV01-0052</t>
  </si>
  <si>
    <t>0M-MV01-0056</t>
  </si>
  <si>
    <t>0M-MV01-0057</t>
  </si>
  <si>
    <t>0M-MV01-0058</t>
  </si>
  <si>
    <t>0M-MV01-0059</t>
  </si>
  <si>
    <t>0M-MV01-0060</t>
  </si>
  <si>
    <t>0M-MV01-0062</t>
  </si>
  <si>
    <t>0M-MV01-0064</t>
  </si>
  <si>
    <t>0M-MV01-0065</t>
  </si>
  <si>
    <t>0M-MV01-0066</t>
  </si>
  <si>
    <t>0M-MV01-0067</t>
  </si>
  <si>
    <t>0M-MV01-0068</t>
  </si>
  <si>
    <t>0M-MV01-0069</t>
  </si>
  <si>
    <t>0M-MV01-0070</t>
  </si>
  <si>
    <t>0M-MV01-0071</t>
  </si>
  <si>
    <t>0M-MV01-0072</t>
  </si>
  <si>
    <t>0M-MV01-0074</t>
  </si>
  <si>
    <t>0M-MV01-0075</t>
  </si>
  <si>
    <t>0M-MV01-0076</t>
  </si>
  <si>
    <t>0M-MV01-0077</t>
  </si>
  <si>
    <t>0M-MV01-0078</t>
  </si>
  <si>
    <t>0M-MV01-0079</t>
  </si>
  <si>
    <t>0M-MV01-0080</t>
  </si>
  <si>
    <t>0M-MV01-0081</t>
  </si>
  <si>
    <t>0M-MV01-0083</t>
  </si>
  <si>
    <t>0M-MV01-0084</t>
  </si>
  <si>
    <t>0M-MV01-0086</t>
  </si>
  <si>
    <t>0M-MV01-0087</t>
  </si>
  <si>
    <t>0M-MV01-0088</t>
  </si>
  <si>
    <t>0M-MV01-0089</t>
  </si>
  <si>
    <t>0M-MV01-0090</t>
  </si>
  <si>
    <t>0M-MV01-0091</t>
  </si>
  <si>
    <t>0M-MV01-0092</t>
  </si>
  <si>
    <t>0M-MV01-0093</t>
  </si>
  <si>
    <t>0M-MV01-0094</t>
  </si>
  <si>
    <t>0M-MV01-0095</t>
  </si>
  <si>
    <t>0M-MV01-0096</t>
  </si>
  <si>
    <t>0M-MV01-0097</t>
  </si>
  <si>
    <t>0M-MV01-0098</t>
  </si>
  <si>
    <t>0M-MV01-0099</t>
  </si>
  <si>
    <t>0M-MV01-0100</t>
  </si>
  <si>
    <t>0M-MV01-0101</t>
  </si>
  <si>
    <t>0M-MV02-0001</t>
  </si>
  <si>
    <t>0M-MV02-0002</t>
  </si>
  <si>
    <t>0M-MV02-0003</t>
  </si>
  <si>
    <t>0M-MV02-0004</t>
  </si>
  <si>
    <t>0M-MV02-0005</t>
  </si>
  <si>
    <t>0M-MV02-0006</t>
  </si>
  <si>
    <t>0M-MV02-0007</t>
  </si>
  <si>
    <t>0M-MV02-0008</t>
  </si>
  <si>
    <t>0M-MV02-0011</t>
  </si>
  <si>
    <t>0M-MV02-0012</t>
  </si>
  <si>
    <t>0M-MV02-0013</t>
  </si>
  <si>
    <t>0M-MV02-0014</t>
  </si>
  <si>
    <t>0M-MV02-0015</t>
  </si>
  <si>
    <t>0M-MV02-0016</t>
  </si>
  <si>
    <t>0M-MV02-0017</t>
  </si>
  <si>
    <t>0M-MV02-0018</t>
  </si>
  <si>
    <t>0M-MV02-0019</t>
  </si>
  <si>
    <t>0M-MV02-0020</t>
  </si>
  <si>
    <t>0M-MV02-0021</t>
  </si>
  <si>
    <t>0M-MV02-0022</t>
  </si>
  <si>
    <t>0M-MV02-0023</t>
  </si>
  <si>
    <t>0M-MV03-0003</t>
  </si>
  <si>
    <t>0M-MV03-0004</t>
  </si>
  <si>
    <t>0M-MV03-0005</t>
  </si>
  <si>
    <t>0M-MV03-0006</t>
  </si>
  <si>
    <t>0M-MV03-0007</t>
  </si>
  <si>
    <t>0M-MV03-0008</t>
  </si>
  <si>
    <t>0M-MV03-0009</t>
  </si>
  <si>
    <t>0M-MV03-0010</t>
  </si>
  <si>
    <t>0M-MV03-0011</t>
  </si>
  <si>
    <t>0M-MV03-0012</t>
  </si>
  <si>
    <t>0M-MV04-0002</t>
  </si>
  <si>
    <t>0M-MV04-0006</t>
  </si>
  <si>
    <t>0M-MV04-0007</t>
  </si>
  <si>
    <t>0M-MV04-0012</t>
  </si>
  <si>
    <t>0M-MV04-0015</t>
  </si>
  <si>
    <t>0M-MV04-0016</t>
  </si>
  <si>
    <t>0M-MV04-0017</t>
  </si>
  <si>
    <t>0M-MV04-0019</t>
  </si>
  <si>
    <t>0M-MV04-0020</t>
  </si>
  <si>
    <t>0M-MV04-0021</t>
  </si>
  <si>
    <t>0M-MV04-0023</t>
  </si>
  <si>
    <t>0M-MV04-0024</t>
  </si>
  <si>
    <t>0M-MV04-0025</t>
  </si>
  <si>
    <t>0M-MV04-0026</t>
  </si>
  <si>
    <t>0M-MV04-0027</t>
  </si>
  <si>
    <t>0M-MV04-0030</t>
  </si>
  <si>
    <t>0M-MV04-0032</t>
  </si>
  <si>
    <t>0M-MV04-0033</t>
  </si>
  <si>
    <t>0M-MV04-0036</t>
  </si>
  <si>
    <t>0M-MV04-0037</t>
  </si>
  <si>
    <t>0M-MV04-0038</t>
  </si>
  <si>
    <t>0M-MV04-0039</t>
  </si>
  <si>
    <t>0M-MV04-0040</t>
  </si>
  <si>
    <t>0M-MV04-0041</t>
  </si>
  <si>
    <t>0M-MV04-0042</t>
  </si>
  <si>
    <t>0M-MV04-0044</t>
  </si>
  <si>
    <t>0M-MV04-0045</t>
  </si>
  <si>
    <t>0M-MV04-0047</t>
  </si>
  <si>
    <t>0M-MV04-0048</t>
  </si>
  <si>
    <t>0M-MV04-0049</t>
  </si>
  <si>
    <t>0M-MV04-0050</t>
  </si>
  <si>
    <t>0M-MV04-0051</t>
  </si>
  <si>
    <t>0M-MV04-0052</t>
  </si>
  <si>
    <t>0M-MV04-0053</t>
  </si>
  <si>
    <t>0M-MV04-0054</t>
  </si>
  <si>
    <t>0M-MV05-0002</t>
  </si>
  <si>
    <t>0M-MV05-0003</t>
  </si>
  <si>
    <t>0M-MV05-0005</t>
  </si>
  <si>
    <t>0M-MV05-0007</t>
  </si>
  <si>
    <t>0M-MV05-0008</t>
  </si>
  <si>
    <t>0M-MV05-0009</t>
  </si>
  <si>
    <t>0M-MV05-0010</t>
  </si>
  <si>
    <t>0M-MV05-0011</t>
  </si>
  <si>
    <t>0M-MV05-0013</t>
  </si>
  <si>
    <t>0M-MV05-0015</t>
  </si>
  <si>
    <t>0M-MV05-0016</t>
  </si>
  <si>
    <t>0M-MV05-0017</t>
  </si>
  <si>
    <t>0M-MV05-0020</t>
  </si>
  <si>
    <t>0M-MV05-0021</t>
  </si>
  <si>
    <t>0M-MV05-0028</t>
  </si>
  <si>
    <t>0M-MV05-0029</t>
  </si>
  <si>
    <t>0M-MV05-0031</t>
  </si>
  <si>
    <t>0M-MV05-0039</t>
  </si>
  <si>
    <t>0M-MV05-0040</t>
  </si>
  <si>
    <t>0M-MV05-0041</t>
  </si>
  <si>
    <t>0M-MV05-0044</t>
  </si>
  <si>
    <t>0M-MV05-0045</t>
  </si>
  <si>
    <t>0M-MV05-0046</t>
  </si>
  <si>
    <t>0M-MV05-0047</t>
  </si>
  <si>
    <t>0M-MV05-0048</t>
  </si>
  <si>
    <t>0M-MV05-0049</t>
  </si>
  <si>
    <t>0M-MV05-0050</t>
  </si>
  <si>
    <t>0M-MV05-0053</t>
  </si>
  <si>
    <t>0M-MV05-0054</t>
  </si>
  <si>
    <t>0M-MV05-0055</t>
  </si>
  <si>
    <t>0M-MV05-0056</t>
  </si>
  <si>
    <t>0M-MV05-0057</t>
  </si>
  <si>
    <t>0M-MV05-0064</t>
  </si>
  <si>
    <t>0M-MV05-0065</t>
  </si>
  <si>
    <t>0M-MV05-0066</t>
  </si>
  <si>
    <t>0M-MV05-0068</t>
  </si>
  <si>
    <t>0M-MV05-0069</t>
  </si>
  <si>
    <t>0M-MV05-0070</t>
  </si>
  <si>
    <t>0M-MV05-0071</t>
  </si>
  <si>
    <t>0M-MV05-0072</t>
  </si>
  <si>
    <t>0M-MV05-0073</t>
  </si>
  <si>
    <t>0M-MV05-0074</t>
  </si>
  <si>
    <t>0M-MV05-0075</t>
  </si>
  <si>
    <t>0M-MV05-0076</t>
  </si>
  <si>
    <t>0M-MV05-0077</t>
  </si>
  <si>
    <t>0M-MV05-0078</t>
  </si>
  <si>
    <t>0M-MV11-0001</t>
  </si>
  <si>
    <t>0M-MV11-0002</t>
  </si>
  <si>
    <t>0M-MV11-0003</t>
  </si>
  <si>
    <t>0M-MV11-0004</t>
  </si>
  <si>
    <t>0M-MV11-0005</t>
  </si>
  <si>
    <t>0M-MV11-0006</t>
  </si>
  <si>
    <t>0M-MV11-0007</t>
  </si>
  <si>
    <t>0M-MV11-0008</t>
  </si>
  <si>
    <t>0M-MV11-0009</t>
  </si>
  <si>
    <t>0M-MV11-0010</t>
  </si>
  <si>
    <t>0M-MV11-0011</t>
  </si>
  <si>
    <t>0M-MV11-0012</t>
  </si>
  <si>
    <t>0M-MV11-0013</t>
  </si>
  <si>
    <t>0M-MV11-0014</t>
  </si>
  <si>
    <t>0M-MV11-0015</t>
  </si>
  <si>
    <t>0M-MV11-0016</t>
  </si>
  <si>
    <t>0M-MV11-0017</t>
  </si>
  <si>
    <t>0M-MV11-0018</t>
  </si>
  <si>
    <t>0M-MV11-0019</t>
  </si>
  <si>
    <t>0M-MV11-0020</t>
  </si>
  <si>
    <t>0M-MV11-0021</t>
  </si>
  <si>
    <t>0M-MV11-0022</t>
  </si>
  <si>
    <t>0M-MV11-0023</t>
  </si>
  <si>
    <t>0M-MV11-0024</t>
  </si>
  <si>
    <t>0M-MV11-0025</t>
  </si>
  <si>
    <t>0M-MV11-0026</t>
  </si>
  <si>
    <t>0M-MVF1-0001</t>
  </si>
  <si>
    <t>0M-MVF1-0005</t>
  </si>
  <si>
    <t>0M-MVF1-0006</t>
  </si>
  <si>
    <t>0M-MVF1-0012</t>
  </si>
  <si>
    <t>0M-MVF1-0013</t>
  </si>
  <si>
    <t>0M-MVF1-0015</t>
  </si>
  <si>
    <t>0M-MVF1-0016</t>
  </si>
  <si>
    <t>0M-MVF1-0017</t>
  </si>
  <si>
    <t>0M-MVF1-0018</t>
  </si>
  <si>
    <t>0M-MVF1-0019</t>
  </si>
  <si>
    <t>0M-MVF1-0020</t>
  </si>
  <si>
    <t>0M-MVF1-0021</t>
  </si>
  <si>
    <t>0M-MVF1-0022</t>
  </si>
  <si>
    <t>0M-MVF1-0023</t>
  </si>
  <si>
    <t>0M-MVF1-0025</t>
  </si>
  <si>
    <t>0M-MVF1-0026</t>
  </si>
  <si>
    <t>0M-MVF1-0027</t>
  </si>
  <si>
    <t>0M-MVF1-0028</t>
  </si>
  <si>
    <t>0M-MVF1-0029</t>
  </si>
  <si>
    <t>0M-MVF1-0030</t>
  </si>
  <si>
    <t>0M-MVF1-0031</t>
  </si>
  <si>
    <t>0M-MVF1-0032</t>
  </si>
  <si>
    <t>0M-MVF1-0033</t>
  </si>
  <si>
    <t>0M-MVF1-0034</t>
  </si>
  <si>
    <t>0M-MVF1-0035</t>
  </si>
  <si>
    <t>0M-MVF1-0036</t>
  </si>
  <si>
    <t>0M-MVF1-0037</t>
  </si>
  <si>
    <t>0M-MVF1-0038</t>
  </si>
  <si>
    <t>0M-MVF1-0039</t>
  </si>
  <si>
    <t>0M-MVF1-0040</t>
  </si>
  <si>
    <t>0M-MVF1-0041</t>
  </si>
  <si>
    <t>0M-MVF1-0042</t>
  </si>
  <si>
    <t>0M-MVF1-0043</t>
  </si>
  <si>
    <t>0M-MVF1-0044</t>
  </si>
  <si>
    <t>0M-MVF1-0045</t>
  </si>
  <si>
    <t>0M-MVF1-0046</t>
  </si>
  <si>
    <t>0M-MVF1-0047</t>
  </si>
  <si>
    <t>0M-MVF1-0048</t>
  </si>
  <si>
    <t>0M-MVF1-0049</t>
  </si>
  <si>
    <t>0M-MVF1-0050</t>
  </si>
  <si>
    <t>0M-MVF1-0051</t>
  </si>
  <si>
    <t>0M-MVF1-0052</t>
  </si>
  <si>
    <t>0M-MVF1-0053</t>
  </si>
  <si>
    <t>0M-MVF1-0054</t>
  </si>
  <si>
    <t>0M-MVF1-0055</t>
  </si>
  <si>
    <t>0M-MVF1-0056</t>
  </si>
  <si>
    <t>0M-MVF1-0057</t>
  </si>
  <si>
    <t>0M-MVF1-0058</t>
  </si>
  <si>
    <t>0M-MVF1-0059</t>
  </si>
  <si>
    <t>0M-MVF1-0060</t>
  </si>
  <si>
    <t>0M-MVF1-0061</t>
  </si>
  <si>
    <t>0M-MVF1-0062</t>
  </si>
  <si>
    <t>0M-MVF1-0063</t>
  </si>
  <si>
    <t>0M-MVF1-0064</t>
  </si>
  <si>
    <t>0M-MVF2-0001</t>
  </si>
  <si>
    <t>0M-MVF2-0006</t>
  </si>
  <si>
    <t>0M-MVF2-0007</t>
  </si>
  <si>
    <t>0M-MVF2-0008</t>
  </si>
  <si>
    <t>0M-MVF2-0009</t>
  </si>
  <si>
    <t>0M-MVF2-0010</t>
  </si>
  <si>
    <t>0M-MVF2-0011</t>
  </si>
  <si>
    <t>0M-MVF2-0012</t>
  </si>
  <si>
    <t>0M-MVF2-0013</t>
  </si>
  <si>
    <t>0M-MVF2-0014</t>
  </si>
  <si>
    <t>0M-MVF2-0015</t>
  </si>
  <si>
    <t>0M-MVF2-0016</t>
  </si>
  <si>
    <t>0M-MVF2-0017</t>
  </si>
  <si>
    <t>0M-MVF2-0018</t>
  </si>
  <si>
    <t>0M-MVF2-0019</t>
  </si>
  <si>
    <t>0M-MVF2-0020</t>
  </si>
  <si>
    <t>0M-MVF2-0021</t>
  </si>
  <si>
    <t>0M-MVF2-0022</t>
  </si>
  <si>
    <t>0M-MVF2-0023</t>
  </si>
  <si>
    <t>0M-MVF3-0002</t>
  </si>
  <si>
    <t>0M-MVF3-0003</t>
  </si>
  <si>
    <t>0M-MVF3-0004</t>
  </si>
  <si>
    <t>0M-MVF3-0005</t>
  </si>
  <si>
    <t>0M-MVF3-0006</t>
  </si>
  <si>
    <t>0M-MVF3-0007</t>
  </si>
  <si>
    <t>0M-MVF4-0003</t>
  </si>
  <si>
    <t>0M-MVF4-0004</t>
  </si>
  <si>
    <t>0M-MVF4-0006</t>
  </si>
  <si>
    <t>0M-MVF4-0013</t>
  </si>
  <si>
    <t>0M-MVF4-0014</t>
  </si>
  <si>
    <t>0M-MVF4-0015</t>
  </si>
  <si>
    <t>0M-MVF4-0016</t>
  </si>
  <si>
    <t>0M-MVF4-0017</t>
  </si>
  <si>
    <t>0M-MVF4-0018</t>
  </si>
  <si>
    <t>0M-MVF4-0019</t>
  </si>
  <si>
    <t>0M-MVF4-0020</t>
  </si>
  <si>
    <t>0M-MVF4-0021</t>
  </si>
  <si>
    <t>0M-MVF4-0022</t>
  </si>
  <si>
    <t>0M-MVF4-0023</t>
  </si>
  <si>
    <t>0M-MVF4-0024</t>
  </si>
  <si>
    <t>0M-MVF4-0025</t>
  </si>
  <si>
    <t>0M-MVF4-0026</t>
  </si>
  <si>
    <t>0M-MVF4-0027</t>
  </si>
  <si>
    <t>0M-MVF4-0028</t>
  </si>
  <si>
    <t>0M-MVF4-0029</t>
  </si>
  <si>
    <t>0M-MVF4-0030</t>
  </si>
  <si>
    <t>0M-MVF4-0031</t>
  </si>
  <si>
    <t>0M-MVF4-0032</t>
  </si>
  <si>
    <t>0M-MVF4-0033</t>
  </si>
  <si>
    <t>0M-MVF5-0002</t>
  </si>
  <si>
    <t>0M-MVF5-0003</t>
  </si>
  <si>
    <t>0M-MVF5-0004</t>
  </si>
  <si>
    <t>0M-MVF5-0005</t>
  </si>
  <si>
    <t>0M-MVF5-0009</t>
  </si>
  <si>
    <t>0M-MVF5-0011</t>
  </si>
  <si>
    <t>0M-MVF5-0012</t>
  </si>
  <si>
    <t>0M-MVF5-0013</t>
  </si>
  <si>
    <t>0M-MVF5-0014</t>
  </si>
  <si>
    <t>0M-MVF5-0015</t>
  </si>
  <si>
    <t>0M-MVF5-0016</t>
  </si>
  <si>
    <t>0M-MVF5-0017</t>
  </si>
  <si>
    <t>0M-MVF5-0018</t>
  </si>
  <si>
    <t>0M-MVF5-0019</t>
  </si>
  <si>
    <t>0M-MVF5-0020</t>
  </si>
  <si>
    <t>0M-MVF5-0021</t>
  </si>
  <si>
    <t>0M-MVF5-0022</t>
  </si>
  <si>
    <t>0M-MVF5-0023</t>
  </si>
  <si>
    <t>0M-MVF5-0024</t>
  </si>
  <si>
    <t>0M-MVF5-0025</t>
  </si>
  <si>
    <t>0M-MVF5-0026</t>
  </si>
  <si>
    <t>0M-MVF5-0027</t>
  </si>
  <si>
    <t>0M-MVF5-0028</t>
  </si>
  <si>
    <t>0M-MVF5-0029</t>
  </si>
  <si>
    <t>0M-MVF5-0030</t>
  </si>
  <si>
    <t>0M-MVF5-0031</t>
  </si>
  <si>
    <t>0M-MVF5-0032</t>
  </si>
  <si>
    <t>0M-MVF5-0033</t>
  </si>
  <si>
    <t>0M-MVF5-0034</t>
  </si>
  <si>
    <t>0M-MVF5-0035</t>
  </si>
  <si>
    <t>0M-MVF5-0036</t>
  </si>
  <si>
    <t>0M-MVF5-0037</t>
  </si>
  <si>
    <t>0M-MVF5-0038</t>
  </si>
  <si>
    <t>0M-MVF5-0039</t>
  </si>
  <si>
    <t>0M-MVF5-0040</t>
  </si>
  <si>
    <t>0M-P000-0011</t>
  </si>
  <si>
    <t>0M-P000-0012</t>
  </si>
  <si>
    <t>0M-P000-0015</t>
  </si>
  <si>
    <t>0M-P000-0017</t>
  </si>
  <si>
    <t>0M-P000-0018</t>
  </si>
  <si>
    <t>0M-P000-0019</t>
  </si>
  <si>
    <t>0M-P000-0020</t>
  </si>
  <si>
    <t>0M-P000-0021</t>
  </si>
  <si>
    <t>0M-P000-0022</t>
  </si>
  <si>
    <t>0M-P000-0027</t>
  </si>
  <si>
    <t>0M-P000-0028</t>
  </si>
  <si>
    <t>0M-P000-0029</t>
  </si>
  <si>
    <t>0M-P000-0030</t>
  </si>
  <si>
    <t>0M-P000-0033</t>
  </si>
  <si>
    <t>0M-P000-0034</t>
  </si>
  <si>
    <t>0M-P000-0036</t>
  </si>
  <si>
    <t>0M-P000-0037</t>
  </si>
  <si>
    <t>0M-P000-0038</t>
  </si>
  <si>
    <t>0M-P000-0039</t>
  </si>
  <si>
    <t>0M-P000-0041</t>
  </si>
  <si>
    <t>0M-P000-0042</t>
  </si>
  <si>
    <t>0M-P000-0043</t>
  </si>
  <si>
    <t>0M-P000-0044</t>
  </si>
  <si>
    <t>0M-P000-0046</t>
  </si>
  <si>
    <t>0M-V000-0018</t>
  </si>
  <si>
    <t>0M-V000-0038</t>
  </si>
  <si>
    <t>0M-V000-0042</t>
  </si>
  <si>
    <t>0M-V000-0043</t>
  </si>
  <si>
    <t>0M-V000-0044</t>
  </si>
  <si>
    <t>0M-V000-0046</t>
  </si>
  <si>
    <t>0M-V000-0047</t>
  </si>
  <si>
    <t>0M-V000-0048</t>
  </si>
  <si>
    <t>0M-V000-0049</t>
  </si>
  <si>
    <t>0M-V000-0050</t>
  </si>
  <si>
    <t>0M-V000-0051</t>
  </si>
  <si>
    <t>0M-V000-0052</t>
  </si>
  <si>
    <t>0M-V000-0053</t>
  </si>
  <si>
    <t>0M-V000-0054</t>
  </si>
  <si>
    <t>0M-V000-0055</t>
  </si>
  <si>
    <t>0M-V001-0042</t>
  </si>
  <si>
    <t>0M-V001-0044</t>
  </si>
  <si>
    <t>0M-V001-0051</t>
  </si>
  <si>
    <t>0M-V001-0052</t>
  </si>
  <si>
    <t>0M-V001-0054</t>
  </si>
  <si>
    <t>0M-V001-0055</t>
  </si>
  <si>
    <t>0M-V100-0014</t>
  </si>
  <si>
    <t>0M-V100-0087</t>
  </si>
  <si>
    <t>0M-V100-0088</t>
  </si>
  <si>
    <t>0M-V100-0094</t>
  </si>
  <si>
    <t>0M-V100-0095</t>
  </si>
  <si>
    <t>0M-V100-0096</t>
  </si>
  <si>
    <t>0M-V100-0097</t>
  </si>
  <si>
    <t>0M-V100-0105</t>
  </si>
  <si>
    <t>0M-V100-0106</t>
  </si>
  <si>
    <t>0M-V100-0111</t>
  </si>
  <si>
    <t>0M-V100-0112</t>
  </si>
  <si>
    <t>0M-V100-0113</t>
  </si>
  <si>
    <t>0M-V100-0118</t>
  </si>
  <si>
    <t>0M-V100-0119</t>
  </si>
  <si>
    <t>0M-V100-0122</t>
  </si>
  <si>
    <t>0M-V100-0124</t>
  </si>
  <si>
    <t>0M-V100-0126</t>
  </si>
  <si>
    <t>0M-V100-0128</t>
  </si>
  <si>
    <t>0M-V100-0129</t>
  </si>
  <si>
    <t>0M-V100-0136</t>
  </si>
  <si>
    <t>0M-V100-0137</t>
  </si>
  <si>
    <t>0M-V100-0140</t>
  </si>
  <si>
    <t>0M-V100-0141</t>
  </si>
  <si>
    <t>0M-V100-0142</t>
  </si>
  <si>
    <t>0M-V100-0143</t>
  </si>
  <si>
    <t>0M-V100-0144</t>
  </si>
  <si>
    <t>0M-V100-0146</t>
  </si>
  <si>
    <t>0M-V100-0147</t>
  </si>
  <si>
    <t>0M-V100-0148</t>
  </si>
  <si>
    <t>0M-V100-0149</t>
  </si>
  <si>
    <t>0M-V100-0150</t>
  </si>
  <si>
    <t>0M-V100-0151</t>
  </si>
  <si>
    <t>0M-V100-0152</t>
  </si>
  <si>
    <t>0M-V100-0153</t>
  </si>
  <si>
    <t>0M-V100-0154</t>
  </si>
  <si>
    <t>0M-V100-0155</t>
  </si>
  <si>
    <t>0M-V100-0156</t>
  </si>
  <si>
    <t>0M-V100-0157</t>
  </si>
  <si>
    <t>0M-V100-0158</t>
  </si>
  <si>
    <t>0M-V100-0159</t>
  </si>
  <si>
    <t>0M-V100-0160</t>
  </si>
  <si>
    <t>0M-V101-0122</t>
  </si>
  <si>
    <t>0M-V101-0154</t>
  </si>
  <si>
    <t>0M-V102-0122</t>
  </si>
  <si>
    <t>0M-V200-0008</t>
  </si>
  <si>
    <t>0M-V200-0011</t>
  </si>
  <si>
    <t>0M-V200-0012</t>
  </si>
  <si>
    <t>0M-V200-0014</t>
  </si>
  <si>
    <t>0M-V700-0096</t>
  </si>
  <si>
    <t>0M-V700-0097</t>
  </si>
  <si>
    <t>0M-V700-0098</t>
  </si>
  <si>
    <t>0M-V700-0127</t>
  </si>
  <si>
    <t>0M-V700-0128</t>
  </si>
  <si>
    <t>0M-V700-0136</t>
  </si>
  <si>
    <t>0M-V700-0137</t>
  </si>
  <si>
    <t>0M-V700-0140</t>
  </si>
  <si>
    <t>0M-V700-0142</t>
  </si>
  <si>
    <t>0M-V700-0145</t>
  </si>
  <si>
    <t>0M-V700-0147</t>
  </si>
  <si>
    <t>0M-V700-0148</t>
  </si>
  <si>
    <t>0M-V700-0149</t>
  </si>
  <si>
    <t>0M-V700-0150</t>
  </si>
  <si>
    <t>0M-V700-0151</t>
  </si>
  <si>
    <t>0M-V700-0152</t>
  </si>
  <si>
    <t>0M-V700-0153</t>
  </si>
  <si>
    <t>0M-V700-0154</t>
  </si>
  <si>
    <t>0M-V700-0155</t>
  </si>
  <si>
    <t>0M-V700-0156</t>
  </si>
  <si>
    <t>0M-V700-0157</t>
  </si>
  <si>
    <t>0M-V700-0158</t>
  </si>
  <si>
    <t>0M-V700-0159</t>
  </si>
  <si>
    <t>0M-V701-0097</t>
  </si>
  <si>
    <t>0M-V701-0142</t>
  </si>
  <si>
    <t>0M-V701-0144</t>
  </si>
  <si>
    <t>0M-V701-0145</t>
  </si>
  <si>
    <t>0M-V701-0153</t>
  </si>
  <si>
    <t>0M-V701-0154</t>
  </si>
  <si>
    <t>0M-V702-0142</t>
  </si>
  <si>
    <t>0M-V702-0153</t>
  </si>
  <si>
    <t>0M-V702-0154</t>
  </si>
  <si>
    <t>0M-V750-0018</t>
  </si>
  <si>
    <t>0M-V800-0103</t>
  </si>
  <si>
    <t>0M-V800-0109</t>
  </si>
  <si>
    <t>0M-V800-0110</t>
  </si>
  <si>
    <t>0M-V800-0112</t>
  </si>
  <si>
    <t>0M-V800-0113</t>
  </si>
  <si>
    <t>0M-V800-0114</t>
  </si>
  <si>
    <t>0M-V800-0117</t>
  </si>
  <si>
    <t>0M-V800-0118</t>
  </si>
  <si>
    <t>0M-V800-0119</t>
  </si>
  <si>
    <t>0M-V800-0120</t>
  </si>
  <si>
    <t>0M-V800-0308</t>
  </si>
  <si>
    <t>0M-V800-0309</t>
  </si>
  <si>
    <t>0M-V800-0310</t>
  </si>
  <si>
    <t>0M-V800-0311</t>
  </si>
  <si>
    <t>0M-V800-0312</t>
  </si>
  <si>
    <t>0M-V800-0313</t>
  </si>
  <si>
    <t>0M-V800-0314</t>
  </si>
  <si>
    <t>0M-V800-0315</t>
  </si>
  <si>
    <t>0M-V800-0317</t>
  </si>
  <si>
    <t>0M-V800-0318</t>
  </si>
  <si>
    <t>0M-V800-0319</t>
  </si>
  <si>
    <t>0M-V800-0320</t>
  </si>
  <si>
    <t>0M-V810-0004</t>
  </si>
  <si>
    <t>0M-V810-0005</t>
  </si>
  <si>
    <t>0M-V810-0006</t>
  </si>
  <si>
    <t>0M-V810-0007</t>
  </si>
  <si>
    <t>0M-V810-0008</t>
  </si>
  <si>
    <t>0M-V810-0027</t>
  </si>
  <si>
    <t>0M-V810-0030</t>
  </si>
  <si>
    <t>0M-V810-0035</t>
  </si>
  <si>
    <t>0M-V810-0036</t>
  </si>
  <si>
    <t>0M-V810-0039</t>
  </si>
  <si>
    <t>0M-V810-0046</t>
  </si>
  <si>
    <t>0M-V810-0048</t>
  </si>
  <si>
    <t>0M-V810-0049</t>
  </si>
  <si>
    <t>0M-V810-0050</t>
  </si>
  <si>
    <t>0M-V810-0053</t>
  </si>
  <si>
    <t>0M-V810-0054</t>
  </si>
  <si>
    <t>0M-V810-0055</t>
  </si>
  <si>
    <t>0M-V810-0056</t>
  </si>
  <si>
    <t>0M-V810-0057</t>
  </si>
  <si>
    <t>0M-V810-0059</t>
  </si>
  <si>
    <t>0M-V810-0060</t>
  </si>
  <si>
    <t>0M-V810-0061</t>
  </si>
  <si>
    <t>0M-V810-0062</t>
  </si>
  <si>
    <t>0M-V810-0063</t>
  </si>
  <si>
    <t>0M-V810-0066</t>
  </si>
  <si>
    <t>0M-V810-0067</t>
  </si>
  <si>
    <t>0M-V810-0068</t>
  </si>
  <si>
    <t>0M-V810-0073</t>
  </si>
  <si>
    <t>0M-V810-0076</t>
  </si>
  <si>
    <t>0M-V810-0079</t>
  </si>
  <si>
    <t>0M-V810-0083</t>
  </si>
  <si>
    <t>0M-V810-0084</t>
  </si>
  <si>
    <t>0M-V810-0085</t>
  </si>
  <si>
    <t>0M-V810-0086</t>
  </si>
  <si>
    <t>0M-V810-0087</t>
  </si>
  <si>
    <t>0M-V810-0088</t>
  </si>
  <si>
    <t>0M-V810-0089</t>
  </si>
  <si>
    <t>0M-V810-0090</t>
  </si>
  <si>
    <t>0M-V810-0091</t>
  </si>
  <si>
    <t>0M-V810-0092</t>
  </si>
  <si>
    <t>0M-V810-0093</t>
  </si>
  <si>
    <t>0M-V810-0094</t>
  </si>
  <si>
    <t>0M-V810-0095</t>
  </si>
  <si>
    <t>0M-V810-0096</t>
  </si>
  <si>
    <t>0M-V810-0097</t>
  </si>
  <si>
    <t>0M-V810-0098</t>
  </si>
  <si>
    <t>0M-V810-0099</t>
  </si>
  <si>
    <t>0M-V810-0100</t>
  </si>
  <si>
    <t>0M-V810-0101</t>
  </si>
  <si>
    <t>0M-V810-0102</t>
  </si>
  <si>
    <t>0M-V810-0103</t>
  </si>
  <si>
    <t>0M-V810-0104</t>
  </si>
  <si>
    <t>0M-V810-0105</t>
  </si>
  <si>
    <t>0M-V810-0106</t>
  </si>
  <si>
    <t>0M-V811-0103</t>
  </si>
  <si>
    <t>0P-1200-0186</t>
  </si>
  <si>
    <t>0P-1200-0713</t>
  </si>
  <si>
    <t>0P-1200-0720</t>
  </si>
  <si>
    <t>0P-1200-0726</t>
  </si>
  <si>
    <t>0P-1200-0835</t>
  </si>
  <si>
    <t>0P-1200-0910</t>
  </si>
  <si>
    <t>0P-1200-0928</t>
  </si>
  <si>
    <t>0P-1200-0937</t>
  </si>
  <si>
    <t>0P-1200-0949</t>
  </si>
  <si>
    <t>0P-1200-0962</t>
  </si>
  <si>
    <t>0P-1200-1014</t>
  </si>
  <si>
    <t>0P-1200-1032</t>
  </si>
  <si>
    <t>0P-1200-1034</t>
  </si>
  <si>
    <t>0P-1200-1039</t>
  </si>
  <si>
    <t>0P-1200-1040</t>
  </si>
  <si>
    <t>0P-1200-1041</t>
  </si>
  <si>
    <t>0P-1200-1056</t>
  </si>
  <si>
    <t>0P-1200-1057</t>
  </si>
  <si>
    <t>0P-1200-1075</t>
  </si>
  <si>
    <t>0P-1200-1078</t>
  </si>
  <si>
    <t>0P-1200-1083</t>
  </si>
  <si>
    <t>0P-1200-1084</t>
  </si>
  <si>
    <t>0P-1200-1091</t>
  </si>
  <si>
    <t>0P-1200-1097</t>
  </si>
  <si>
    <t>0P-1200-1125</t>
  </si>
  <si>
    <t>0P-1200-1136</t>
  </si>
  <si>
    <t>0P-1200-1157</t>
  </si>
  <si>
    <t>0P-1200-1158</t>
  </si>
  <si>
    <t>0P-1200-1172</t>
  </si>
  <si>
    <t>0P-1200-1175</t>
  </si>
  <si>
    <t>0P-1200-1176</t>
  </si>
  <si>
    <t>0P-1200-1177</t>
  </si>
  <si>
    <t>0P-1200-1183</t>
  </si>
  <si>
    <t>0P-1200-1184</t>
  </si>
  <si>
    <t>0P-1200-1196</t>
  </si>
  <si>
    <t>0P-1200-1197</t>
  </si>
  <si>
    <t>0P-1200-1199</t>
  </si>
  <si>
    <t>0P-1200-1200</t>
  </si>
  <si>
    <t>0P-1200-1204</t>
  </si>
  <si>
    <t>0P-1200-1206</t>
  </si>
  <si>
    <t>0P-1200-1210</t>
  </si>
  <si>
    <t>0P-1200-1215</t>
  </si>
  <si>
    <t>0P-1200-1216</t>
  </si>
  <si>
    <t>0P-1200-1217</t>
  </si>
  <si>
    <t>0P-1200-1221</t>
  </si>
  <si>
    <t>0P-1200-1222</t>
  </si>
  <si>
    <t>0P-1200-1223</t>
  </si>
  <si>
    <t>0P-1200-1224</t>
  </si>
  <si>
    <t>0P-1200-1229</t>
  </si>
  <si>
    <t>0P-1200-1233</t>
  </si>
  <si>
    <t>0P-1200-1234</t>
  </si>
  <si>
    <t>0P-1200-1241</t>
  </si>
  <si>
    <t>0P-1200-1246</t>
  </si>
  <si>
    <t>0P-1200-1272</t>
  </si>
  <si>
    <t>0P-1200-1282</t>
  </si>
  <si>
    <t>0P-1200-1283</t>
  </si>
  <si>
    <t>0P-1200-1288</t>
  </si>
  <si>
    <t>0P-1200-1290</t>
  </si>
  <si>
    <t>0P-1200-1291</t>
  </si>
  <si>
    <t>0P-1200-1294</t>
  </si>
  <si>
    <t>0P-1200-1299</t>
  </si>
  <si>
    <t>0P-1200-1307</t>
  </si>
  <si>
    <t>0P-1200-1314</t>
  </si>
  <si>
    <t>0P-1200-1315</t>
  </si>
  <si>
    <t>0P-1200-1316</t>
  </si>
  <si>
    <t>0P-1200-1317</t>
  </si>
  <si>
    <t>0P-1200-1319</t>
  </si>
  <si>
    <t>0P-1200-1323</t>
  </si>
  <si>
    <t>0P-1200-1332</t>
  </si>
  <si>
    <t>0P-1200-1337</t>
  </si>
  <si>
    <t>0P-1200-1339</t>
  </si>
  <si>
    <t>0P-1200-1342</t>
  </si>
  <si>
    <t>0P-1200-1343</t>
  </si>
  <si>
    <t>0P-1200-1344</t>
  </si>
  <si>
    <t>0P-1200-1345</t>
  </si>
  <si>
    <t>0P-1200-1347</t>
  </si>
  <si>
    <t>0P-1200-1348</t>
  </si>
  <si>
    <t>0P-1200-1349</t>
  </si>
  <si>
    <t>0P-1200-1350</t>
  </si>
  <si>
    <t>0P-1200-1351</t>
  </si>
  <si>
    <t>0P-1200-1352</t>
  </si>
  <si>
    <t>0P-1200-1353</t>
  </si>
  <si>
    <t>0P-1200-1354</t>
  </si>
  <si>
    <t>0P-1200-1355</t>
  </si>
  <si>
    <t>0P-1200-1356</t>
  </si>
  <si>
    <t>0P-1200-1357</t>
  </si>
  <si>
    <t>0P-1200-1358</t>
  </si>
  <si>
    <t>0P-1200-1359</t>
  </si>
  <si>
    <t>0P-1200-1360</t>
  </si>
  <si>
    <t>0P-1200-1361</t>
  </si>
  <si>
    <t>0P-1200-1362</t>
  </si>
  <si>
    <t>0P-1200-1363</t>
  </si>
  <si>
    <t>0P-1200-1364</t>
  </si>
  <si>
    <t>0P-1200-1367</t>
  </si>
  <si>
    <t>0P-1200-1368</t>
  </si>
  <si>
    <t>0P-1200-1370</t>
  </si>
  <si>
    <t>0P-1200-1371</t>
  </si>
  <si>
    <t>0P-1200-1372</t>
  </si>
  <si>
    <t>0P-1200-1373</t>
  </si>
  <si>
    <t>0P-1200-1374</t>
  </si>
  <si>
    <t>0P-1200-1375</t>
  </si>
  <si>
    <t>0P-1200-1376</t>
  </si>
  <si>
    <t>0P-1200-1377</t>
  </si>
  <si>
    <t>0P-1200-1378</t>
  </si>
  <si>
    <t>0P-1200-1379</t>
  </si>
  <si>
    <t>0P-1200-1380</t>
  </si>
  <si>
    <t>0P-1200-1381</t>
  </si>
  <si>
    <t>0P-1200-1382</t>
  </si>
  <si>
    <t>0P-1200-1383</t>
  </si>
  <si>
    <t>0P-1200-1384</t>
  </si>
  <si>
    <t>0P-1200-1385</t>
  </si>
  <si>
    <t>0P-1200-1386</t>
  </si>
  <si>
    <t>0P-1200-1387</t>
  </si>
  <si>
    <t>0P-1200-1388</t>
  </si>
  <si>
    <t>0P-1200-1389</t>
  </si>
  <si>
    <t>0P-1200-1390</t>
  </si>
  <si>
    <t>0P-1200-1391</t>
  </si>
  <si>
    <t>0P-1200-1392</t>
  </si>
  <si>
    <t>0P-1200-1393</t>
  </si>
  <si>
    <t>0P-1200-1397</t>
  </si>
  <si>
    <t>0P-1200-1398</t>
  </si>
  <si>
    <t>0P-1200-1406</t>
  </si>
  <si>
    <t>0P-1200-1413</t>
  </si>
  <si>
    <t>0P-1200-1416</t>
  </si>
  <si>
    <t>0P-1200-1418</t>
  </si>
  <si>
    <t>0P-1200-1419</t>
  </si>
  <si>
    <t>0P-1200-1420</t>
  </si>
  <si>
    <t>0P-1200-1421</t>
  </si>
  <si>
    <t>0P-1200-1422</t>
  </si>
  <si>
    <t>0P-1200-1423</t>
  </si>
  <si>
    <t>0P-1200-1424</t>
  </si>
  <si>
    <t>0P-1200-1427</t>
  </si>
  <si>
    <t>0P-1200-1428</t>
  </si>
  <si>
    <t>0P-1201-1083</t>
  </si>
  <si>
    <t>0P-1201-1084</t>
  </si>
  <si>
    <t>0P-1201-1171</t>
  </si>
  <si>
    <t>0P-1201-1172</t>
  </si>
  <si>
    <t>0P-1201-1196</t>
  </si>
  <si>
    <t>0P-1201-1197</t>
  </si>
  <si>
    <t>0P-1201-1199</t>
  </si>
  <si>
    <t>0P-1201-1200</t>
  </si>
  <si>
    <t>0P-1201-1204</t>
  </si>
  <si>
    <t>0P-1201-1217</t>
  </si>
  <si>
    <t>0P-1201-1221</t>
  </si>
  <si>
    <t>0P-1201-1222</t>
  </si>
  <si>
    <t>0P-1201-1250</t>
  </si>
  <si>
    <t>0P-1201-1251</t>
  </si>
  <si>
    <t>0P-1201-1294</t>
  </si>
  <si>
    <t>0P-1201-1302</t>
  </si>
  <si>
    <t>0P-2000-0461</t>
  </si>
  <si>
    <t>0P-2000-0483</t>
  </si>
  <si>
    <t>0P-2000-0657</t>
  </si>
  <si>
    <t>0P-2000-0715</t>
  </si>
  <si>
    <t>0P-2000-0717</t>
  </si>
  <si>
    <t>0P-2000-0718</t>
  </si>
  <si>
    <t>0P-2000-0719</t>
  </si>
  <si>
    <t>0P-2000-0720</t>
  </si>
  <si>
    <t>0P-2000-0721</t>
  </si>
  <si>
    <t>0P-2000-0722</t>
  </si>
  <si>
    <t>0P-2000-0723</t>
  </si>
  <si>
    <t>0P-2000-0724</t>
  </si>
  <si>
    <t>0P-2000-0725</t>
  </si>
  <si>
    <t>0P-2000-0726</t>
  </si>
  <si>
    <t>0P-2100-0171</t>
  </si>
  <si>
    <t>0P-2100-0173</t>
  </si>
  <si>
    <t>0P-2700-0225</t>
  </si>
  <si>
    <t>0P-2700-0228</t>
  </si>
  <si>
    <t>0P-2700-0230</t>
  </si>
  <si>
    <t>0P-2700-0237</t>
  </si>
  <si>
    <t>0P-2700-0238</t>
  </si>
  <si>
    <t>0P-2700-0238_OLD</t>
  </si>
  <si>
    <t>0P-2700-0276</t>
  </si>
  <si>
    <t>0P-2700-0282</t>
  </si>
  <si>
    <t>0P-2700-0283</t>
  </si>
  <si>
    <t>0P-2700-0287</t>
  </si>
  <si>
    <t>0P-2700-0307</t>
  </si>
  <si>
    <t>0P-2700-0327</t>
  </si>
  <si>
    <t>0P-2700-0328</t>
  </si>
  <si>
    <t>0P-2700-0329</t>
  </si>
  <si>
    <t>0P-2700-0369</t>
  </si>
  <si>
    <t>0P-2700-0370</t>
  </si>
  <si>
    <t>0P-2700-0374</t>
  </si>
  <si>
    <t>0P-2700-0375</t>
  </si>
  <si>
    <t>0P-2700-0387</t>
  </si>
  <si>
    <t>0P-2700-0406</t>
  </si>
  <si>
    <t>0P-2700-0407</t>
  </si>
  <si>
    <t>0P-2700-0426</t>
  </si>
  <si>
    <t>0P-2700-0427</t>
  </si>
  <si>
    <t>0P-2700-0428</t>
  </si>
  <si>
    <t>0P-2700-0434</t>
  </si>
  <si>
    <t>0P-2700-0435</t>
  </si>
  <si>
    <t>0P-2700-0436</t>
  </si>
  <si>
    <t>0P-2701-0287</t>
  </si>
  <si>
    <t>0P-2701-0374</t>
  </si>
  <si>
    <t>0P-2701-0434</t>
  </si>
  <si>
    <t>0P-2800-0507</t>
  </si>
  <si>
    <t>0P-2800-0565</t>
  </si>
  <si>
    <t>0P-2800-0583</t>
  </si>
  <si>
    <t>0P-2800-0586</t>
  </si>
  <si>
    <t>0S-ASSY-S001</t>
  </si>
  <si>
    <t>0S-ASSY-S003</t>
  </si>
  <si>
    <t>0S-ASSY-S004</t>
  </si>
  <si>
    <t>409</t>
  </si>
  <si>
    <t>530</t>
  </si>
  <si>
    <t>640</t>
  </si>
  <si>
    <t>641</t>
  </si>
  <si>
    <t>666</t>
  </si>
  <si>
    <t>Készletrevétel</t>
  </si>
  <si>
    <t>07-1200-1169H</t>
  </si>
  <si>
    <t>WO0648413</t>
  </si>
  <si>
    <t>LP STOCK</t>
  </si>
  <si>
    <t>Cikk</t>
  </si>
  <si>
    <t xml:space="preserve">      </t>
  </si>
  <si>
    <t>KPCS</t>
  </si>
  <si>
    <t>WO0647572</t>
  </si>
  <si>
    <t>WO0648091</t>
  </si>
  <si>
    <t>WO0645684</t>
  </si>
  <si>
    <t>07-1200-1168H</t>
  </si>
  <si>
    <t>WO0648414</t>
  </si>
  <si>
    <t>WO0647249</t>
  </si>
  <si>
    <t>WO0642895</t>
  </si>
  <si>
    <t>WO0642908</t>
  </si>
  <si>
    <t>WO0644458</t>
  </si>
  <si>
    <t>WO0642897</t>
  </si>
  <si>
    <t>WO0642898</t>
  </si>
  <si>
    <t>WO0644024</t>
  </si>
  <si>
    <t>WO0642906</t>
  </si>
  <si>
    <t>WO0645697</t>
  </si>
  <si>
    <t>WO0638688</t>
  </si>
  <si>
    <t>WO0645329</t>
  </si>
  <si>
    <t>WO0645325</t>
  </si>
  <si>
    <t>07-2700-0353H</t>
  </si>
  <si>
    <t>WO0641881</t>
  </si>
  <si>
    <t>WO0646768</t>
  </si>
  <si>
    <t>WO0646769</t>
  </si>
  <si>
    <t>WO0645822</t>
  </si>
  <si>
    <t>WO0645670</t>
  </si>
  <si>
    <t>WO0647485</t>
  </si>
  <si>
    <t>WO0653554</t>
  </si>
  <si>
    <t>WO0653785</t>
  </si>
  <si>
    <t>WO0650133</t>
  </si>
  <si>
    <t>WO0653297</t>
  </si>
  <si>
    <t>WO0653298</t>
  </si>
  <si>
    <t>WO0649920</t>
  </si>
  <si>
    <t>WO0651908</t>
  </si>
  <si>
    <t>WO0649655</t>
  </si>
  <si>
    <t>WO0652461</t>
  </si>
  <si>
    <t>07-2700-0355H</t>
  </si>
  <si>
    <t>WO0651326</t>
  </si>
  <si>
    <t>WO0650345</t>
  </si>
  <si>
    <t>WO0653452</t>
  </si>
  <si>
    <t>WO0650339</t>
  </si>
  <si>
    <t>WO0649911</t>
  </si>
  <si>
    <t>WO0649656</t>
  </si>
  <si>
    <t>WO0651078</t>
  </si>
  <si>
    <t>WO0649653</t>
  </si>
  <si>
    <t>WO-042431</t>
  </si>
  <si>
    <t>WO-041747</t>
  </si>
  <si>
    <t>WO-039554</t>
  </si>
  <si>
    <t>WO-041746</t>
  </si>
  <si>
    <t>WO-034980</t>
  </si>
  <si>
    <t>WO-041203</t>
  </si>
  <si>
    <t>WO-041202</t>
  </si>
  <si>
    <t>WO-041201</t>
  </si>
  <si>
    <t>WO-041200</t>
  </si>
  <si>
    <t>WO-041199</t>
  </si>
  <si>
    <t>WO-041752</t>
  </si>
  <si>
    <t>WO-041751</t>
  </si>
  <si>
    <t>WO-040492</t>
  </si>
  <si>
    <t>WO-039466</t>
  </si>
  <si>
    <t>WO-039145</t>
  </si>
  <si>
    <t>WO-042409</t>
  </si>
  <si>
    <r>
      <rPr>
        <b/>
        <u/>
        <sz val="9"/>
        <color theme="1"/>
        <rFont val="Calibri"/>
        <family val="2"/>
        <charset val="238"/>
        <scheme val="minor"/>
      </rPr>
      <t>2701-0374 23 db</t>
    </r>
    <r>
      <rPr>
        <sz val="9"/>
        <color theme="1"/>
        <rFont val="Calibri"/>
        <family val="2"/>
        <charset val="238"/>
        <scheme val="minor"/>
      </rPr>
      <t xml:space="preserve">
E 1 db (Korr. 1 db)
SK 1 db / SZ 20 db / R 1 db
</t>
    </r>
    <r>
      <rPr>
        <b/>
        <u/>
        <sz val="9"/>
        <color theme="1"/>
        <rFont val="Calibri"/>
        <family val="2"/>
        <charset val="238"/>
        <scheme val="minor"/>
      </rPr>
      <t>Átellenőrzés:</t>
    </r>
    <r>
      <rPr>
        <sz val="9"/>
        <color theme="1"/>
        <rFont val="Calibri"/>
        <family val="2"/>
        <charset val="238"/>
        <scheme val="minor"/>
      </rPr>
      <t xml:space="preserve">
2701-0430 SZ 1 db / SK 15 db</t>
    </r>
  </si>
  <si>
    <t>"fingerezés" meglétének/szükségességének ellenőrzése B10-re</t>
  </si>
  <si>
    <t>2700-0422 JSZ 1 db</t>
  </si>
  <si>
    <r>
      <rPr>
        <b/>
        <u/>
        <sz val="9"/>
        <color theme="1"/>
        <rFont val="Calibri"/>
        <family val="2"/>
        <charset val="238"/>
        <scheme val="minor"/>
      </rPr>
      <t>Átellenőrzés:</t>
    </r>
    <r>
      <rPr>
        <sz val="9"/>
        <color theme="1"/>
        <rFont val="Calibri"/>
        <family val="2"/>
        <charset val="238"/>
        <scheme val="minor"/>
      </rPr>
      <t xml:space="preserve">
2701-0429 SZ 15 db / SK 49 db
2701-0430 SZ 11 db / SK 45 db
</t>
    </r>
    <r>
      <rPr>
        <b/>
        <u/>
        <sz val="9"/>
        <color theme="1"/>
        <rFont val="Calibri"/>
        <family val="2"/>
        <charset val="238"/>
        <scheme val="minor"/>
      </rPr>
      <t>2701-0374 18 db</t>
    </r>
    <r>
      <rPr>
        <sz val="9"/>
        <color theme="1"/>
        <rFont val="Calibri"/>
        <family val="2"/>
        <charset val="238"/>
        <scheme val="minor"/>
      </rPr>
      <t xml:space="preserve">
E 2 db (Besz. SZ 2 db)
SK 8 db / SZ 8 db</t>
    </r>
  </si>
  <si>
    <r>
      <rPr>
        <b/>
        <u/>
        <sz val="9"/>
        <color rgb="FF000000"/>
        <rFont val="Calibri"/>
        <family val="2"/>
        <charset val="238"/>
        <scheme val="minor"/>
      </rPr>
      <t>Átellenőrzés:</t>
    </r>
    <r>
      <rPr>
        <b/>
        <sz val="9"/>
        <color rgb="FF000000"/>
        <rFont val="Calibri"/>
        <family val="2"/>
        <charset val="238"/>
        <scheme val="minor"/>
      </rPr>
      <t xml:space="preserve">
</t>
    </r>
    <r>
      <rPr>
        <sz val="9"/>
        <color rgb="FF000000"/>
        <rFont val="Calibri"/>
        <family val="2"/>
        <charset val="238"/>
        <scheme val="minor"/>
      </rPr>
      <t>2701-0429 SZ 19 db / SK 38 db
2701-0430 SZ 21 db / SK 66 db</t>
    </r>
  </si>
  <si>
    <t>WO-042799</t>
  </si>
  <si>
    <t>WO-042624</t>
  </si>
  <si>
    <t>WO-042096</t>
  </si>
  <si>
    <t>WO-040423</t>
  </si>
  <si>
    <t>WO-040126</t>
  </si>
  <si>
    <t>WO-042441</t>
  </si>
  <si>
    <t>WO-15862</t>
  </si>
  <si>
    <t>WO-042142</t>
  </si>
  <si>
    <t>Letisztázni mit jelent a felvált vezető a jelenlegi utasítások szerint</t>
  </si>
  <si>
    <t>Nem sikerült reprodukálni a hiba képet</t>
  </si>
  <si>
    <t>Alapanyaghiány: -6k 12-1395, -2k 1201-1221 (V100-0106), -0,657k 1201-1204 (V101-0122),-1k 2701-0328,  -0,086k 20-0635 (törölték)</t>
  </si>
  <si>
    <t>2701-0328 H 1 db</t>
  </si>
  <si>
    <t>WO-042898</t>
  </si>
  <si>
    <t>WO-038105</t>
  </si>
  <si>
    <t>WO-039234</t>
  </si>
  <si>
    <t>WO-040822</t>
  </si>
  <si>
    <t>WO-040237</t>
  </si>
  <si>
    <t>WO-039183</t>
  </si>
  <si>
    <t>WO-041124</t>
  </si>
  <si>
    <t>WO-041020</t>
  </si>
  <si>
    <t>SS A. Bending tárazási segédlet frissítése a 2701-0328-as termékkel.</t>
  </si>
  <si>
    <t>2701-0328 beszállítói rajz módosítás.</t>
  </si>
  <si>
    <t>2701-0328 pötty pozíció tűrésének módosítása a belső rajzon.</t>
  </si>
  <si>
    <t>Gépszám</t>
  </si>
  <si>
    <t>2701-0328 Beszállítói fólia 1 db</t>
  </si>
  <si>
    <r>
      <rPr>
        <b/>
        <u/>
        <sz val="9"/>
        <color rgb="FF000000"/>
        <rFont val="Calibri"/>
        <family val="2"/>
        <charset val="238"/>
        <scheme val="minor"/>
      </rPr>
      <t>Rendes gyártásból:</t>
    </r>
    <r>
      <rPr>
        <sz val="9"/>
        <color rgb="FF000000"/>
        <rFont val="Calibri"/>
        <family val="2"/>
        <charset val="238"/>
        <scheme val="minor"/>
      </rPr>
      <t xml:space="preserve">
</t>
    </r>
    <r>
      <rPr>
        <b/>
        <u/>
        <sz val="9"/>
        <color rgb="FF000000"/>
        <rFont val="Calibri"/>
        <family val="2"/>
        <charset val="238"/>
        <scheme val="minor"/>
      </rPr>
      <t>1201-1221 6 db</t>
    </r>
    <r>
      <rPr>
        <sz val="9"/>
        <color rgb="FF000000"/>
        <rFont val="Calibri"/>
        <family val="2"/>
        <charset val="238"/>
        <scheme val="minor"/>
      </rPr>
      <t xml:space="preserve">
SK 5 db / SZ 1 db
</t>
    </r>
    <r>
      <rPr>
        <b/>
        <u/>
        <sz val="9"/>
        <color rgb="FF000000"/>
        <rFont val="Calibri"/>
        <family val="2"/>
        <charset val="238"/>
        <scheme val="minor"/>
      </rPr>
      <t>2701-0374 51 db</t>
    </r>
    <r>
      <rPr>
        <sz val="9"/>
        <color rgb="FF000000"/>
        <rFont val="Calibri"/>
        <family val="2"/>
        <charset val="238"/>
        <scheme val="minor"/>
      </rPr>
      <t xml:space="preserve">
E 2 db (SR 1 db / Besz. SZ 1 db)
SK 8 db / SZ 11 db / J 8 db / R 22 db / 
2701-0430 SK 3 db
</t>
    </r>
    <r>
      <rPr>
        <b/>
        <u/>
        <sz val="9"/>
        <color rgb="FF000000"/>
        <rFont val="Calibri"/>
        <family val="2"/>
        <charset val="238"/>
        <scheme val="minor"/>
      </rPr>
      <t xml:space="preserve">Átellenőrzésből:
</t>
    </r>
    <r>
      <rPr>
        <sz val="9"/>
        <color rgb="FF000000"/>
        <rFont val="Calibri"/>
        <family val="2"/>
        <charset val="238"/>
        <scheme val="minor"/>
      </rPr>
      <t>2701-0429 SK 15 db / SZ 7 db
2701-0430 SK 18 db / SZ 4 db
2701-0431 SK 3 db / SZ 1 db
2701-0432 SK 3 db</t>
    </r>
  </si>
  <si>
    <r>
      <rPr>
        <b/>
        <u/>
        <sz val="9"/>
        <color rgb="FF000000"/>
        <rFont val="Calibri"/>
        <family val="2"/>
        <charset val="238"/>
        <scheme val="minor"/>
      </rPr>
      <t xml:space="preserve">Rendes gyártásból: </t>
    </r>
    <r>
      <rPr>
        <sz val="9"/>
        <color rgb="FF000000"/>
        <rFont val="Calibri"/>
        <family val="2"/>
        <charset val="238"/>
        <scheme val="minor"/>
      </rPr>
      <t xml:space="preserve">
2701-0430 SK 55 db / SZ 3 db
2701-0429 SK 38 db / SZ 13 db
</t>
    </r>
    <r>
      <rPr>
        <b/>
        <u/>
        <sz val="9"/>
        <color rgb="FF000000"/>
        <rFont val="Calibri"/>
        <family val="2"/>
        <charset val="238"/>
        <scheme val="minor"/>
      </rPr>
      <t>2701-0374 29 db</t>
    </r>
    <r>
      <rPr>
        <sz val="9"/>
        <color rgb="FF000000"/>
        <rFont val="Calibri"/>
        <family val="2"/>
        <charset val="238"/>
        <scheme val="minor"/>
      </rPr>
      <t xml:space="preserve">
E 5 db (SR 1 db / Besz. SZ 4 db)
SK 5 db / R 12 db / J 2 db / SZ 5 db
</t>
    </r>
    <r>
      <rPr>
        <b/>
        <u/>
        <sz val="9"/>
        <color rgb="FF000000"/>
        <rFont val="Calibri"/>
        <family val="2"/>
        <charset val="238"/>
        <scheme val="minor"/>
      </rPr>
      <t xml:space="preserve">Átellenőrzésből: </t>
    </r>
    <r>
      <rPr>
        <sz val="9"/>
        <color rgb="FF000000"/>
        <rFont val="Calibri"/>
        <family val="2"/>
        <charset val="238"/>
        <scheme val="minor"/>
      </rPr>
      <t xml:space="preserve">
2701-0430 SK 14 db / SZ 3 db</t>
    </r>
  </si>
  <si>
    <t>WO-041576</t>
  </si>
  <si>
    <t>WO-041577</t>
  </si>
  <si>
    <t>WO-042966</t>
  </si>
  <si>
    <t>WO-042965</t>
  </si>
  <si>
    <t>WO-042292</t>
  </si>
  <si>
    <t>WO-042189</t>
  </si>
  <si>
    <t>WO-042291</t>
  </si>
  <si>
    <t>WO-041561</t>
  </si>
  <si>
    <t>WO-041957</t>
  </si>
  <si>
    <t>WO-040516</t>
  </si>
  <si>
    <t>WO-042909</t>
  </si>
  <si>
    <t>WO-042899</t>
  </si>
  <si>
    <t>1200-1367 BS 14 db / MA 20 db</t>
  </si>
  <si>
    <r>
      <rPr>
        <b/>
        <u/>
        <sz val="9"/>
        <color rgb="FF000000"/>
        <rFont val="Calibri"/>
        <family val="2"/>
        <charset val="238"/>
        <scheme val="minor"/>
      </rPr>
      <t>Rendes gyártásból:</t>
    </r>
    <r>
      <rPr>
        <sz val="9"/>
        <color rgb="FF000000"/>
        <rFont val="Calibri"/>
        <family val="2"/>
        <charset val="238"/>
        <scheme val="minor"/>
      </rPr>
      <t xml:space="preserve">
</t>
    </r>
    <r>
      <rPr>
        <b/>
        <u/>
        <sz val="9"/>
        <color rgb="FF000000"/>
        <rFont val="Calibri"/>
        <family val="2"/>
        <charset val="238"/>
        <scheme val="minor"/>
      </rPr>
      <t>2701-0374 5 db</t>
    </r>
    <r>
      <rPr>
        <sz val="9"/>
        <color rgb="FF000000"/>
        <rFont val="Calibri"/>
        <family val="2"/>
        <charset val="238"/>
        <scheme val="minor"/>
      </rPr>
      <t xml:space="preserve">
E 1 db (Korr. 1 db)
SK 1 db / R 1 db / J 2 db
</t>
    </r>
    <r>
      <rPr>
        <b/>
        <u/>
        <sz val="9"/>
        <color rgb="FF000000"/>
        <rFont val="Calibri"/>
        <family val="2"/>
        <charset val="238"/>
        <scheme val="minor"/>
      </rPr>
      <t>1201-1221 8 db</t>
    </r>
    <r>
      <rPr>
        <sz val="9"/>
        <color rgb="FF000000"/>
        <rFont val="Calibri"/>
        <family val="2"/>
        <charset val="238"/>
        <scheme val="minor"/>
      </rPr>
      <t xml:space="preserve">
SK 7 db / J 1 db
</t>
    </r>
    <r>
      <rPr>
        <b/>
        <u/>
        <sz val="9"/>
        <color rgb="FF000000"/>
        <rFont val="Calibri"/>
        <family val="2"/>
        <charset val="238"/>
        <scheme val="minor"/>
      </rPr>
      <t>Átellenőrzésből:</t>
    </r>
    <r>
      <rPr>
        <sz val="9"/>
        <color rgb="FF000000"/>
        <rFont val="Calibri"/>
        <family val="2"/>
        <charset val="238"/>
        <scheme val="minor"/>
      </rPr>
      <t xml:space="preserve">
2701-0429 SK 11 db
2701-0430 SK 9 db / SZ 3 db
2701-0431 SK 16 db / SZ 1 db
2701-0432 SK 13 db</t>
    </r>
  </si>
  <si>
    <t>WO-042984</t>
  </si>
  <si>
    <t>WO-042293</t>
  </si>
  <si>
    <t>WO-040385</t>
  </si>
  <si>
    <t>WO-038837</t>
  </si>
  <si>
    <t>WO-040393</t>
  </si>
  <si>
    <t>WO-042983</t>
  </si>
  <si>
    <t>WO-042982</t>
  </si>
  <si>
    <r>
      <rPr>
        <b/>
        <u/>
        <sz val="9"/>
        <color rgb="FF000000"/>
        <rFont val="Calibri"/>
        <family val="2"/>
        <charset val="238"/>
        <scheme val="minor"/>
      </rPr>
      <t>Átellenőrzésből:</t>
    </r>
    <r>
      <rPr>
        <sz val="9"/>
        <color rgb="FF000000"/>
        <rFont val="Calibri"/>
        <family val="2"/>
        <charset val="238"/>
        <scheme val="minor"/>
      </rPr>
      <t xml:space="preserve">
2701-0430 SK 22 db
2701-0431 SK 18 db / SZ 1 db
2701-0429 SK 12 db / SZ 1 db
</t>
    </r>
    <r>
      <rPr>
        <b/>
        <u/>
        <sz val="9"/>
        <color rgb="FF000000"/>
        <rFont val="Calibri"/>
        <family val="2"/>
        <charset val="238"/>
        <scheme val="minor"/>
      </rPr>
      <t>Rendes gyártásból:</t>
    </r>
    <r>
      <rPr>
        <sz val="9"/>
        <color rgb="FF000000"/>
        <rFont val="Calibri"/>
        <family val="2"/>
        <charset val="238"/>
        <scheme val="minor"/>
      </rPr>
      <t xml:space="preserve">
2701-0432 SK 6 db </t>
    </r>
  </si>
  <si>
    <t>Alapanyaghiány: -1,4k 2701-0429</t>
  </si>
  <si>
    <t>WO-042188</t>
  </si>
  <si>
    <t>WO-043144</t>
  </si>
  <si>
    <t>WO-042087</t>
  </si>
  <si>
    <t>WO-041853</t>
  </si>
  <si>
    <t>WO-043143</t>
  </si>
  <si>
    <t>WO-039731</t>
  </si>
  <si>
    <t>WO-042294</t>
  </si>
  <si>
    <t>Csuklómerevítő megrendelve, tesztelés alatt. Zsóka féle jó, a másik nem.</t>
  </si>
  <si>
    <r>
      <rPr>
        <b/>
        <u/>
        <sz val="9"/>
        <color theme="1"/>
        <rFont val="Calibri"/>
        <family val="2"/>
        <charset val="238"/>
        <scheme val="minor"/>
      </rPr>
      <t>Átellenőrzésből:</t>
    </r>
    <r>
      <rPr>
        <sz val="9"/>
        <color theme="1"/>
        <rFont val="Calibri"/>
        <family val="2"/>
        <charset val="238"/>
        <scheme val="minor"/>
      </rPr>
      <t xml:space="preserve">
2701-0430 SK 7 db / SZ 1 db</t>
    </r>
  </si>
  <si>
    <t>WO-040153</t>
  </si>
  <si>
    <t>WO-043305</t>
  </si>
  <si>
    <t>WO-038884</t>
  </si>
  <si>
    <t>WO-038833</t>
  </si>
  <si>
    <t>WO-038834</t>
  </si>
  <si>
    <t>WO-040493</t>
  </si>
  <si>
    <t>WO-043236</t>
  </si>
  <si>
    <t>WO-040495</t>
  </si>
  <si>
    <t>WO-041578</t>
  </si>
  <si>
    <t>WO-042278</t>
  </si>
  <si>
    <t>WO-043231</t>
  </si>
  <si>
    <t>WO-042308</t>
  </si>
  <si>
    <t>WO-043229</t>
  </si>
  <si>
    <t>WO-038101</t>
  </si>
  <si>
    <t>WO-042295</t>
  </si>
  <si>
    <t>0M-V101-0106</t>
  </si>
  <si>
    <t>0M-V701-0098</t>
  </si>
  <si>
    <t>Módosítva 10,2+/-2-re 2025.01.06-án.</t>
  </si>
  <si>
    <t>Ádámnak átadva 1368 SK</t>
  </si>
  <si>
    <t>Létszám</t>
  </si>
  <si>
    <t>Gépek</t>
  </si>
  <si>
    <t>…</t>
  </si>
  <si>
    <t>Kézi</t>
  </si>
  <si>
    <t>Szum</t>
  </si>
  <si>
    <t>BC-ből</t>
  </si>
  <si>
    <t>Gépcsoportlista</t>
  </si>
  <si>
    <t>Metaadatok</t>
  </si>
  <si>
    <t>Munkanapok</t>
  </si>
  <si>
    <t>Műszakhossz gépi</t>
  </si>
  <si>
    <t>Műszakhossz kézi</t>
  </si>
  <si>
    <t>Absense ratio</t>
  </si>
  <si>
    <t>Kezdő dátum</t>
  </si>
  <si>
    <t>Bef. Dátum</t>
  </si>
  <si>
    <t>Műszakszám (Kézi, Gépi)</t>
  </si>
  <si>
    <t>Desc.</t>
  </si>
  <si>
    <t>Termelési terv</t>
  </si>
  <si>
    <t>Létszámterv, de melyik???</t>
  </si>
  <si>
    <t>Generate standard hour (GSH) Actual WK from BC) wihout packaging, conti, visual, usb (manual inspection csoport)</t>
  </si>
  <si>
    <t>Adott napi könyvelt üzemidő, USB, Visual, ContiVisual, Pack nélkül.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</si>
</sst>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-* #,##0.00\ &quot;Ft&quot;_-;\-* #,##0.00\ &quot;Ft&quot;_-;_-* &quot;-&quot;??\ &quot;Ft&quot;_-;_-@_-"/>
    <numFmt numFmtId="164" formatCode="_(* #,##0.00_);_(* \(#,##0.00\);_(* &quot;-&quot;??_);_(@_)"/>
    <numFmt numFmtId="165" formatCode="_-* #,##0.00\ _F_t_-;\-* #,##0.00\ _F_t_-;_-* &quot;-&quot;??\ _F_t_-;_-@_-"/>
    <numFmt numFmtId="166" formatCode="_-* #,##0.00\ [$€-1]_-;\-* #,##0.00\ [$€-1]_-;_-* &quot;-&quot;??\ [$€-1]_-;_-@_-"/>
    <numFmt numFmtId="167" formatCode="_-* #,##0\ _F_t_-;\-* #,##0\ _F_t_-;_-* &quot;-&quot;??\ _F_t_-;_-@_-"/>
    <numFmt numFmtId="168" formatCode="_-* #,##0\ [$€-1]_-;\-* #,##0\ [$€-1]_-;_-* &quot;-&quot;??\ [$€-1]_-;_-@_-"/>
    <numFmt numFmtId="169" formatCode="_-* #,##0.000\ _F_t_-;\-* #,##0.000\ _F_t_-;_-* &quot;-&quot;??\ _F_t_-;_-@_-"/>
    <numFmt numFmtId="170" formatCode="0.0%"/>
    <numFmt numFmtId="171" formatCode="_-* #,##0.0000\ [$€-1]_-;\-* #,##0.0000\ [$€-1]_-;_-* &quot;-&quot;??\ [$€-1]_-;_-@_-"/>
    <numFmt numFmtId="172" formatCode="_-* #,##0.0\ [$€-1]_-;\-* #,##0.0\ [$€-1]_-;_-* &quot;-&quot;??\ [$€-1]_-;_-@_-"/>
    <numFmt numFmtId="173" formatCode="_-* #,##0.0\ _F_t_-;\-* #,##0.0\ _F_t_-;_-* &quot;-&quot;??\ _F_t_-;_-@_-"/>
    <numFmt numFmtId="174" formatCode="yyyy\.mm\.dd;@"/>
    <numFmt numFmtId="175" formatCode="0.000"/>
    <numFmt numFmtId="176" formatCode="0.0"/>
  </numFmts>
  <fonts count="10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FF0000"/>
      <name val="Calibri"/>
      <family val="2"/>
      <charset val="128"/>
      <scheme val="minor"/>
    </font>
    <font>
      <b/>
      <i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sz val="9"/>
      <color theme="1"/>
      <name val="Calibri"/>
      <family val="2"/>
      <charset val="128"/>
      <scheme val="minor"/>
    </font>
    <font>
      <b/>
      <sz val="9"/>
      <color theme="1"/>
      <name val="Calibri"/>
      <family val="2"/>
      <charset val="128"/>
      <scheme val="minor"/>
    </font>
    <font>
      <b/>
      <sz val="9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charset val="238"/>
      <scheme val="minor"/>
    </font>
    <font>
      <b/>
      <i/>
      <sz val="9"/>
      <color theme="1"/>
      <name val="Calibri"/>
      <family val="2"/>
      <charset val="238"/>
      <scheme val="minor"/>
    </font>
    <font>
      <b/>
      <i/>
      <sz val="14"/>
      <color theme="1"/>
      <name val="Calibri"/>
      <family val="2"/>
      <charset val="238"/>
      <scheme val="minor"/>
    </font>
    <font>
      <b/>
      <sz val="8"/>
      <name val="Verdana"/>
      <family val="2"/>
    </font>
    <font>
      <sz val="10"/>
      <name val="Verdana"/>
      <family val="2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1"/>
      <name val="Arial"/>
      <family val="2"/>
      <charset val="23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  <charset val="238"/>
    </font>
    <font>
      <sz val="11"/>
      <name val="ＭＳ Ｐゴシック"/>
      <family val="3"/>
      <charset val="128"/>
    </font>
    <font>
      <sz val="10"/>
      <name val="Arial CE"/>
      <charset val="238"/>
    </font>
    <font>
      <b/>
      <i/>
      <sz val="11"/>
      <color rgb="FFFF0000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i/>
      <sz val="11"/>
      <color theme="9" tint="-0.499984740745262"/>
      <name val="Calibri"/>
      <family val="2"/>
      <charset val="238"/>
      <scheme val="minor"/>
    </font>
    <font>
      <b/>
      <i/>
      <sz val="10"/>
      <color theme="9" tint="-0.499984740745262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i/>
      <sz val="10"/>
      <color theme="0"/>
      <name val="Calibri"/>
      <family val="2"/>
      <charset val="238"/>
      <scheme val="minor"/>
    </font>
    <font>
      <b/>
      <sz val="11"/>
      <color rgb="FFFF3300"/>
      <name val="Calibri"/>
      <family val="2"/>
      <charset val="238"/>
      <scheme val="minor"/>
    </font>
    <font>
      <sz val="8"/>
      <name val="Calibri"/>
      <family val="2"/>
      <charset val="128"/>
      <scheme val="minor"/>
    </font>
    <font>
      <sz val="10"/>
      <name val="Arial"/>
      <family val="2"/>
      <charset val="238"/>
    </font>
    <font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25"/>
      <color theme="1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  <font>
      <sz val="120"/>
      <color rgb="FFFF0000"/>
      <name val="Calibri"/>
      <family val="2"/>
      <charset val="238"/>
      <scheme val="minor"/>
    </font>
    <font>
      <b/>
      <i/>
      <sz val="8.5"/>
      <color theme="1"/>
      <name val="Calibri"/>
      <family val="2"/>
      <charset val="238"/>
      <scheme val="minor"/>
    </font>
    <font>
      <b/>
      <i/>
      <sz val="9"/>
      <color rgb="FF000000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b/>
      <i/>
      <sz val="7"/>
      <color theme="1"/>
      <name val="Calibri"/>
      <family val="2"/>
      <charset val="238"/>
      <scheme val="minor"/>
    </font>
    <font>
      <i/>
      <sz val="9"/>
      <color theme="1"/>
      <name val="Calibri"/>
      <family val="2"/>
      <charset val="238"/>
      <scheme val="minor"/>
    </font>
    <font>
      <sz val="11"/>
      <name val="Calibri"/>
      <family val="2"/>
      <charset val="128"/>
      <scheme val="minor"/>
    </font>
    <font>
      <sz val="11"/>
      <color theme="1"/>
      <name val="Wingdings"/>
      <charset val="2"/>
    </font>
    <font>
      <sz val="9"/>
      <color rgb="FF000000"/>
      <name val="Calibri"/>
      <family val="2"/>
      <charset val="238"/>
      <scheme val="minor"/>
    </font>
    <font>
      <b/>
      <sz val="11"/>
      <color theme="3"/>
      <name val="Calibri"/>
      <family val="2"/>
      <charset val="128"/>
      <scheme val="minor"/>
    </font>
    <font>
      <sz val="8"/>
      <color theme="1"/>
      <name val="Calibri"/>
      <family val="2"/>
      <charset val="128"/>
      <scheme val="minor"/>
    </font>
    <font>
      <sz val="8.5"/>
      <color theme="1"/>
      <name val="Calibri"/>
      <family val="2"/>
      <charset val="128"/>
      <scheme val="minor"/>
    </font>
    <font>
      <sz val="10"/>
      <color theme="1"/>
      <name val="Calibri"/>
      <family val="2"/>
      <charset val="128"/>
      <scheme val="minor"/>
    </font>
    <font>
      <b/>
      <sz val="9"/>
      <color rgb="FF000000"/>
      <name val="Calibri"/>
      <family val="2"/>
      <charset val="238"/>
      <scheme val="minor"/>
    </font>
    <font>
      <b/>
      <u/>
      <sz val="9"/>
      <color theme="1"/>
      <name val="Calibri"/>
      <family val="2"/>
      <charset val="238"/>
      <scheme val="minor"/>
    </font>
    <font>
      <b/>
      <sz val="11"/>
      <name val="Calibri"/>
      <family val="2"/>
      <charset val="128"/>
      <scheme val="minor"/>
    </font>
    <font>
      <b/>
      <u/>
      <sz val="9"/>
      <color rgb="FF000000"/>
      <name val="Calibri"/>
      <family val="2"/>
      <charset val="238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2CC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3">
    <xf numFmtId="0" fontId="0" fillId="0" borderId="0">
      <alignment vertical="center"/>
    </xf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18" applyNumberFormat="0" applyAlignment="0" applyProtection="0"/>
    <xf numFmtId="0" fontId="26" fillId="7" borderId="19" applyNumberFormat="0" applyAlignment="0" applyProtection="0"/>
    <xf numFmtId="0" fontId="27" fillId="7" borderId="18" applyNumberFormat="0" applyAlignment="0" applyProtection="0"/>
    <xf numFmtId="0" fontId="28" fillId="0" borderId="20" applyNumberFormat="0" applyFill="0" applyAlignment="0" applyProtection="0"/>
    <xf numFmtId="0" fontId="29" fillId="8" borderId="2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3" applyNumberFormat="0" applyFill="0" applyAlignment="0" applyProtection="0"/>
    <xf numFmtId="0" fontId="33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33" fillId="33" borderId="0" applyNumberFormat="0" applyBorder="0" applyAlignment="0" applyProtection="0"/>
    <xf numFmtId="0" fontId="34" fillId="0" borderId="0"/>
    <xf numFmtId="0" fontId="15" fillId="9" borderId="22" applyNumberFormat="0" applyFont="0" applyAlignment="0" applyProtection="0"/>
    <xf numFmtId="0" fontId="14" fillId="9" borderId="22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9" fontId="13" fillId="0" borderId="0" applyFont="0" applyFill="0" applyBorder="0" applyAlignment="0" applyProtection="0"/>
    <xf numFmtId="0" fontId="13" fillId="9" borderId="22" applyNumberFormat="0" applyFont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37" fillId="0" borderId="0"/>
    <xf numFmtId="165" fontId="37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9" fontId="3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18" applyNumberFormat="0" applyAlignment="0" applyProtection="0"/>
    <xf numFmtId="0" fontId="26" fillId="7" borderId="19" applyNumberFormat="0" applyAlignment="0" applyProtection="0"/>
    <xf numFmtId="0" fontId="27" fillId="7" borderId="18" applyNumberFormat="0" applyAlignment="0" applyProtection="0"/>
    <xf numFmtId="0" fontId="28" fillId="0" borderId="20" applyNumberFormat="0" applyFill="0" applyAlignment="0" applyProtection="0"/>
    <xf numFmtId="0" fontId="29" fillId="8" borderId="2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3" applyNumberFormat="0" applyFill="0" applyAlignment="0" applyProtection="0"/>
    <xf numFmtId="0" fontId="33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3" fillId="33" borderId="0" applyNumberFormat="0" applyBorder="0" applyAlignment="0" applyProtection="0"/>
    <xf numFmtId="0" fontId="34" fillId="0" borderId="0"/>
    <xf numFmtId="0" fontId="11" fillId="9" borderId="22" applyNumberFormat="0" applyFont="0" applyAlignment="0" applyProtection="0"/>
    <xf numFmtId="0" fontId="34" fillId="0" borderId="0"/>
    <xf numFmtId="0" fontId="11" fillId="9" borderId="22" applyNumberFormat="0" applyFont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0" fillId="0" borderId="0"/>
    <xf numFmtId="0" fontId="10" fillId="9" borderId="22" applyNumberFormat="0" applyFont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9" fillId="0" borderId="0"/>
    <xf numFmtId="0" fontId="9" fillId="9" borderId="22" applyNumberFormat="0" applyFont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34" fillId="0" borderId="0"/>
    <xf numFmtId="0" fontId="8" fillId="0" borderId="0"/>
    <xf numFmtId="9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17" fillId="0" borderId="0">
      <alignment vertical="center"/>
    </xf>
    <xf numFmtId="0" fontId="66" fillId="0" borderId="0">
      <alignment vertical="center"/>
    </xf>
    <xf numFmtId="38" fontId="67" fillId="0" borderId="0" applyFont="0" applyFill="0" applyBorder="0" applyAlignment="0" applyProtection="0">
      <alignment vertical="center"/>
    </xf>
    <xf numFmtId="38" fontId="67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37" fillId="0" borderId="0"/>
    <xf numFmtId="0" fontId="17" fillId="0" borderId="0">
      <alignment vertical="center"/>
    </xf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17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37" fillId="0" borderId="0"/>
    <xf numFmtId="0" fontId="17" fillId="0" borderId="0">
      <alignment vertical="center"/>
    </xf>
    <xf numFmtId="165" fontId="37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4" fillId="0" borderId="0"/>
    <xf numFmtId="0" fontId="8" fillId="9" borderId="22" applyNumberFormat="0" applyFont="0" applyAlignment="0" applyProtection="0"/>
    <xf numFmtId="0" fontId="34" fillId="0" borderId="0"/>
    <xf numFmtId="0" fontId="8" fillId="9" borderId="22" applyNumberFormat="0" applyFont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37" fillId="0" borderId="0"/>
    <xf numFmtId="0" fontId="8" fillId="0" borderId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8" fillId="9" borderId="22" applyNumberFormat="0" applyFont="0" applyAlignment="0" applyProtection="0"/>
    <xf numFmtId="0" fontId="34" fillId="0" borderId="0"/>
    <xf numFmtId="0" fontId="8" fillId="9" borderId="22" applyNumberFormat="0" applyFont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37" fillId="0" borderId="0"/>
    <xf numFmtId="0" fontId="17" fillId="0" borderId="0">
      <alignment vertical="center"/>
    </xf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8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/>
    <xf numFmtId="0" fontId="69" fillId="0" borderId="0"/>
    <xf numFmtId="0" fontId="69" fillId="0" borderId="0">
      <alignment vertical="center"/>
    </xf>
    <xf numFmtId="38" fontId="67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70" fillId="0" borderId="0"/>
    <xf numFmtId="165" fontId="70" fillId="0" borderId="0" applyFont="0" applyFill="0" applyBorder="0" applyAlignment="0" applyProtection="0"/>
    <xf numFmtId="0" fontId="80" fillId="0" borderId="0"/>
    <xf numFmtId="0" fontId="81" fillId="0" borderId="0" applyNumberFormat="0" applyFill="0" applyBorder="0" applyAlignment="0" applyProtection="0"/>
    <xf numFmtId="0" fontId="7" fillId="9" borderId="22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82" fillId="0" borderId="0"/>
    <xf numFmtId="0" fontId="6" fillId="9" borderId="22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83" fillId="0" borderId="0"/>
    <xf numFmtId="0" fontId="5" fillId="9" borderId="22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4" fillId="9" borderId="22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84" fillId="0" borderId="0"/>
    <xf numFmtId="0" fontId="3" fillId="9" borderId="22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599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166" fontId="0" fillId="0" borderId="0" xfId="1" applyNumberFormat="1" applyFont="1" applyAlignment="1">
      <alignment vertical="center"/>
    </xf>
    <xf numFmtId="9" fontId="0" fillId="0" borderId="0" xfId="2" applyFont="1" applyAlignment="1">
      <alignment vertical="center"/>
    </xf>
    <xf numFmtId="0" fontId="0" fillId="0" borderId="0" xfId="0" quotePrefix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0" fillId="0" borderId="3" xfId="0" applyNumberFormat="1" applyBorder="1">
      <alignment vertical="center"/>
    </xf>
    <xf numFmtId="0" fontId="0" fillId="0" borderId="3" xfId="0" applyBorder="1">
      <alignment vertical="center"/>
    </xf>
    <xf numFmtId="14" fontId="0" fillId="0" borderId="7" xfId="0" applyNumberFormat="1" applyBorder="1">
      <alignment vertical="center"/>
    </xf>
    <xf numFmtId="14" fontId="0" fillId="0" borderId="8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7" fontId="0" fillId="0" borderId="0" xfId="3" applyNumberFormat="1" applyFont="1" applyAlignment="1">
      <alignment vertical="center"/>
    </xf>
    <xf numFmtId="166" fontId="0" fillId="0" borderId="0" xfId="0" applyNumberFormat="1">
      <alignment vertical="center"/>
    </xf>
    <xf numFmtId="0" fontId="35" fillId="2" borderId="0" xfId="0" applyFont="1" applyFill="1">
      <alignment vertical="center"/>
    </xf>
    <xf numFmtId="0" fontId="37" fillId="0" borderId="0" xfId="73"/>
    <xf numFmtId="14" fontId="37" fillId="0" borderId="0" xfId="73" applyNumberFormat="1"/>
    <xf numFmtId="14" fontId="0" fillId="0" borderId="0" xfId="74" applyNumberFormat="1" applyFont="1"/>
    <xf numFmtId="168" fontId="37" fillId="0" borderId="0" xfId="73" applyNumberFormat="1"/>
    <xf numFmtId="0" fontId="38" fillId="0" borderId="1" xfId="73" applyFont="1" applyBorder="1"/>
    <xf numFmtId="14" fontId="39" fillId="35" borderId="1" xfId="73" applyNumberFormat="1" applyFont="1" applyFill="1" applyBorder="1"/>
    <xf numFmtId="0" fontId="40" fillId="0" borderId="1" xfId="73" applyFont="1" applyBorder="1"/>
    <xf numFmtId="168" fontId="39" fillId="35" borderId="1" xfId="74" applyNumberFormat="1" applyFont="1" applyFill="1" applyBorder="1"/>
    <xf numFmtId="0" fontId="37" fillId="0" borderId="1" xfId="73" applyBorder="1"/>
    <xf numFmtId="168" fontId="39" fillId="35" borderId="1" xfId="73" applyNumberFormat="1" applyFont="1" applyFill="1" applyBorder="1"/>
    <xf numFmtId="168" fontId="41" fillId="36" borderId="1" xfId="74" applyNumberFormat="1" applyFont="1" applyFill="1" applyBorder="1"/>
    <xf numFmtId="168" fontId="41" fillId="35" borderId="1" xfId="74" applyNumberFormat="1" applyFont="1" applyFill="1" applyBorder="1"/>
    <xf numFmtId="168" fontId="42" fillId="0" borderId="0" xfId="73" applyNumberFormat="1" applyFont="1"/>
    <xf numFmtId="0" fontId="45" fillId="37" borderId="0" xfId="0" applyFont="1" applyFill="1">
      <alignment vertical="center"/>
    </xf>
    <xf numFmtId="0" fontId="0" fillId="37" borderId="0" xfId="0" applyFill="1">
      <alignment vertical="center"/>
    </xf>
    <xf numFmtId="0" fontId="46" fillId="0" borderId="1" xfId="0" applyFont="1" applyBorder="1" applyAlignment="1">
      <alignment horizontal="center" vertical="center" wrapText="1"/>
    </xf>
    <xf numFmtId="0" fontId="46" fillId="34" borderId="1" xfId="0" applyFont="1" applyFill="1" applyBorder="1" applyAlignment="1">
      <alignment horizontal="center" vertical="center" wrapText="1"/>
    </xf>
    <xf numFmtId="0" fontId="46" fillId="0" borderId="1" xfId="0" applyFont="1" applyBorder="1">
      <alignment vertical="center"/>
    </xf>
    <xf numFmtId="167" fontId="46" fillId="34" borderId="1" xfId="3" applyNumberFormat="1" applyFont="1" applyFill="1" applyBorder="1" applyAlignment="1">
      <alignment horizontal="center" vertical="center"/>
    </xf>
    <xf numFmtId="167" fontId="46" fillId="0" borderId="1" xfId="3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6" fillId="0" borderId="25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3" fillId="37" borderId="0" xfId="0" applyFont="1" applyFill="1">
      <alignment vertical="center"/>
    </xf>
    <xf numFmtId="167" fontId="46" fillId="0" borderId="25" xfId="3" applyNumberFormat="1" applyFont="1" applyBorder="1" applyAlignment="1">
      <alignment horizontal="center" vertical="center"/>
    </xf>
    <xf numFmtId="167" fontId="48" fillId="0" borderId="25" xfId="3" applyNumberFormat="1" applyFont="1" applyBorder="1" applyAlignment="1">
      <alignment horizontal="center" vertical="center"/>
    </xf>
    <xf numFmtId="167" fontId="47" fillId="0" borderId="25" xfId="3" applyNumberFormat="1" applyFont="1" applyBorder="1" applyAlignment="1">
      <alignment horizontal="center" vertical="center"/>
    </xf>
    <xf numFmtId="1" fontId="46" fillId="0" borderId="24" xfId="0" applyNumberFormat="1" applyFont="1" applyBorder="1" applyAlignment="1">
      <alignment horizontal="center" vertical="center"/>
    </xf>
    <xf numFmtId="0" fontId="36" fillId="0" borderId="0" xfId="0" applyFont="1">
      <alignment vertical="center"/>
    </xf>
    <xf numFmtId="1" fontId="36" fillId="0" borderId="0" xfId="0" applyNumberFormat="1" applyFont="1">
      <alignment vertical="center"/>
    </xf>
    <xf numFmtId="0" fontId="46" fillId="38" borderId="24" xfId="0" applyFont="1" applyFill="1" applyBorder="1" applyAlignment="1">
      <alignment horizontal="center" vertical="center"/>
    </xf>
    <xf numFmtId="0" fontId="46" fillId="38" borderId="25" xfId="0" applyFont="1" applyFill="1" applyBorder="1" applyAlignment="1">
      <alignment horizontal="center" vertical="center"/>
    </xf>
    <xf numFmtId="9" fontId="46" fillId="38" borderId="25" xfId="2" applyFont="1" applyFill="1" applyBorder="1" applyAlignment="1">
      <alignment horizontal="center" vertical="center"/>
    </xf>
    <xf numFmtId="167" fontId="46" fillId="38" borderId="25" xfId="3" applyNumberFormat="1" applyFont="1" applyFill="1" applyBorder="1" applyAlignment="1">
      <alignment horizontal="center" vertical="center"/>
    </xf>
    <xf numFmtId="167" fontId="48" fillId="38" borderId="25" xfId="3" applyNumberFormat="1" applyFont="1" applyFill="1" applyBorder="1" applyAlignment="1">
      <alignment horizontal="center" vertical="center"/>
    </xf>
    <xf numFmtId="166" fontId="48" fillId="0" borderId="25" xfId="3" applyNumberFormat="1" applyFont="1" applyBorder="1" applyAlignment="1">
      <alignment horizontal="center" vertical="center"/>
    </xf>
    <xf numFmtId="167" fontId="0" fillId="0" borderId="0" xfId="0" applyNumberFormat="1">
      <alignment vertical="center"/>
    </xf>
    <xf numFmtId="0" fontId="50" fillId="0" borderId="0" xfId="0" applyFont="1">
      <alignment vertical="center"/>
    </xf>
    <xf numFmtId="0" fontId="46" fillId="38" borderId="1" xfId="0" applyFont="1" applyFill="1" applyBorder="1" applyAlignment="1">
      <alignment horizontal="center" vertical="center" wrapText="1"/>
    </xf>
    <xf numFmtId="0" fontId="46" fillId="38" borderId="25" xfId="0" applyFont="1" applyFill="1" applyBorder="1" applyAlignment="1">
      <alignment horizontal="center" vertical="center" wrapText="1"/>
    </xf>
    <xf numFmtId="0" fontId="46" fillId="38" borderId="24" xfId="0" applyFont="1" applyFill="1" applyBorder="1" applyAlignment="1">
      <alignment horizontal="center" vertical="center" wrapText="1"/>
    </xf>
    <xf numFmtId="0" fontId="51" fillId="38" borderId="25" xfId="0" applyFont="1" applyFill="1" applyBorder="1" applyAlignment="1">
      <alignment horizontal="center" vertical="center"/>
    </xf>
    <xf numFmtId="168" fontId="0" fillId="0" borderId="0" xfId="0" applyNumberFormat="1">
      <alignment vertical="center"/>
    </xf>
    <xf numFmtId="0" fontId="46" fillId="39" borderId="25" xfId="0" applyFont="1" applyFill="1" applyBorder="1" applyAlignment="1">
      <alignment horizontal="center" vertical="center"/>
    </xf>
    <xf numFmtId="169" fontId="0" fillId="0" borderId="0" xfId="0" applyNumberFormat="1">
      <alignment vertical="center"/>
    </xf>
    <xf numFmtId="0" fontId="52" fillId="0" borderId="25" xfId="0" applyFont="1" applyBorder="1" applyAlignment="1">
      <alignment horizontal="center" vertical="center"/>
    </xf>
    <xf numFmtId="0" fontId="0" fillId="38" borderId="25" xfId="0" applyFill="1" applyBorder="1" applyAlignment="1">
      <alignment horizontal="center" vertical="center"/>
    </xf>
    <xf numFmtId="0" fontId="0" fillId="0" borderId="0" xfId="0" applyAlignment="1">
      <alignment vertical="top"/>
    </xf>
    <xf numFmtId="167" fontId="46" fillId="38" borderId="25" xfId="3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46" fillId="0" borderId="25" xfId="2" applyNumberFormat="1" applyFont="1" applyBorder="1" applyAlignment="1">
      <alignment horizontal="center" vertical="center"/>
    </xf>
    <xf numFmtId="0" fontId="0" fillId="0" borderId="0" xfId="74" applyNumberFormat="1" applyFont="1"/>
    <xf numFmtId="0" fontId="32" fillId="40" borderId="0" xfId="73" applyFont="1" applyFill="1"/>
    <xf numFmtId="168" fontId="32" fillId="40" borderId="1" xfId="73" applyNumberFormat="1" applyFont="1" applyFill="1" applyBorder="1"/>
    <xf numFmtId="168" fontId="39" fillId="41" borderId="29" xfId="74" applyNumberFormat="1" applyFont="1" applyFill="1" applyBorder="1"/>
    <xf numFmtId="168" fontId="32" fillId="0" borderId="0" xfId="73" applyNumberFormat="1" applyFont="1"/>
    <xf numFmtId="0" fontId="37" fillId="40" borderId="1" xfId="73" applyFill="1" applyBorder="1"/>
    <xf numFmtId="168" fontId="39" fillId="41" borderId="1" xfId="73" applyNumberFormat="1" applyFont="1" applyFill="1" applyBorder="1"/>
    <xf numFmtId="168" fontId="39" fillId="41" borderId="2" xfId="73" applyNumberFormat="1" applyFont="1" applyFill="1" applyBorder="1"/>
    <xf numFmtId="168" fontId="39" fillId="41" borderId="31" xfId="74" applyNumberFormat="1" applyFont="1" applyFill="1" applyBorder="1"/>
    <xf numFmtId="0" fontId="37" fillId="42" borderId="1" xfId="73" applyFill="1" applyBorder="1"/>
    <xf numFmtId="168" fontId="41" fillId="43" borderId="1" xfId="74" applyNumberFormat="1" applyFont="1" applyFill="1" applyBorder="1"/>
    <xf numFmtId="168" fontId="41" fillId="43" borderId="2" xfId="74" applyNumberFormat="1" applyFont="1" applyFill="1" applyBorder="1"/>
    <xf numFmtId="168" fontId="39" fillId="43" borderId="29" xfId="74" applyNumberFormat="1" applyFont="1" applyFill="1" applyBorder="1"/>
    <xf numFmtId="0" fontId="40" fillId="40" borderId="1" xfId="73" applyFont="1" applyFill="1" applyBorder="1"/>
    <xf numFmtId="168" fontId="39" fillId="41" borderId="31" xfId="73" applyNumberFormat="1" applyFont="1" applyFill="1" applyBorder="1"/>
    <xf numFmtId="0" fontId="40" fillId="42" borderId="1" xfId="73" applyFont="1" applyFill="1" applyBorder="1"/>
    <xf numFmtId="168" fontId="39" fillId="43" borderId="1" xfId="74" applyNumberFormat="1" applyFont="1" applyFill="1" applyBorder="1"/>
    <xf numFmtId="168" fontId="39" fillId="43" borderId="2" xfId="74" applyNumberFormat="1" applyFont="1" applyFill="1" applyBorder="1"/>
    <xf numFmtId="168" fontId="37" fillId="44" borderId="0" xfId="73" applyNumberFormat="1" applyFill="1"/>
    <xf numFmtId="168" fontId="42" fillId="44" borderId="0" xfId="73" applyNumberFormat="1" applyFont="1" applyFill="1"/>
    <xf numFmtId="168" fontId="53" fillId="44" borderId="0" xfId="73" applyNumberFormat="1" applyFont="1" applyFill="1"/>
    <xf numFmtId="0" fontId="37" fillId="44" borderId="0" xfId="73" applyFill="1"/>
    <xf numFmtId="167" fontId="39" fillId="43" borderId="1" xfId="3" applyNumberFormat="1" applyFont="1" applyFill="1" applyBorder="1"/>
    <xf numFmtId="167" fontId="39" fillId="43" borderId="29" xfId="3" applyNumberFormat="1" applyFont="1" applyFill="1" applyBorder="1"/>
    <xf numFmtId="167" fontId="47" fillId="0" borderId="0" xfId="3" applyNumberFormat="1" applyFont="1" applyAlignment="1">
      <alignment horizontal="center" vertical="center"/>
    </xf>
    <xf numFmtId="0" fontId="32" fillId="40" borderId="30" xfId="73" applyFont="1" applyFill="1" applyBorder="1" applyAlignment="1">
      <alignment horizontal="center"/>
    </xf>
    <xf numFmtId="168" fontId="39" fillId="35" borderId="2" xfId="74" applyNumberFormat="1" applyFont="1" applyFill="1" applyBorder="1"/>
    <xf numFmtId="168" fontId="39" fillId="35" borderId="32" xfId="74" applyNumberFormat="1" applyFont="1" applyFill="1" applyBorder="1"/>
    <xf numFmtId="167" fontId="39" fillId="35" borderId="32" xfId="3" applyNumberFormat="1" applyFont="1" applyFill="1" applyBorder="1"/>
    <xf numFmtId="168" fontId="39" fillId="35" borderId="1" xfId="1" applyNumberFormat="1" applyFont="1" applyFill="1" applyBorder="1"/>
    <xf numFmtId="167" fontId="37" fillId="0" borderId="0" xfId="73" applyNumberFormat="1"/>
    <xf numFmtId="0" fontId="55" fillId="0" borderId="1" xfId="0" applyFont="1" applyBorder="1" applyAlignment="1">
      <alignment horizontal="center" vertical="center" wrapText="1"/>
    </xf>
    <xf numFmtId="167" fontId="37" fillId="0" borderId="0" xfId="3" applyNumberFormat="1" applyFont="1"/>
    <xf numFmtId="171" fontId="37" fillId="0" borderId="0" xfId="73" applyNumberFormat="1"/>
    <xf numFmtId="0" fontId="10" fillId="0" borderId="0" xfId="143"/>
    <xf numFmtId="170" fontId="56" fillId="0" borderId="1" xfId="2" applyNumberFormat="1" applyFont="1" applyBorder="1" applyAlignment="1">
      <alignment horizontal="center" vertical="center"/>
    </xf>
    <xf numFmtId="0" fontId="0" fillId="0" borderId="0" xfId="0" applyAlignment="1"/>
    <xf numFmtId="0" fontId="57" fillId="46" borderId="0" xfId="0" applyFont="1" applyFill="1" applyAlignment="1">
      <alignment horizontal="left" wrapText="1"/>
    </xf>
    <xf numFmtId="0" fontId="57" fillId="40" borderId="0" xfId="0" applyFont="1" applyFill="1" applyAlignment="1">
      <alignment horizontal="left" wrapText="1"/>
    </xf>
    <xf numFmtId="14" fontId="58" fillId="0" borderId="0" xfId="0" applyNumberFormat="1" applyFont="1" applyAlignment="1">
      <alignment horizontal="left"/>
    </xf>
    <xf numFmtId="0" fontId="58" fillId="0" borderId="0" xfId="0" applyFont="1" applyAlignment="1">
      <alignment horizontal="left"/>
    </xf>
    <xf numFmtId="4" fontId="58" fillId="0" borderId="0" xfId="0" applyNumberFormat="1" applyFont="1" applyAlignment="1">
      <alignment horizontal="right"/>
    </xf>
    <xf numFmtId="0" fontId="58" fillId="0" borderId="0" xfId="0" applyFont="1" applyAlignment="1">
      <alignment horizontal="right"/>
    </xf>
    <xf numFmtId="0" fontId="0" fillId="40" borderId="0" xfId="0" applyFill="1" applyAlignment="1"/>
    <xf numFmtId="14" fontId="0" fillId="0" borderId="0" xfId="0" applyNumberFormat="1" applyAlignment="1"/>
    <xf numFmtId="14" fontId="58" fillId="0" borderId="0" xfId="44" applyNumberFormat="1" applyFont="1" applyAlignment="1">
      <alignment horizontal="left"/>
    </xf>
    <xf numFmtId="0" fontId="58" fillId="0" borderId="0" xfId="44" applyFont="1" applyAlignment="1">
      <alignment horizontal="left"/>
    </xf>
    <xf numFmtId="4" fontId="58" fillId="0" borderId="0" xfId="44" applyNumberFormat="1" applyFont="1" applyAlignment="1">
      <alignment horizontal="right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46" fillId="38" borderId="25" xfId="2" applyNumberFormat="1" applyFont="1" applyFill="1" applyBorder="1" applyAlignment="1">
      <alignment horizontal="center" vertical="center"/>
    </xf>
    <xf numFmtId="168" fontId="39" fillId="0" borderId="0" xfId="73" applyNumberFormat="1" applyFont="1"/>
    <xf numFmtId="0" fontId="32" fillId="0" borderId="0" xfId="44" applyFont="1"/>
    <xf numFmtId="0" fontId="34" fillId="0" borderId="0" xfId="44"/>
    <xf numFmtId="0" fontId="0" fillId="0" borderId="0" xfId="44" applyFont="1"/>
    <xf numFmtId="0" fontId="59" fillId="45" borderId="32" xfId="44" applyFont="1" applyFill="1" applyBorder="1" applyAlignment="1">
      <alignment horizontal="center" vertical="center" wrapText="1"/>
    </xf>
    <xf numFmtId="0" fontId="59" fillId="45" borderId="28" xfId="44" applyFont="1" applyFill="1" applyBorder="1" applyAlignment="1">
      <alignment horizontal="center" vertical="center" wrapText="1"/>
    </xf>
    <xf numFmtId="0" fontId="59" fillId="0" borderId="35" xfId="44" applyFont="1" applyBorder="1" applyAlignment="1">
      <alignment vertical="center" wrapText="1"/>
    </xf>
    <xf numFmtId="0" fontId="60" fillId="0" borderId="36" xfId="44" applyFont="1" applyBorder="1" applyAlignment="1">
      <alignment horizontal="center" vertical="center" wrapText="1"/>
    </xf>
    <xf numFmtId="0" fontId="61" fillId="0" borderId="37" xfId="44" applyFont="1" applyBorder="1" applyAlignment="1">
      <alignment horizontal="center" vertical="center" wrapText="1"/>
    </xf>
    <xf numFmtId="0" fontId="61" fillId="0" borderId="38" xfId="44" applyFont="1" applyBorder="1" applyAlignment="1">
      <alignment vertical="center" wrapText="1"/>
    </xf>
    <xf numFmtId="14" fontId="61" fillId="0" borderId="38" xfId="44" applyNumberFormat="1" applyFont="1" applyBorder="1" applyAlignment="1">
      <alignment vertical="center" wrapText="1"/>
    </xf>
    <xf numFmtId="14" fontId="62" fillId="0" borderId="37" xfId="44" applyNumberFormat="1" applyFont="1" applyBorder="1" applyAlignment="1">
      <alignment horizontal="center" vertical="center" wrapText="1"/>
    </xf>
    <xf numFmtId="21" fontId="0" fillId="0" borderId="0" xfId="0" applyNumberFormat="1">
      <alignment vertical="center"/>
    </xf>
    <xf numFmtId="3" fontId="65" fillId="2" borderId="0" xfId="172" applyNumberFormat="1" applyFont="1" applyFill="1"/>
    <xf numFmtId="0" fontId="54" fillId="0" borderId="1" xfId="0" applyFont="1" applyBorder="1" applyAlignment="1">
      <alignment horizontal="center" vertical="center"/>
    </xf>
    <xf numFmtId="167" fontId="0" fillId="0" borderId="1" xfId="3" applyNumberFormat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9" fontId="0" fillId="0" borderId="45" xfId="2" applyFont="1" applyBorder="1" applyAlignment="1">
      <alignment horizontal="center" vertical="center" wrapText="1"/>
    </xf>
    <xf numFmtId="9" fontId="0" fillId="0" borderId="46" xfId="2" applyFont="1" applyBorder="1" applyAlignment="1">
      <alignment horizontal="center" vertical="center" wrapText="1"/>
    </xf>
    <xf numFmtId="9" fontId="0" fillId="0" borderId="50" xfId="2" applyFont="1" applyBorder="1" applyAlignment="1">
      <alignment horizontal="center" vertical="center" wrapText="1"/>
    </xf>
    <xf numFmtId="9" fontId="0" fillId="0" borderId="51" xfId="2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16" fontId="72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168" fontId="72" fillId="0" borderId="0" xfId="0" applyNumberFormat="1" applyFont="1" applyAlignment="1">
      <alignment horizontal="center" vertical="center"/>
    </xf>
    <xf numFmtId="0" fontId="71" fillId="0" borderId="0" xfId="0" applyFont="1" applyAlignment="1"/>
    <xf numFmtId="0" fontId="50" fillId="0" borderId="0" xfId="0" applyFont="1" applyAlignment="1">
      <alignment horizontal="center" vertical="center"/>
    </xf>
    <xf numFmtId="9" fontId="50" fillId="0" borderId="0" xfId="2" applyFont="1" applyAlignment="1">
      <alignment vertical="center"/>
    </xf>
    <xf numFmtId="10" fontId="50" fillId="0" borderId="0" xfId="0" applyNumberFormat="1" applyFont="1">
      <alignment vertical="center"/>
    </xf>
    <xf numFmtId="0" fontId="50" fillId="0" borderId="3" xfId="0" applyFont="1" applyBorder="1" applyAlignment="1">
      <alignment horizontal="center" vertical="center"/>
    </xf>
    <xf numFmtId="168" fontId="72" fillId="42" borderId="55" xfId="0" applyNumberFormat="1" applyFont="1" applyFill="1" applyBorder="1" applyAlignment="1">
      <alignment horizontal="center" vertical="center"/>
    </xf>
    <xf numFmtId="168" fontId="72" fillId="42" borderId="55" xfId="0" quotePrefix="1" applyNumberFormat="1" applyFont="1" applyFill="1" applyBorder="1" applyAlignment="1">
      <alignment horizontal="center" vertical="center"/>
    </xf>
    <xf numFmtId="168" fontId="72" fillId="49" borderId="55" xfId="0" applyNumberFormat="1" applyFont="1" applyFill="1" applyBorder="1" applyAlignment="1">
      <alignment horizontal="center" vertical="center"/>
    </xf>
    <xf numFmtId="0" fontId="73" fillId="0" borderId="54" xfId="0" applyFont="1" applyBorder="1" applyAlignment="1">
      <alignment horizontal="center" vertical="center"/>
    </xf>
    <xf numFmtId="0" fontId="72" fillId="0" borderId="54" xfId="0" applyFont="1" applyBorder="1" applyAlignment="1">
      <alignment horizontal="center" vertical="center"/>
    </xf>
    <xf numFmtId="0" fontId="50" fillId="0" borderId="0" xfId="0" applyFont="1" applyAlignment="1"/>
    <xf numFmtId="9" fontId="50" fillId="0" borderId="0" xfId="2" applyFont="1" applyAlignment="1">
      <alignment horizontal="center" vertical="center"/>
    </xf>
    <xf numFmtId="0" fontId="54" fillId="0" borderId="0" xfId="0" applyFont="1">
      <alignment vertical="center"/>
    </xf>
    <xf numFmtId="168" fontId="50" fillId="0" borderId="0" xfId="0" applyNumberFormat="1" applyFont="1" applyAlignment="1">
      <alignment horizontal="center" vertical="center"/>
    </xf>
    <xf numFmtId="166" fontId="50" fillId="51" borderId="0" xfId="0" applyNumberFormat="1" applyFont="1" applyFill="1">
      <alignment vertical="center"/>
    </xf>
    <xf numFmtId="168" fontId="50" fillId="51" borderId="0" xfId="0" applyNumberFormat="1" applyFont="1" applyFill="1" applyAlignment="1">
      <alignment horizontal="center" vertical="center"/>
    </xf>
    <xf numFmtId="168" fontId="71" fillId="51" borderId="0" xfId="0" applyNumberFormat="1" applyFont="1" applyFill="1" applyAlignment="1">
      <alignment horizontal="center" vertical="center"/>
    </xf>
    <xf numFmtId="0" fontId="50" fillId="51" borderId="0" xfId="0" applyFont="1" applyFill="1" applyAlignment="1">
      <alignment horizontal="center" vertical="center"/>
    </xf>
    <xf numFmtId="0" fontId="74" fillId="0" borderId="0" xfId="0" applyFont="1" applyAlignment="1"/>
    <xf numFmtId="168" fontId="74" fillId="51" borderId="0" xfId="0" applyNumberFormat="1" applyFont="1" applyFill="1" applyAlignment="1">
      <alignment horizontal="center" vertical="center"/>
    </xf>
    <xf numFmtId="0" fontId="75" fillId="0" borderId="27" xfId="0" quotePrefix="1" applyFont="1" applyBorder="1" applyAlignment="1">
      <alignment horizontal="center" vertical="center"/>
    </xf>
    <xf numFmtId="168" fontId="75" fillId="0" borderId="28" xfId="0" quotePrefix="1" applyNumberFormat="1" applyFont="1" applyBorder="1" applyAlignment="1">
      <alignment horizontal="center" vertical="center"/>
    </xf>
    <xf numFmtId="166" fontId="54" fillId="51" borderId="0" xfId="0" applyNumberFormat="1" applyFont="1" applyFill="1">
      <alignment vertical="center"/>
    </xf>
    <xf numFmtId="166" fontId="71" fillId="51" borderId="0" xfId="0" applyNumberFormat="1" applyFont="1" applyFill="1">
      <alignment vertical="center"/>
    </xf>
    <xf numFmtId="168" fontId="72" fillId="44" borderId="55" xfId="0" applyNumberFormat="1" applyFont="1" applyFill="1" applyBorder="1" applyAlignment="1">
      <alignment horizontal="center" vertical="center"/>
    </xf>
    <xf numFmtId="168" fontId="72" fillId="44" borderId="55" xfId="0" quotePrefix="1" applyNumberFormat="1" applyFont="1" applyFill="1" applyBorder="1" applyAlignment="1">
      <alignment horizontal="center" vertical="center"/>
    </xf>
    <xf numFmtId="168" fontId="76" fillId="48" borderId="56" xfId="0" applyNumberFormat="1" applyFont="1" applyFill="1" applyBorder="1" applyAlignment="1">
      <alignment horizontal="center" vertical="center"/>
    </xf>
    <xf numFmtId="168" fontId="76" fillId="52" borderId="56" xfId="0" applyNumberFormat="1" applyFont="1" applyFill="1" applyBorder="1" applyAlignment="1">
      <alignment horizontal="center" vertical="center"/>
    </xf>
    <xf numFmtId="0" fontId="50" fillId="51" borderId="0" xfId="0" applyFont="1" applyFill="1">
      <alignment vertical="center"/>
    </xf>
    <xf numFmtId="166" fontId="72" fillId="49" borderId="55" xfId="0" applyNumberFormat="1" applyFont="1" applyFill="1" applyBorder="1" applyAlignment="1">
      <alignment horizontal="center" vertical="center"/>
    </xf>
    <xf numFmtId="166" fontId="72" fillId="49" borderId="57" xfId="0" applyNumberFormat="1" applyFont="1" applyFill="1" applyBorder="1" applyAlignment="1">
      <alignment horizontal="center" vertical="center"/>
    </xf>
    <xf numFmtId="166" fontId="72" fillId="42" borderId="55" xfId="0" applyNumberFormat="1" applyFont="1" applyFill="1" applyBorder="1" applyAlignment="1">
      <alignment horizontal="center" vertical="center"/>
    </xf>
    <xf numFmtId="166" fontId="76" fillId="48" borderId="56" xfId="0" applyNumberFormat="1" applyFont="1" applyFill="1" applyBorder="1" applyAlignment="1">
      <alignment horizontal="center" vertical="center"/>
    </xf>
    <xf numFmtId="166" fontId="72" fillId="44" borderId="55" xfId="0" applyNumberFormat="1" applyFont="1" applyFill="1" applyBorder="1" applyAlignment="1">
      <alignment horizontal="center" vertical="center"/>
    </xf>
    <xf numFmtId="166" fontId="76" fillId="52" borderId="56" xfId="0" applyNumberFormat="1" applyFont="1" applyFill="1" applyBorder="1" applyAlignment="1">
      <alignment horizontal="center" vertical="center"/>
    </xf>
    <xf numFmtId="166" fontId="72" fillId="42" borderId="57" xfId="0" applyNumberFormat="1" applyFont="1" applyFill="1" applyBorder="1" applyAlignment="1">
      <alignment horizontal="center" vertical="center"/>
    </xf>
    <xf numFmtId="166" fontId="76" fillId="48" borderId="36" xfId="0" applyNumberFormat="1" applyFont="1" applyFill="1" applyBorder="1" applyAlignment="1">
      <alignment horizontal="center" vertical="center"/>
    </xf>
    <xf numFmtId="166" fontId="72" fillId="44" borderId="57" xfId="0" applyNumberFormat="1" applyFont="1" applyFill="1" applyBorder="1" applyAlignment="1">
      <alignment horizontal="center" vertical="center"/>
    </xf>
    <xf numFmtId="166" fontId="76" fillId="52" borderId="36" xfId="0" applyNumberFormat="1" applyFont="1" applyFill="1" applyBorder="1" applyAlignment="1">
      <alignment horizontal="center" vertical="center"/>
    </xf>
    <xf numFmtId="168" fontId="77" fillId="50" borderId="56" xfId="0" applyNumberFormat="1" applyFont="1" applyFill="1" applyBorder="1" applyAlignment="1">
      <alignment horizontal="center" vertical="center"/>
    </xf>
    <xf numFmtId="166" fontId="77" fillId="50" borderId="56" xfId="0" applyNumberFormat="1" applyFont="1" applyFill="1" applyBorder="1" applyAlignment="1">
      <alignment horizontal="center" vertical="center"/>
    </xf>
    <xf numFmtId="166" fontId="77" fillId="50" borderId="36" xfId="0" applyNumberFormat="1" applyFont="1" applyFill="1" applyBorder="1" applyAlignment="1">
      <alignment horizontal="center" vertical="center"/>
    </xf>
    <xf numFmtId="0" fontId="78" fillId="0" borderId="0" xfId="73" applyFont="1"/>
    <xf numFmtId="10" fontId="54" fillId="0" borderId="0" xfId="0" applyNumberFormat="1" applyFont="1">
      <alignment vertical="center"/>
    </xf>
    <xf numFmtId="9" fontId="54" fillId="51" borderId="0" xfId="2" applyFont="1" applyFill="1" applyAlignment="1">
      <alignment vertical="center"/>
    </xf>
    <xf numFmtId="0" fontId="50" fillId="0" borderId="0" xfId="0" applyFont="1" applyAlignment="1">
      <alignment horizontal="left" vertical="center"/>
    </xf>
    <xf numFmtId="9" fontId="0" fillId="51" borderId="1" xfId="2" applyFont="1" applyFill="1" applyBorder="1" applyAlignment="1">
      <alignment vertical="center"/>
    </xf>
    <xf numFmtId="167" fontId="0" fillId="51" borderId="1" xfId="3" applyNumberFormat="1" applyFont="1" applyFill="1" applyBorder="1" applyAlignment="1">
      <alignment vertical="center"/>
    </xf>
    <xf numFmtId="168" fontId="0" fillId="51" borderId="1" xfId="0" applyNumberFormat="1" applyFill="1" applyBorder="1">
      <alignment vertical="center"/>
    </xf>
    <xf numFmtId="9" fontId="71" fillId="0" borderId="0" xfId="2" applyFont="1" applyAlignment="1">
      <alignment vertical="center"/>
    </xf>
    <xf numFmtId="0" fontId="54" fillId="0" borderId="54" xfId="0" applyFont="1" applyBorder="1" applyAlignment="1">
      <alignment horizontal="left" vertical="center"/>
    </xf>
    <xf numFmtId="167" fontId="0" fillId="51" borderId="0" xfId="3" applyNumberFormat="1" applyFont="1" applyFill="1" applyAlignment="1">
      <alignment vertical="center"/>
    </xf>
    <xf numFmtId="10" fontId="0" fillId="0" borderId="0" xfId="2" applyNumberFormat="1" applyFont="1" applyAlignment="1">
      <alignment horizontal="center" vertical="center"/>
    </xf>
    <xf numFmtId="0" fontId="46" fillId="0" borderId="30" xfId="0" applyFont="1" applyBorder="1">
      <alignment vertical="center"/>
    </xf>
    <xf numFmtId="0" fontId="46" fillId="38" borderId="59" xfId="0" applyFont="1" applyFill="1" applyBorder="1" applyAlignment="1">
      <alignment horizontal="center" vertical="center"/>
    </xf>
    <xf numFmtId="0" fontId="46" fillId="0" borderId="48" xfId="0" applyFont="1" applyBorder="1">
      <alignment vertical="center"/>
    </xf>
    <xf numFmtId="167" fontId="0" fillId="34" borderId="60" xfId="3" applyNumberFormat="1" applyFont="1" applyFill="1" applyBorder="1" applyAlignment="1">
      <alignment horizontal="center" vertical="center"/>
    </xf>
    <xf numFmtId="167" fontId="0" fillId="0" borderId="60" xfId="3" applyNumberFormat="1" applyFont="1" applyBorder="1" applyAlignment="1">
      <alignment horizontal="center" vertical="center"/>
    </xf>
    <xf numFmtId="0" fontId="52" fillId="0" borderId="60" xfId="0" applyFont="1" applyBorder="1" applyAlignment="1">
      <alignment horizontal="center" vertical="center"/>
    </xf>
    <xf numFmtId="0" fontId="0" fillId="38" borderId="60" xfId="0" applyFill="1" applyBorder="1" applyAlignment="1">
      <alignment horizontal="center" vertical="center"/>
    </xf>
    <xf numFmtId="10" fontId="0" fillId="0" borderId="60" xfId="2" applyNumberFormat="1" applyFont="1" applyBorder="1" applyAlignment="1">
      <alignment horizontal="center" vertical="center"/>
    </xf>
    <xf numFmtId="0" fontId="46" fillId="38" borderId="49" xfId="0" applyFont="1" applyFill="1" applyBorder="1" applyAlignment="1">
      <alignment horizontal="center" vertical="center"/>
    </xf>
    <xf numFmtId="167" fontId="46" fillId="34" borderId="60" xfId="3" applyNumberFormat="1" applyFont="1" applyFill="1" applyBorder="1" applyAlignment="1">
      <alignment horizontal="center" vertical="center"/>
    </xf>
    <xf numFmtId="167" fontId="46" fillId="0" borderId="60" xfId="3" applyNumberFormat="1" applyFont="1" applyBorder="1" applyAlignment="1">
      <alignment horizontal="center" vertical="center"/>
    </xf>
    <xf numFmtId="167" fontId="48" fillId="0" borderId="60" xfId="3" applyNumberFormat="1" applyFont="1" applyBorder="1" applyAlignment="1">
      <alignment horizontal="center" vertical="center"/>
    </xf>
    <xf numFmtId="0" fontId="46" fillId="38" borderId="60" xfId="0" applyFont="1" applyFill="1" applyBorder="1" applyAlignment="1">
      <alignment horizontal="center" vertical="center"/>
    </xf>
    <xf numFmtId="167" fontId="47" fillId="0" borderId="60" xfId="3" applyNumberFormat="1" applyFont="1" applyBorder="1" applyAlignment="1">
      <alignment horizontal="center" vertical="center"/>
    </xf>
    <xf numFmtId="10" fontId="46" fillId="0" borderId="60" xfId="2" applyNumberFormat="1" applyFont="1" applyBorder="1" applyAlignment="1">
      <alignment horizontal="center" vertical="center"/>
    </xf>
    <xf numFmtId="0" fontId="46" fillId="38" borderId="63" xfId="0" applyFont="1" applyFill="1" applyBorder="1" applyAlignment="1">
      <alignment horizontal="center" vertical="center"/>
    </xf>
    <xf numFmtId="0" fontId="46" fillId="38" borderId="66" xfId="0" applyFont="1" applyFill="1" applyBorder="1" applyAlignment="1">
      <alignment horizontal="center" vertical="center"/>
    </xf>
    <xf numFmtId="167" fontId="51" fillId="0" borderId="60" xfId="3" applyNumberFormat="1" applyFont="1" applyBorder="1" applyAlignment="1">
      <alignment horizontal="center" vertical="center"/>
    </xf>
    <xf numFmtId="0" fontId="51" fillId="38" borderId="60" xfId="0" applyFont="1" applyFill="1" applyBorder="1" applyAlignment="1">
      <alignment horizontal="center" vertical="center"/>
    </xf>
    <xf numFmtId="0" fontId="47" fillId="0" borderId="60" xfId="0" applyFont="1" applyBorder="1" applyAlignment="1">
      <alignment horizontal="center" vertical="center"/>
    </xf>
    <xf numFmtId="0" fontId="51" fillId="38" borderId="49" xfId="0" applyFont="1" applyFill="1" applyBorder="1" applyAlignment="1">
      <alignment horizontal="center" vertical="center"/>
    </xf>
    <xf numFmtId="0" fontId="51" fillId="38" borderId="63" xfId="0" applyFont="1" applyFill="1" applyBorder="1" applyAlignment="1">
      <alignment horizontal="center" vertical="center"/>
    </xf>
    <xf numFmtId="9" fontId="46" fillId="38" borderId="59" xfId="2" applyFont="1" applyFill="1" applyBorder="1" applyAlignment="1">
      <alignment horizontal="center" vertical="center"/>
    </xf>
    <xf numFmtId="0" fontId="46" fillId="0" borderId="60" xfId="0" applyFont="1" applyBorder="1" applyAlignment="1">
      <alignment horizontal="center" vertical="center"/>
    </xf>
    <xf numFmtId="9" fontId="46" fillId="38" borderId="60" xfId="2" applyFont="1" applyFill="1" applyBorder="1" applyAlignment="1">
      <alignment horizontal="center" vertical="center"/>
    </xf>
    <xf numFmtId="10" fontId="46" fillId="38" borderId="59" xfId="2" applyNumberFormat="1" applyFont="1" applyFill="1" applyBorder="1" applyAlignment="1">
      <alignment horizontal="center" vertical="center"/>
    </xf>
    <xf numFmtId="167" fontId="46" fillId="0" borderId="60" xfId="3" applyNumberFormat="1" applyFont="1" applyBorder="1" applyAlignment="1">
      <alignment vertical="center"/>
    </xf>
    <xf numFmtId="10" fontId="46" fillId="38" borderId="60" xfId="2" applyNumberFormat="1" applyFont="1" applyFill="1" applyBorder="1" applyAlignment="1">
      <alignment horizontal="center" vertical="center"/>
    </xf>
    <xf numFmtId="167" fontId="46" fillId="38" borderId="49" xfId="3" applyNumberFormat="1" applyFont="1" applyFill="1" applyBorder="1" applyAlignment="1">
      <alignment horizontal="center" vertical="center"/>
    </xf>
    <xf numFmtId="0" fontId="46" fillId="39" borderId="60" xfId="0" applyFont="1" applyFill="1" applyBorder="1" applyAlignment="1">
      <alignment horizontal="center" vertical="center"/>
    </xf>
    <xf numFmtId="167" fontId="46" fillId="38" borderId="60" xfId="3" applyNumberFormat="1" applyFont="1" applyFill="1" applyBorder="1" applyAlignment="1">
      <alignment horizontal="center" vertical="center" wrapText="1"/>
    </xf>
    <xf numFmtId="0" fontId="46" fillId="38" borderId="59" xfId="0" applyFont="1" applyFill="1" applyBorder="1" applyAlignment="1">
      <alignment horizontal="center" vertical="center" wrapText="1"/>
    </xf>
    <xf numFmtId="0" fontId="46" fillId="38" borderId="60" xfId="0" applyFont="1" applyFill="1" applyBorder="1" applyAlignment="1">
      <alignment horizontal="center" vertical="center" wrapText="1"/>
    </xf>
    <xf numFmtId="167" fontId="48" fillId="38" borderId="49" xfId="3" applyNumberFormat="1" applyFont="1" applyFill="1" applyBorder="1" applyAlignment="1">
      <alignment horizontal="center" vertical="center"/>
    </xf>
    <xf numFmtId="166" fontId="48" fillId="0" borderId="59" xfId="3" applyNumberFormat="1" applyFont="1" applyBorder="1" applyAlignment="1">
      <alignment horizontal="center" vertical="center"/>
    </xf>
    <xf numFmtId="166" fontId="48" fillId="0" borderId="49" xfId="3" applyNumberFormat="1" applyFont="1" applyBorder="1" applyAlignment="1">
      <alignment horizontal="center" vertical="center"/>
    </xf>
    <xf numFmtId="0" fontId="46" fillId="0" borderId="4" xfId="0" applyFont="1" applyBorder="1">
      <alignment vertical="center"/>
    </xf>
    <xf numFmtId="0" fontId="46" fillId="0" borderId="9" xfId="0" applyFont="1" applyBorder="1">
      <alignment vertical="center"/>
    </xf>
    <xf numFmtId="167" fontId="46" fillId="0" borderId="10" xfId="3" applyNumberFormat="1" applyFont="1" applyBorder="1" applyAlignment="1">
      <alignment horizontal="center" vertical="center"/>
    </xf>
    <xf numFmtId="168" fontId="53" fillId="35" borderId="1" xfId="74" applyNumberFormat="1" applyFont="1" applyFill="1" applyBorder="1"/>
    <xf numFmtId="168" fontId="39" fillId="53" borderId="1" xfId="73" applyNumberFormat="1" applyFont="1" applyFill="1" applyBorder="1"/>
    <xf numFmtId="0" fontId="0" fillId="0" borderId="6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8" fontId="50" fillId="54" borderId="0" xfId="0" applyNumberFormat="1" applyFont="1" applyFill="1" applyAlignment="1">
      <alignment horizontal="center" vertical="center"/>
    </xf>
    <xf numFmtId="0" fontId="50" fillId="54" borderId="0" xfId="0" applyFont="1" applyFill="1">
      <alignment vertical="center"/>
    </xf>
    <xf numFmtId="166" fontId="54" fillId="54" borderId="0" xfId="0" applyNumberFormat="1" applyFont="1" applyFill="1">
      <alignment vertical="center"/>
    </xf>
    <xf numFmtId="166" fontId="50" fillId="54" borderId="0" xfId="0" applyNumberFormat="1" applyFont="1" applyFill="1">
      <alignment vertical="center"/>
    </xf>
    <xf numFmtId="167" fontId="0" fillId="54" borderId="1" xfId="3" applyNumberFormat="1" applyFont="1" applyFill="1" applyBorder="1" applyAlignment="1">
      <alignment vertical="center"/>
    </xf>
    <xf numFmtId="0" fontId="46" fillId="38" borderId="30" xfId="0" applyFont="1" applyFill="1" applyBorder="1" applyAlignment="1">
      <alignment horizontal="center" vertical="center"/>
    </xf>
    <xf numFmtId="0" fontId="46" fillId="38" borderId="70" xfId="0" applyFont="1" applyFill="1" applyBorder="1" applyAlignment="1">
      <alignment horizontal="center" vertical="center"/>
    </xf>
    <xf numFmtId="0" fontId="46" fillId="38" borderId="72" xfId="0" applyFont="1" applyFill="1" applyBorder="1" applyAlignment="1">
      <alignment horizontal="center" vertical="center"/>
    </xf>
    <xf numFmtId="0" fontId="46" fillId="38" borderId="71" xfId="0" applyFont="1" applyFill="1" applyBorder="1" applyAlignment="1">
      <alignment horizontal="center" vertical="center"/>
    </xf>
    <xf numFmtId="0" fontId="85" fillId="37" borderId="0" xfId="0" applyFont="1" applyFill="1">
      <alignment vertical="center"/>
    </xf>
    <xf numFmtId="0" fontId="46" fillId="38" borderId="73" xfId="0" applyFont="1" applyFill="1" applyBorder="1" applyAlignment="1">
      <alignment horizontal="center" vertical="center"/>
    </xf>
    <xf numFmtId="0" fontId="46" fillId="38" borderId="7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9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48" borderId="1" xfId="0" applyNumberFormat="1" applyFill="1" applyBorder="1" applyAlignment="1">
      <alignment horizontal="center" vertical="center"/>
    </xf>
    <xf numFmtId="167" fontId="0" fillId="0" borderId="1" xfId="3" applyNumberFormat="1" applyFont="1" applyFill="1" applyBorder="1" applyAlignment="1">
      <alignment horizontal="center" vertical="center"/>
    </xf>
    <xf numFmtId="168" fontId="0" fillId="51" borderId="0" xfId="1" applyNumberFormat="1" applyFont="1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51" fillId="38" borderId="25" xfId="0" applyFont="1" applyFill="1" applyBorder="1" applyAlignment="1">
      <alignment horizontal="center" vertical="center" wrapText="1"/>
    </xf>
    <xf numFmtId="3" fontId="46" fillId="38" borderId="30" xfId="0" applyNumberFormat="1" applyFont="1" applyFill="1" applyBorder="1" applyAlignment="1">
      <alignment horizontal="center" vertical="center" wrapText="1"/>
    </xf>
    <xf numFmtId="3" fontId="46" fillId="38" borderId="25" xfId="0" applyNumberFormat="1" applyFont="1" applyFill="1" applyBorder="1" applyAlignment="1">
      <alignment horizontal="center" vertical="center" wrapText="1"/>
    </xf>
    <xf numFmtId="0" fontId="46" fillId="40" borderId="1" xfId="0" applyFont="1" applyFill="1" applyBorder="1" applyAlignment="1">
      <alignment horizontal="center" vertical="center" wrapText="1"/>
    </xf>
    <xf numFmtId="0" fontId="46" fillId="38" borderId="0" xfId="0" applyFont="1" applyFill="1" applyAlignment="1">
      <alignment horizontal="center" vertical="center"/>
    </xf>
    <xf numFmtId="0" fontId="51" fillId="38" borderId="2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4" fillId="0" borderId="50" xfId="0" applyFont="1" applyBorder="1" applyAlignment="1">
      <alignment horizontal="center" vertical="center" wrapText="1"/>
    </xf>
    <xf numFmtId="0" fontId="54" fillId="0" borderId="77" xfId="0" applyFont="1" applyBorder="1" applyAlignment="1">
      <alignment horizontal="center" vertical="center" wrapText="1"/>
    </xf>
    <xf numFmtId="0" fontId="54" fillId="0" borderId="78" xfId="0" applyFont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54" fillId="0" borderId="57" xfId="0" applyFont="1" applyBorder="1" applyAlignment="1">
      <alignment horizontal="center" vertical="center" wrapText="1"/>
    </xf>
    <xf numFmtId="172" fontId="0" fillId="0" borderId="26" xfId="0" applyNumberFormat="1" applyBorder="1" applyAlignment="1"/>
    <xf numFmtId="166" fontId="0" fillId="0" borderId="8" xfId="0" applyNumberFormat="1" applyBorder="1">
      <alignment vertical="center"/>
    </xf>
    <xf numFmtId="172" fontId="0" fillId="0" borderId="1" xfId="0" applyNumberFormat="1" applyBorder="1" applyAlignment="1"/>
    <xf numFmtId="166" fontId="0" fillId="0" borderId="7" xfId="1" applyNumberFormat="1" applyFont="1" applyBorder="1" applyAlignment="1">
      <alignment vertical="center"/>
    </xf>
    <xf numFmtId="170" fontId="50" fillId="0" borderId="0" xfId="2" applyNumberFormat="1" applyFont="1" applyAlignment="1">
      <alignment vertical="center"/>
    </xf>
    <xf numFmtId="0" fontId="54" fillId="0" borderId="0" xfId="0" applyFont="1" applyAlignment="1">
      <alignment horizontal="center" vertical="center"/>
    </xf>
    <xf numFmtId="10" fontId="0" fillId="0" borderId="0" xfId="2" applyNumberFormat="1" applyFont="1" applyAlignment="1">
      <alignment vertical="center"/>
    </xf>
    <xf numFmtId="166" fontId="0" fillId="0" borderId="0" xfId="0" applyNumberFormat="1" applyAlignment="1">
      <alignment horizontal="center" vertical="center"/>
    </xf>
    <xf numFmtId="167" fontId="48" fillId="0" borderId="59" xfId="3" applyNumberFormat="1" applyFont="1" applyBorder="1" applyAlignment="1">
      <alignment horizontal="center" vertical="center"/>
    </xf>
    <xf numFmtId="167" fontId="48" fillId="0" borderId="28" xfId="3" applyNumberFormat="1" applyFont="1" applyBorder="1" applyAlignment="1">
      <alignment horizontal="center" vertical="center"/>
    </xf>
    <xf numFmtId="167" fontId="48" fillId="0" borderId="76" xfId="3" applyNumberFormat="1" applyFont="1" applyBorder="1" applyAlignment="1">
      <alignment horizontal="center" vertical="center"/>
    </xf>
    <xf numFmtId="0" fontId="0" fillId="0" borderId="79" xfId="0" applyBorder="1">
      <alignment vertical="center"/>
    </xf>
    <xf numFmtId="0" fontId="46" fillId="38" borderId="30" xfId="0" applyFont="1" applyFill="1" applyBorder="1" applyAlignment="1">
      <alignment horizontal="center" vertical="center" wrapText="1"/>
    </xf>
    <xf numFmtId="0" fontId="49" fillId="0" borderId="0" xfId="0" quotePrefix="1" applyFont="1">
      <alignment vertical="center"/>
    </xf>
    <xf numFmtId="0" fontId="49" fillId="0" borderId="0" xfId="0" applyFont="1">
      <alignment vertical="center"/>
    </xf>
    <xf numFmtId="167" fontId="46" fillId="0" borderId="1" xfId="3" applyNumberFormat="1" applyFont="1" applyBorder="1" applyAlignment="1">
      <alignment vertical="center"/>
    </xf>
    <xf numFmtId="0" fontId="88" fillId="0" borderId="1" xfId="0" applyFont="1" applyBorder="1" applyAlignment="1">
      <alignment horizontal="center" vertical="center" wrapText="1"/>
    </xf>
    <xf numFmtId="0" fontId="87" fillId="0" borderId="0" xfId="0" applyFont="1">
      <alignment vertical="center"/>
    </xf>
    <xf numFmtId="1" fontId="46" fillId="38" borderId="67" xfId="0" applyNumberFormat="1" applyFont="1" applyFill="1" applyBorder="1" applyAlignment="1">
      <alignment horizontal="center" vertical="center"/>
    </xf>
    <xf numFmtId="1" fontId="46" fillId="38" borderId="68" xfId="0" applyNumberFormat="1" applyFont="1" applyFill="1" applyBorder="1" applyAlignment="1">
      <alignment horizontal="center" vertical="center"/>
    </xf>
    <xf numFmtId="0" fontId="49" fillId="0" borderId="79" xfId="0" quotePrefix="1" applyFont="1" applyBorder="1">
      <alignment vertical="center"/>
    </xf>
    <xf numFmtId="0" fontId="46" fillId="0" borderId="76" xfId="0" applyFont="1" applyBorder="1">
      <alignment vertical="center"/>
    </xf>
    <xf numFmtId="0" fontId="0" fillId="40" borderId="0" xfId="0" applyFill="1">
      <alignment vertical="center"/>
    </xf>
    <xf numFmtId="167" fontId="0" fillId="40" borderId="0" xfId="3" applyNumberFormat="1" applyFont="1" applyFill="1" applyAlignment="1">
      <alignment vertical="center"/>
    </xf>
    <xf numFmtId="0" fontId="35" fillId="40" borderId="0" xfId="0" applyFont="1" applyFill="1">
      <alignment vertical="center"/>
    </xf>
    <xf numFmtId="0" fontId="46" fillId="38" borderId="80" xfId="0" applyFont="1" applyFill="1" applyBorder="1" applyAlignment="1">
      <alignment horizontal="center" vertical="center"/>
    </xf>
    <xf numFmtId="170" fontId="0" fillId="0" borderId="0" xfId="2" applyNumberFormat="1" applyFont="1" applyAlignment="1">
      <alignment vertical="center"/>
    </xf>
    <xf numFmtId="167" fontId="46" fillId="38" borderId="25" xfId="0" applyNumberFormat="1" applyFont="1" applyFill="1" applyBorder="1" applyAlignment="1">
      <alignment horizontal="center" vertical="center"/>
    </xf>
    <xf numFmtId="10" fontId="46" fillId="38" borderId="25" xfId="0" applyNumberFormat="1" applyFont="1" applyFill="1" applyBorder="1" applyAlignment="1">
      <alignment horizontal="center" vertical="center" wrapText="1"/>
    </xf>
    <xf numFmtId="0" fontId="0" fillId="38" borderId="74" xfId="0" applyFill="1" applyBorder="1" applyAlignment="1">
      <alignment horizontal="center" vertical="center"/>
    </xf>
    <xf numFmtId="9" fontId="46" fillId="38" borderId="30" xfId="0" applyNumberFormat="1" applyFont="1" applyFill="1" applyBorder="1" applyAlignment="1">
      <alignment horizontal="center" vertical="center" wrapText="1"/>
    </xf>
    <xf numFmtId="10" fontId="46" fillId="38" borderId="30" xfId="0" applyNumberFormat="1" applyFont="1" applyFill="1" applyBorder="1" applyAlignment="1">
      <alignment horizontal="center" vertical="center" wrapText="1"/>
    </xf>
    <xf numFmtId="0" fontId="51" fillId="38" borderId="74" xfId="0" applyFont="1" applyFill="1" applyBorder="1" applyAlignment="1">
      <alignment horizontal="center" vertical="center"/>
    </xf>
    <xf numFmtId="9" fontId="46" fillId="38" borderId="30" xfId="2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55" fillId="0" borderId="80" xfId="0" applyFont="1" applyBorder="1" applyAlignment="1">
      <alignment horizontal="center" vertical="center" wrapText="1"/>
    </xf>
    <xf numFmtId="10" fontId="46" fillId="38" borderId="80" xfId="2" applyNumberFormat="1" applyFont="1" applyFill="1" applyBorder="1" applyAlignment="1">
      <alignment horizontal="center" vertical="center"/>
    </xf>
    <xf numFmtId="0" fontId="51" fillId="38" borderId="80" xfId="0" applyFont="1" applyFill="1" applyBorder="1" applyAlignment="1">
      <alignment horizontal="center" vertical="center"/>
    </xf>
    <xf numFmtId="0" fontId="0" fillId="47" borderId="1" xfId="0" applyFill="1" applyBorder="1">
      <alignment vertical="center"/>
    </xf>
    <xf numFmtId="1" fontId="46" fillId="56" borderId="68" xfId="0" applyNumberFormat="1" applyFont="1" applyFill="1" applyBorder="1" applyAlignment="1">
      <alignment horizontal="center" vertical="center"/>
    </xf>
    <xf numFmtId="9" fontId="46" fillId="38" borderId="25" xfId="2" applyFont="1" applyFill="1" applyBorder="1" applyAlignment="1">
      <alignment horizontal="center" vertical="center" wrapText="1"/>
    </xf>
    <xf numFmtId="10" fontId="46" fillId="47" borderId="30" xfId="2" applyNumberFormat="1" applyFont="1" applyFill="1" applyBorder="1" applyAlignment="1">
      <alignment horizontal="center" vertical="center"/>
    </xf>
    <xf numFmtId="10" fontId="46" fillId="47" borderId="25" xfId="2" applyNumberFormat="1" applyFont="1" applyFill="1" applyBorder="1" applyAlignment="1">
      <alignment horizontal="center" vertical="center"/>
    </xf>
    <xf numFmtId="10" fontId="51" fillId="47" borderId="25" xfId="2" applyNumberFormat="1" applyFont="1" applyFill="1" applyBorder="1" applyAlignment="1">
      <alignment horizontal="center" vertical="center"/>
    </xf>
    <xf numFmtId="167" fontId="46" fillId="0" borderId="30" xfId="3" applyNumberFormat="1" applyFont="1" applyBorder="1" applyAlignment="1">
      <alignment horizontal="center" vertical="center"/>
    </xf>
    <xf numFmtId="167" fontId="46" fillId="0" borderId="26" xfId="3" applyNumberFormat="1" applyFont="1" applyBorder="1" applyAlignment="1">
      <alignment horizontal="center" vertical="center"/>
    </xf>
    <xf numFmtId="1" fontId="46" fillId="0" borderId="30" xfId="0" applyNumberFormat="1" applyFont="1" applyBorder="1">
      <alignment vertical="center"/>
    </xf>
    <xf numFmtId="167" fontId="46" fillId="34" borderId="30" xfId="3" applyNumberFormat="1" applyFont="1" applyFill="1" applyBorder="1" applyAlignment="1">
      <alignment horizontal="center" vertical="center"/>
    </xf>
    <xf numFmtId="0" fontId="46" fillId="0" borderId="80" xfId="0" applyFont="1" applyBorder="1">
      <alignment vertical="center"/>
    </xf>
    <xf numFmtId="167" fontId="46" fillId="34" borderId="26" xfId="3" applyNumberFormat="1" applyFont="1" applyFill="1" applyBorder="1" applyAlignment="1">
      <alignment horizontal="center" vertical="center"/>
    </xf>
    <xf numFmtId="1" fontId="46" fillId="0" borderId="25" xfId="0" applyNumberFormat="1" applyFont="1" applyBorder="1">
      <alignment vertical="center"/>
    </xf>
    <xf numFmtId="167" fontId="46" fillId="34" borderId="25" xfId="3" applyNumberFormat="1" applyFont="1" applyFill="1" applyBorder="1" applyAlignment="1">
      <alignment horizontal="center" vertical="center"/>
    </xf>
    <xf numFmtId="10" fontId="46" fillId="0" borderId="30" xfId="2" applyNumberFormat="1" applyFont="1" applyBorder="1" applyAlignment="1">
      <alignment horizontal="center" vertical="center"/>
    </xf>
    <xf numFmtId="10" fontId="46" fillId="0" borderId="70" xfId="2" applyNumberFormat="1" applyFont="1" applyBorder="1" applyAlignment="1">
      <alignment horizontal="center" vertical="center"/>
    </xf>
    <xf numFmtId="10" fontId="46" fillId="47" borderId="30" xfId="2" applyNumberFormat="1" applyFont="1" applyFill="1" applyBorder="1" applyAlignment="1">
      <alignment horizontal="center" vertical="center" wrapText="1"/>
    </xf>
    <xf numFmtId="10" fontId="46" fillId="47" borderId="25" xfId="2" applyNumberFormat="1" applyFont="1" applyFill="1" applyBorder="1" applyAlignment="1">
      <alignment horizontal="center" vertical="center" wrapText="1"/>
    </xf>
    <xf numFmtId="167" fontId="0" fillId="34" borderId="30" xfId="3" applyNumberFormat="1" applyFont="1" applyFill="1" applyBorder="1" applyAlignment="1">
      <alignment horizontal="center" vertical="center"/>
    </xf>
    <xf numFmtId="167" fontId="0" fillId="0" borderId="30" xfId="3" applyNumberFormat="1" applyFont="1" applyBorder="1" applyAlignment="1">
      <alignment horizontal="center" vertical="center"/>
    </xf>
    <xf numFmtId="0" fontId="0" fillId="38" borderId="30" xfId="0" applyFill="1" applyBorder="1" applyAlignment="1">
      <alignment horizontal="center" vertical="center"/>
    </xf>
    <xf numFmtId="0" fontId="52" fillId="0" borderId="59" xfId="0" applyFont="1" applyBorder="1" applyAlignment="1">
      <alignment horizontal="center" vertical="center"/>
    </xf>
    <xf numFmtId="10" fontId="0" fillId="0" borderId="30" xfId="2" applyNumberFormat="1" applyFont="1" applyBorder="1" applyAlignment="1">
      <alignment horizontal="center" vertical="center"/>
    </xf>
    <xf numFmtId="9" fontId="0" fillId="38" borderId="30" xfId="0" applyNumberFormat="1" applyFill="1" applyBorder="1" applyAlignment="1">
      <alignment horizontal="center" vertical="center"/>
    </xf>
    <xf numFmtId="167" fontId="48" fillId="0" borderId="70" xfId="3" applyNumberFormat="1" applyFont="1" applyBorder="1" applyAlignment="1">
      <alignment horizontal="center" vertical="center"/>
    </xf>
    <xf numFmtId="0" fontId="0" fillId="38" borderId="80" xfId="0" applyFill="1" applyBorder="1" applyAlignment="1">
      <alignment horizontal="center" vertical="center"/>
    </xf>
    <xf numFmtId="167" fontId="0" fillId="34" borderId="25" xfId="3" applyNumberFormat="1" applyFont="1" applyFill="1" applyBorder="1" applyAlignment="1">
      <alignment horizontal="center" vertical="center"/>
    </xf>
    <xf numFmtId="167" fontId="0" fillId="0" borderId="25" xfId="3" applyNumberFormat="1" applyFont="1" applyBorder="1" applyAlignment="1">
      <alignment horizontal="center" vertical="center"/>
    </xf>
    <xf numFmtId="10" fontId="0" fillId="0" borderId="25" xfId="2" applyNumberFormat="1" applyFont="1" applyBorder="1" applyAlignment="1">
      <alignment horizontal="center" vertical="center"/>
    </xf>
    <xf numFmtId="9" fontId="0" fillId="38" borderId="25" xfId="0" applyNumberFormat="1" applyFill="1" applyBorder="1" applyAlignment="1">
      <alignment horizontal="center" vertical="center"/>
    </xf>
    <xf numFmtId="167" fontId="47" fillId="0" borderId="59" xfId="3" applyNumberFormat="1" applyFont="1" applyBorder="1" applyAlignment="1">
      <alignment horizontal="center" vertical="center"/>
    </xf>
    <xf numFmtId="0" fontId="46" fillId="0" borderId="25" xfId="0" applyFont="1" applyBorder="1">
      <alignment vertical="center"/>
    </xf>
    <xf numFmtId="9" fontId="46" fillId="38" borderId="25" xfId="0" applyNumberFormat="1" applyFont="1" applyFill="1" applyBorder="1" applyAlignment="1">
      <alignment horizontal="center" vertical="center" wrapText="1"/>
    </xf>
    <xf numFmtId="0" fontId="47" fillId="0" borderId="59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59" xfId="0" applyFont="1" applyBorder="1" applyAlignment="1">
      <alignment horizontal="center" vertical="center"/>
    </xf>
    <xf numFmtId="167" fontId="46" fillId="0" borderId="59" xfId="3" applyNumberFormat="1" applyFont="1" applyBorder="1" applyAlignment="1">
      <alignment horizontal="center" vertical="center"/>
    </xf>
    <xf numFmtId="0" fontId="46" fillId="0" borderId="70" xfId="0" applyFont="1" applyBorder="1" applyAlignment="1">
      <alignment horizontal="center" vertical="center"/>
    </xf>
    <xf numFmtId="167" fontId="46" fillId="0" borderId="70" xfId="3" applyNumberFormat="1" applyFont="1" applyBorder="1" applyAlignment="1">
      <alignment horizontal="center" vertical="center"/>
    </xf>
    <xf numFmtId="9" fontId="46" fillId="38" borderId="80" xfId="2" applyFont="1" applyFill="1" applyBorder="1" applyAlignment="1">
      <alignment horizontal="center" vertical="center"/>
    </xf>
    <xf numFmtId="0" fontId="46" fillId="39" borderId="30" xfId="0" applyFont="1" applyFill="1" applyBorder="1" applyAlignment="1">
      <alignment horizontal="center" vertical="center"/>
    </xf>
    <xf numFmtId="167" fontId="46" fillId="38" borderId="80" xfId="3" applyNumberFormat="1" applyFont="1" applyFill="1" applyBorder="1" applyAlignment="1">
      <alignment horizontal="center" vertical="center" wrapText="1"/>
    </xf>
    <xf numFmtId="167" fontId="46" fillId="38" borderId="80" xfId="3" applyNumberFormat="1" applyFont="1" applyFill="1" applyBorder="1" applyAlignment="1">
      <alignment horizontal="center" vertical="center"/>
    </xf>
    <xf numFmtId="167" fontId="46" fillId="0" borderId="30" xfId="0" applyNumberFormat="1" applyFont="1" applyBorder="1">
      <alignment vertical="center"/>
    </xf>
    <xf numFmtId="167" fontId="46" fillId="0" borderId="25" xfId="0" applyNumberFormat="1" applyFont="1" applyBorder="1">
      <alignment vertical="center"/>
    </xf>
    <xf numFmtId="166" fontId="54" fillId="0" borderId="0" xfId="0" applyNumberFormat="1" applyFont="1">
      <alignment vertical="center"/>
    </xf>
    <xf numFmtId="167" fontId="54" fillId="0" borderId="0" xfId="3" applyNumberFormat="1" applyFont="1" applyAlignment="1">
      <alignment vertical="center"/>
    </xf>
    <xf numFmtId="0" fontId="54" fillId="0" borderId="0" xfId="0" applyFont="1" applyAlignment="1"/>
    <xf numFmtId="0" fontId="46" fillId="38" borderId="79" xfId="0" applyFont="1" applyFill="1" applyBorder="1" applyAlignment="1">
      <alignment horizontal="center" vertical="center"/>
    </xf>
    <xf numFmtId="10" fontId="0" fillId="40" borderId="0" xfId="0" applyNumberFormat="1" applyFill="1">
      <alignment vertical="center"/>
    </xf>
    <xf numFmtId="0" fontId="89" fillId="0" borderId="1" xfId="0" applyFont="1" applyBorder="1" applyAlignment="1">
      <alignment horizontal="center" vertical="center" wrapText="1"/>
    </xf>
    <xf numFmtId="1" fontId="46" fillId="38" borderId="30" xfId="0" applyNumberFormat="1" applyFont="1" applyFill="1" applyBorder="1" applyAlignment="1">
      <alignment horizontal="center" vertical="center"/>
    </xf>
    <xf numFmtId="1" fontId="46" fillId="38" borderId="80" xfId="0" applyNumberFormat="1" applyFont="1" applyFill="1" applyBorder="1" applyAlignment="1">
      <alignment horizontal="center" vertical="center"/>
    </xf>
    <xf numFmtId="167" fontId="46" fillId="0" borderId="24" xfId="3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90" fillId="0" borderId="0" xfId="0" applyFont="1" applyAlignment="1">
      <alignment vertical="center" wrapText="1"/>
    </xf>
    <xf numFmtId="14" fontId="37" fillId="35" borderId="83" xfId="0" applyNumberFormat="1" applyFont="1" applyFill="1" applyBorder="1" applyAlignment="1"/>
    <xf numFmtId="14" fontId="37" fillId="0" borderId="83" xfId="0" applyNumberFormat="1" applyFont="1" applyBorder="1" applyAlignment="1"/>
    <xf numFmtId="49" fontId="37" fillId="35" borderId="84" xfId="0" applyNumberFormat="1" applyFont="1" applyFill="1" applyBorder="1" applyAlignment="1"/>
    <xf numFmtId="49" fontId="37" fillId="0" borderId="84" xfId="0" applyNumberFormat="1" applyFont="1" applyBorder="1" applyAlignment="1"/>
    <xf numFmtId="0" fontId="46" fillId="38" borderId="25" xfId="3" applyNumberFormat="1" applyFont="1" applyFill="1" applyBorder="1" applyAlignment="1">
      <alignment horizontal="center" vertical="center"/>
    </xf>
    <xf numFmtId="0" fontId="46" fillId="38" borderId="49" xfId="3" applyNumberFormat="1" applyFont="1" applyFill="1" applyBorder="1" applyAlignment="1">
      <alignment horizontal="center" vertical="center"/>
    </xf>
    <xf numFmtId="0" fontId="48" fillId="38" borderId="1" xfId="0" applyFont="1" applyFill="1" applyBorder="1" applyAlignment="1">
      <alignment horizontal="center" vertical="center" wrapText="1"/>
    </xf>
    <xf numFmtId="0" fontId="48" fillId="38" borderId="72" xfId="0" applyFont="1" applyFill="1" applyBorder="1" applyAlignment="1">
      <alignment horizontal="center" vertical="center"/>
    </xf>
    <xf numFmtId="2" fontId="37" fillId="35" borderId="84" xfId="0" applyNumberFormat="1" applyFont="1" applyFill="1" applyBorder="1" applyAlignment="1"/>
    <xf numFmtId="2" fontId="37" fillId="0" borderId="84" xfId="0" applyNumberFormat="1" applyFont="1" applyBorder="1" applyAlignment="1"/>
    <xf numFmtId="0" fontId="0" fillId="0" borderId="85" xfId="0" applyBorder="1">
      <alignment vertical="center"/>
    </xf>
    <xf numFmtId="2" fontId="0" fillId="0" borderId="0" xfId="0" applyNumberFormat="1">
      <alignment vertical="center"/>
    </xf>
    <xf numFmtId="167" fontId="46" fillId="0" borderId="51" xfId="3" applyNumberFormat="1" applyFont="1" applyBorder="1" applyAlignment="1">
      <alignment horizontal="center" vertical="center"/>
    </xf>
    <xf numFmtId="167" fontId="46" fillId="0" borderId="63" xfId="3" applyNumberFormat="1" applyFont="1" applyBorder="1" applyAlignment="1">
      <alignment horizontal="center" vertical="center"/>
    </xf>
    <xf numFmtId="0" fontId="54" fillId="0" borderId="54" xfId="0" applyFont="1" applyBorder="1">
      <alignment vertical="center"/>
    </xf>
    <xf numFmtId="10" fontId="0" fillId="38" borderId="74" xfId="0" applyNumberForma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10" fontId="46" fillId="38" borderId="30" xfId="2" applyNumberFormat="1" applyFont="1" applyFill="1" applyBorder="1" applyAlignment="1">
      <alignment horizontal="center" vertical="center" wrapText="1"/>
    </xf>
    <xf numFmtId="10" fontId="46" fillId="38" borderId="25" xfId="2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left" vertical="center"/>
    </xf>
    <xf numFmtId="10" fontId="46" fillId="38" borderId="59" xfId="0" applyNumberFormat="1" applyFont="1" applyFill="1" applyBorder="1" applyAlignment="1">
      <alignment horizontal="center" vertical="center" wrapText="1"/>
    </xf>
    <xf numFmtId="167" fontId="93" fillId="0" borderId="0" xfId="3" applyNumberFormat="1" applyFont="1" applyFill="1" applyAlignment="1">
      <alignment vertical="center"/>
    </xf>
    <xf numFmtId="167" fontId="35" fillId="40" borderId="0" xfId="0" applyNumberFormat="1" applyFont="1" applyFill="1">
      <alignment vertical="center"/>
    </xf>
    <xf numFmtId="0" fontId="46" fillId="0" borderId="80" xfId="0" applyFont="1" applyBorder="1" applyAlignment="1">
      <alignment horizontal="center" vertical="center"/>
    </xf>
    <xf numFmtId="173" fontId="0" fillId="48" borderId="1" xfId="3" applyNumberFormat="1" applyFont="1" applyFill="1" applyBorder="1" applyAlignment="1">
      <alignment horizontal="center" vertical="center"/>
    </xf>
    <xf numFmtId="0" fontId="46" fillId="0" borderId="80" xfId="0" applyFont="1" applyBorder="1" applyAlignment="1">
      <alignment horizontal="center" vertical="center" wrapText="1"/>
    </xf>
    <xf numFmtId="0" fontId="46" fillId="38" borderId="72" xfId="0" applyFont="1" applyFill="1" applyBorder="1" applyAlignment="1">
      <alignment horizontal="center" vertical="center" wrapText="1"/>
    </xf>
    <xf numFmtId="10" fontId="46" fillId="38" borderId="80" xfId="2" applyNumberFormat="1" applyFont="1" applyFill="1" applyBorder="1" applyAlignment="1">
      <alignment horizontal="center" vertical="center" wrapText="1"/>
    </xf>
    <xf numFmtId="10" fontId="46" fillId="38" borderId="24" xfId="2" applyNumberFormat="1" applyFont="1" applyFill="1" applyBorder="1" applyAlignment="1">
      <alignment horizontal="center" vertical="center" wrapText="1"/>
    </xf>
    <xf numFmtId="10" fontId="46" fillId="47" borderId="70" xfId="2" applyNumberFormat="1" applyFont="1" applyFill="1" applyBorder="1" applyAlignment="1">
      <alignment horizontal="center" vertical="center" wrapText="1"/>
    </xf>
    <xf numFmtId="10" fontId="46" fillId="47" borderId="25" xfId="0" applyNumberFormat="1" applyFont="1" applyFill="1" applyBorder="1" applyAlignment="1">
      <alignment horizontal="center" vertical="center"/>
    </xf>
    <xf numFmtId="10" fontId="46" fillId="47" borderId="59" xfId="0" applyNumberFormat="1" applyFont="1" applyFill="1" applyBorder="1" applyAlignment="1">
      <alignment horizontal="center" vertical="center"/>
    </xf>
    <xf numFmtId="10" fontId="51" fillId="38" borderId="74" xfId="0" applyNumberFormat="1" applyFont="1" applyFill="1" applyBorder="1" applyAlignment="1">
      <alignment horizontal="center" vertical="center"/>
    </xf>
    <xf numFmtId="165" fontId="46" fillId="0" borderId="1" xfId="3" applyFont="1" applyBorder="1" applyAlignment="1">
      <alignment horizontal="center" vertical="center"/>
    </xf>
    <xf numFmtId="165" fontId="46" fillId="56" borderId="1" xfId="3" applyFont="1" applyFill="1" applyBorder="1" applyAlignment="1">
      <alignment horizontal="center" vertical="center"/>
    </xf>
    <xf numFmtId="1" fontId="0" fillId="40" borderId="0" xfId="0" applyNumberFormat="1" applyFill="1">
      <alignment vertical="center"/>
    </xf>
    <xf numFmtId="165" fontId="46" fillId="0" borderId="26" xfId="3" applyFont="1" applyBorder="1" applyAlignment="1">
      <alignment horizontal="center" vertical="center"/>
    </xf>
    <xf numFmtId="165" fontId="46" fillId="56" borderId="80" xfId="3" applyFont="1" applyFill="1" applyBorder="1" applyAlignment="1">
      <alignment horizontal="center" vertical="center"/>
    </xf>
    <xf numFmtId="165" fontId="46" fillId="2" borderId="1" xfId="3" applyFont="1" applyFill="1" applyBorder="1" applyAlignment="1">
      <alignment horizontal="center" vertical="center"/>
    </xf>
    <xf numFmtId="10" fontId="46" fillId="47" borderId="82" xfId="2" applyNumberFormat="1" applyFont="1" applyFill="1" applyBorder="1" applyAlignment="1">
      <alignment horizontal="center" vertical="center"/>
    </xf>
    <xf numFmtId="0" fontId="0" fillId="0" borderId="86" xfId="0" applyBorder="1">
      <alignment vertical="center"/>
    </xf>
    <xf numFmtId="0" fontId="0" fillId="0" borderId="29" xfId="0" applyBorder="1">
      <alignment vertical="center"/>
    </xf>
    <xf numFmtId="0" fontId="0" fillId="0" borderId="87" xfId="0" applyBorder="1">
      <alignment vertical="center"/>
    </xf>
    <xf numFmtId="0" fontId="0" fillId="0" borderId="32" xfId="0" applyBorder="1">
      <alignment vertical="center"/>
    </xf>
    <xf numFmtId="14" fontId="0" fillId="0" borderId="76" xfId="0" applyNumberFormat="1" applyBorder="1">
      <alignment vertical="center"/>
    </xf>
    <xf numFmtId="14" fontId="0" fillId="0" borderId="60" xfId="0" applyNumberFormat="1" applyBorder="1">
      <alignment vertical="center"/>
    </xf>
    <xf numFmtId="14" fontId="0" fillId="0" borderId="49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46" fillId="45" borderId="1" xfId="0" applyFont="1" applyFill="1" applyBorder="1" applyAlignment="1">
      <alignment horizontal="center" vertical="center" wrapText="1"/>
    </xf>
    <xf numFmtId="0" fontId="46" fillId="45" borderId="30" xfId="0" applyFont="1" applyFill="1" applyBorder="1" applyAlignment="1">
      <alignment horizontal="center" vertical="center" wrapText="1"/>
    </xf>
    <xf numFmtId="0" fontId="46" fillId="45" borderId="80" xfId="0" applyFont="1" applyFill="1" applyBorder="1" applyAlignment="1">
      <alignment horizontal="center" vertical="center" wrapText="1"/>
    </xf>
    <xf numFmtId="0" fontId="46" fillId="45" borderId="80" xfId="0" applyFont="1" applyFill="1" applyBorder="1" applyAlignment="1">
      <alignment horizontal="center" vertical="center"/>
    </xf>
    <xf numFmtId="0" fontId="46" fillId="38" borderId="32" xfId="0" applyFont="1" applyFill="1" applyBorder="1" applyAlignment="1">
      <alignment horizontal="center" vertical="center"/>
    </xf>
    <xf numFmtId="0" fontId="46" fillId="45" borderId="60" xfId="0" applyFont="1" applyFill="1" applyBorder="1" applyAlignment="1">
      <alignment horizontal="center" vertical="center"/>
    </xf>
    <xf numFmtId="0" fontId="51" fillId="38" borderId="30" xfId="0" applyFont="1" applyFill="1" applyBorder="1" applyAlignment="1">
      <alignment horizontal="center" vertical="center" wrapText="1"/>
    </xf>
    <xf numFmtId="169" fontId="46" fillId="0" borderId="5" xfId="3" applyNumberFormat="1" applyFont="1" applyBorder="1" applyAlignment="1">
      <alignment horizontal="center" vertical="center"/>
    </xf>
    <xf numFmtId="169" fontId="46" fillId="56" borderId="67" xfId="0" applyNumberFormat="1" applyFont="1" applyFill="1" applyBorder="1" applyAlignment="1">
      <alignment horizontal="center" vertical="center"/>
    </xf>
    <xf numFmtId="10" fontId="46" fillId="38" borderId="49" xfId="0" applyNumberFormat="1" applyFont="1" applyFill="1" applyBorder="1" applyAlignment="1">
      <alignment horizontal="center" vertical="center"/>
    </xf>
    <xf numFmtId="169" fontId="46" fillId="56" borderId="1" xfId="3" applyNumberFormat="1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95" fillId="38" borderId="25" xfId="0" applyFont="1" applyFill="1" applyBorder="1" applyAlignment="1">
      <alignment horizontal="center" vertical="center" wrapText="1"/>
    </xf>
    <xf numFmtId="174" fontId="46" fillId="0" borderId="1" xfId="0" applyNumberFormat="1" applyFont="1" applyBorder="1">
      <alignment vertical="center"/>
    </xf>
    <xf numFmtId="0" fontId="46" fillId="38" borderId="82" xfId="0" applyFont="1" applyFill="1" applyBorder="1" applyAlignment="1">
      <alignment horizontal="center" vertical="center"/>
    </xf>
    <xf numFmtId="167" fontId="46" fillId="38" borderId="60" xfId="0" applyNumberFormat="1" applyFont="1" applyFill="1" applyBorder="1" applyAlignment="1">
      <alignment horizontal="center" vertical="center"/>
    </xf>
    <xf numFmtId="1" fontId="46" fillId="0" borderId="59" xfId="0" applyNumberFormat="1" applyFont="1" applyBorder="1">
      <alignment vertical="center"/>
    </xf>
    <xf numFmtId="167" fontId="46" fillId="34" borderId="59" xfId="3" applyNumberFormat="1" applyFont="1" applyFill="1" applyBorder="1" applyAlignment="1">
      <alignment horizontal="center" vertical="center"/>
    </xf>
    <xf numFmtId="1" fontId="46" fillId="0" borderId="60" xfId="0" applyNumberFormat="1" applyFont="1" applyBorder="1">
      <alignment vertical="center"/>
    </xf>
    <xf numFmtId="10" fontId="46" fillId="38" borderId="72" xfId="0" applyNumberFormat="1" applyFont="1" applyFill="1" applyBorder="1" applyAlignment="1">
      <alignment horizontal="center" vertical="center" wrapText="1"/>
    </xf>
    <xf numFmtId="10" fontId="46" fillId="47" borderId="82" xfId="2" applyNumberFormat="1" applyFont="1" applyFill="1" applyBorder="1" applyAlignment="1">
      <alignment horizontal="center" vertical="center" wrapText="1"/>
    </xf>
    <xf numFmtId="9" fontId="46" fillId="38" borderId="72" xfId="2" applyFont="1" applyFill="1" applyBorder="1" applyAlignment="1">
      <alignment horizontal="center" vertical="center" wrapText="1"/>
    </xf>
    <xf numFmtId="10" fontId="46" fillId="47" borderId="24" xfId="2" applyNumberFormat="1" applyFont="1" applyFill="1" applyBorder="1" applyAlignment="1">
      <alignment horizontal="center" vertical="center" wrapText="1"/>
    </xf>
    <xf numFmtId="0" fontId="51" fillId="38" borderId="59" xfId="0" applyFont="1" applyFill="1" applyBorder="1" applyAlignment="1">
      <alignment horizontal="center" vertical="center" wrapText="1"/>
    </xf>
    <xf numFmtId="0" fontId="46" fillId="0" borderId="72" xfId="0" applyFont="1" applyBorder="1" applyAlignment="1">
      <alignment horizontal="center" vertical="center"/>
    </xf>
    <xf numFmtId="10" fontId="46" fillId="38" borderId="82" xfId="2" applyNumberFormat="1" applyFont="1" applyFill="1" applyBorder="1" applyAlignment="1">
      <alignment horizontal="center" vertical="center"/>
    </xf>
    <xf numFmtId="167" fontId="46" fillId="38" borderId="59" xfId="3" applyNumberFormat="1" applyFont="1" applyFill="1" applyBorder="1" applyAlignment="1">
      <alignment horizontal="center" vertical="center" wrapText="1"/>
    </xf>
    <xf numFmtId="0" fontId="46" fillId="38" borderId="82" xfId="0" applyFont="1" applyFill="1" applyBorder="1" applyAlignment="1">
      <alignment horizontal="center" vertical="center" wrapText="1"/>
    </xf>
    <xf numFmtId="167" fontId="46" fillId="38" borderId="82" xfId="3" applyNumberFormat="1" applyFont="1" applyFill="1" applyBorder="1" applyAlignment="1">
      <alignment horizontal="center" vertical="center" wrapText="1"/>
    </xf>
    <xf numFmtId="9" fontId="46" fillId="38" borderId="82" xfId="2" applyFont="1" applyFill="1" applyBorder="1" applyAlignment="1">
      <alignment horizontal="center" vertical="center"/>
    </xf>
    <xf numFmtId="10" fontId="46" fillId="0" borderId="72" xfId="2" applyNumberFormat="1" applyFont="1" applyBorder="1" applyAlignment="1">
      <alignment horizontal="center" vertical="center"/>
    </xf>
    <xf numFmtId="175" fontId="46" fillId="38" borderId="67" xfId="0" applyNumberFormat="1" applyFont="1" applyFill="1" applyBorder="1" applyAlignment="1">
      <alignment horizontal="center" vertical="center"/>
    </xf>
    <xf numFmtId="167" fontId="46" fillId="38" borderId="88" xfId="3" applyNumberFormat="1" applyFont="1" applyFill="1" applyBorder="1" applyAlignment="1">
      <alignment horizontal="center" vertical="center" wrapText="1"/>
    </xf>
    <xf numFmtId="0" fontId="46" fillId="38" borderId="88" xfId="0" applyFont="1" applyFill="1" applyBorder="1" applyAlignment="1">
      <alignment horizontal="center" vertical="center"/>
    </xf>
    <xf numFmtId="14" fontId="0" fillId="35" borderId="83" xfId="0" applyNumberFormat="1" applyFill="1" applyBorder="1" applyAlignment="1"/>
    <xf numFmtId="14" fontId="0" fillId="0" borderId="83" xfId="0" applyNumberFormat="1" applyBorder="1" applyAlignment="1"/>
    <xf numFmtId="168" fontId="96" fillId="35" borderId="1" xfId="74" applyNumberFormat="1" applyFont="1" applyFill="1" applyBorder="1" applyAlignment="1"/>
    <xf numFmtId="0" fontId="97" fillId="38" borderId="30" xfId="0" applyFont="1" applyFill="1" applyBorder="1" applyAlignment="1">
      <alignment horizontal="center" vertical="center" wrapText="1"/>
    </xf>
    <xf numFmtId="0" fontId="97" fillId="38" borderId="25" xfId="0" applyFont="1" applyFill="1" applyBorder="1" applyAlignment="1">
      <alignment horizontal="center" vertical="center" wrapText="1"/>
    </xf>
    <xf numFmtId="10" fontId="0" fillId="0" borderId="79" xfId="0" applyNumberFormat="1" applyBorder="1">
      <alignment vertical="center"/>
    </xf>
    <xf numFmtId="10" fontId="0" fillId="0" borderId="79" xfId="2" applyNumberFormat="1" applyFont="1" applyBorder="1" applyAlignment="1">
      <alignment vertical="center"/>
    </xf>
    <xf numFmtId="0" fontId="0" fillId="0" borderId="79" xfId="0" applyBorder="1" applyAlignment="1">
      <alignment vertical="center" wrapText="1"/>
    </xf>
    <xf numFmtId="0" fontId="98" fillId="38" borderId="82" xfId="0" applyFont="1" applyFill="1" applyBorder="1" applyAlignment="1">
      <alignment horizontal="center" vertical="center" wrapText="1"/>
    </xf>
    <xf numFmtId="10" fontId="0" fillId="0" borderId="79" xfId="0" applyNumberFormat="1" applyBorder="1" applyAlignment="1">
      <alignment horizontal="right" wrapText="1"/>
    </xf>
    <xf numFmtId="0" fontId="46" fillId="45" borderId="74" xfId="0" applyFont="1" applyFill="1" applyBorder="1" applyAlignment="1">
      <alignment horizontal="center" vertical="center"/>
    </xf>
    <xf numFmtId="176" fontId="46" fillId="45" borderId="30" xfId="0" applyNumberFormat="1" applyFont="1" applyFill="1" applyBorder="1" applyAlignment="1">
      <alignment horizontal="center" vertical="center" wrapText="1"/>
    </xf>
    <xf numFmtId="10" fontId="0" fillId="0" borderId="79" xfId="2" applyNumberFormat="1" applyFont="1" applyFill="1" applyBorder="1" applyAlignment="1">
      <alignment vertical="center"/>
    </xf>
    <xf numFmtId="9" fontId="46" fillId="38" borderId="72" xfId="0" applyNumberFormat="1" applyFont="1" applyFill="1" applyBorder="1" applyAlignment="1">
      <alignment horizontal="center" vertical="center" wrapText="1"/>
    </xf>
    <xf numFmtId="49" fontId="0" fillId="0" borderId="84" xfId="0" applyNumberFormat="1" applyBorder="1" applyAlignment="1"/>
    <xf numFmtId="2" fontId="0" fillId="0" borderId="84" xfId="0" applyNumberFormat="1" applyBorder="1" applyAlignment="1"/>
    <xf numFmtId="49" fontId="0" fillId="35" borderId="84" xfId="0" applyNumberFormat="1" applyFill="1" applyBorder="1" applyAlignment="1"/>
    <xf numFmtId="2" fontId="0" fillId="35" borderId="84" xfId="0" applyNumberFormat="1" applyFill="1" applyBorder="1" applyAlignment="1"/>
    <xf numFmtId="0" fontId="100" fillId="38" borderId="25" xfId="0" applyFont="1" applyFill="1" applyBorder="1" applyAlignment="1">
      <alignment horizontal="center" vertical="center" wrapText="1"/>
    </xf>
    <xf numFmtId="169" fontId="46" fillId="0" borderId="1" xfId="3" applyNumberFormat="1" applyFont="1" applyBorder="1" applyAlignment="1">
      <alignment horizontal="center" vertical="center"/>
    </xf>
    <xf numFmtId="0" fontId="57" fillId="46" borderId="0" xfId="0" applyFont="1" applyFill="1" applyAlignment="1">
      <alignment horizontal="center" wrapText="1"/>
    </xf>
    <xf numFmtId="168" fontId="102" fillId="35" borderId="1" xfId="73" applyNumberFormat="1" applyFont="1" applyFill="1" applyBorder="1"/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175" fontId="37" fillId="0" borderId="84" xfId="0" applyNumberFormat="1" applyFont="1" applyBorder="1" applyAlignment="1"/>
    <xf numFmtId="175" fontId="0" fillId="0" borderId="0" xfId="0" applyNumberFormat="1">
      <alignment vertical="center"/>
    </xf>
    <xf numFmtId="0" fontId="0" fillId="0" borderId="79" xfId="0" applyBorder="1" applyAlignment="1">
      <alignment horizontal="center" vertical="center"/>
    </xf>
    <xf numFmtId="0" fontId="59" fillId="47" borderId="33" xfId="44" applyFont="1" applyFill="1" applyBorder="1" applyAlignment="1">
      <alignment horizontal="center" vertical="center" wrapText="1"/>
    </xf>
    <xf numFmtId="0" fontId="59" fillId="47" borderId="34" xfId="44" applyFont="1" applyFill="1" applyBorder="1" applyAlignment="1">
      <alignment horizontal="center" vertical="center" wrapText="1"/>
    </xf>
    <xf numFmtId="167" fontId="44" fillId="37" borderId="0" xfId="0" applyNumberFormat="1" applyFont="1" applyFill="1" applyAlignment="1">
      <alignment horizontal="center" vertical="center"/>
    </xf>
    <xf numFmtId="167" fontId="43" fillId="38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/>
    </xf>
    <xf numFmtId="0" fontId="46" fillId="38" borderId="61" xfId="0" applyFont="1" applyFill="1" applyBorder="1" applyAlignment="1">
      <alignment horizontal="center" vertical="center"/>
    </xf>
    <xf numFmtId="0" fontId="46" fillId="38" borderId="62" xfId="0" applyFont="1" applyFill="1" applyBorder="1" applyAlignment="1">
      <alignment horizontal="center" vertical="center"/>
    </xf>
    <xf numFmtId="0" fontId="46" fillId="38" borderId="64" xfId="0" applyFont="1" applyFill="1" applyBorder="1" applyAlignment="1">
      <alignment horizontal="center" vertical="center"/>
    </xf>
    <xf numFmtId="0" fontId="46" fillId="38" borderId="6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44" xfId="0" applyBorder="1" applyAlignment="1">
      <alignment horizontal="center" vertical="top"/>
    </xf>
    <xf numFmtId="0" fontId="0" fillId="0" borderId="89" xfId="0" applyBorder="1" applyAlignment="1">
      <alignment horizontal="center" vertical="top"/>
    </xf>
    <xf numFmtId="0" fontId="0" fillId="0" borderId="90" xfId="0" applyBorder="1" applyAlignment="1">
      <alignment horizontal="center" vertical="top"/>
    </xf>
    <xf numFmtId="167" fontId="44" fillId="37" borderId="40" xfId="0" applyNumberFormat="1" applyFont="1" applyFill="1" applyBorder="1" applyAlignment="1">
      <alignment horizontal="center" vertical="center"/>
    </xf>
    <xf numFmtId="167" fontId="43" fillId="38" borderId="40" xfId="0" applyNumberFormat="1" applyFont="1" applyFill="1" applyBorder="1" applyAlignment="1">
      <alignment horizontal="center" vertical="center"/>
    </xf>
    <xf numFmtId="0" fontId="99" fillId="0" borderId="0" xfId="0" applyFont="1" applyAlignment="1">
      <alignment horizontal="center" vertical="center" wrapText="1"/>
    </xf>
    <xf numFmtId="0" fontId="99" fillId="0" borderId="89" xfId="0" applyFont="1" applyBorder="1" applyAlignment="1">
      <alignment horizontal="center" vertical="center" wrapText="1"/>
    </xf>
    <xf numFmtId="0" fontId="51" fillId="38" borderId="61" xfId="0" applyFont="1" applyFill="1" applyBorder="1" applyAlignment="1">
      <alignment horizontal="center" vertical="center"/>
    </xf>
    <xf numFmtId="0" fontId="51" fillId="38" borderId="62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 wrapText="1"/>
    </xf>
    <xf numFmtId="0" fontId="86" fillId="37" borderId="0" xfId="0" applyFont="1" applyFill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87" fillId="0" borderId="0" xfId="0" applyFont="1" applyAlignment="1">
      <alignment horizontal="center" vertical="center"/>
    </xf>
    <xf numFmtId="0" fontId="49" fillId="0" borderId="79" xfId="0" quotePrefix="1" applyFont="1" applyBorder="1" applyAlignment="1">
      <alignment horizontal="center" vertical="center" wrapText="1"/>
    </xf>
    <xf numFmtId="0" fontId="49" fillId="0" borderId="0" xfId="0" quotePrefix="1" applyFont="1" applyAlignment="1">
      <alignment horizontal="center" vertical="center" wrapText="1"/>
    </xf>
    <xf numFmtId="0" fontId="46" fillId="38" borderId="74" xfId="0" applyFont="1" applyFill="1" applyBorder="1" applyAlignment="1">
      <alignment horizontal="center" vertical="center"/>
    </xf>
    <xf numFmtId="0" fontId="46" fillId="38" borderId="75" xfId="0" applyFont="1" applyFill="1" applyBorder="1" applyAlignment="1">
      <alignment horizontal="center" vertical="center"/>
    </xf>
    <xf numFmtId="0" fontId="46" fillId="38" borderId="76" xfId="0" applyFont="1" applyFill="1" applyBorder="1" applyAlignment="1">
      <alignment horizontal="center" vertical="center"/>
    </xf>
    <xf numFmtId="0" fontId="46" fillId="38" borderId="72" xfId="0" applyFont="1" applyFill="1" applyBorder="1" applyAlignment="1">
      <alignment horizontal="center" vertical="center"/>
    </xf>
    <xf numFmtId="0" fontId="46" fillId="38" borderId="81" xfId="0" applyFont="1" applyFill="1" applyBorder="1" applyAlignment="1">
      <alignment horizontal="center" vertical="center"/>
    </xf>
    <xf numFmtId="0" fontId="46" fillId="38" borderId="8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6" fillId="38" borderId="41" xfId="0" applyFont="1" applyFill="1" applyBorder="1" applyAlignment="1">
      <alignment horizontal="center" vertical="center"/>
    </xf>
    <xf numFmtId="0" fontId="46" fillId="38" borderId="42" xfId="0" applyFont="1" applyFill="1" applyBorder="1" applyAlignment="1">
      <alignment horizontal="center" vertical="center"/>
    </xf>
    <xf numFmtId="0" fontId="46" fillId="38" borderId="4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5" fillId="0" borderId="30" xfId="0" applyFont="1" applyBorder="1" applyAlignment="1">
      <alignment horizontal="center" vertical="center" wrapText="1"/>
    </xf>
    <xf numFmtId="0" fontId="55" fillId="0" borderId="26" xfId="0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72" fillId="0" borderId="54" xfId="0" applyFont="1" applyBorder="1" applyAlignment="1">
      <alignment horizontal="center" vertical="center"/>
    </xf>
    <xf numFmtId="0" fontId="72" fillId="0" borderId="52" xfId="0" applyFont="1" applyBorder="1" applyAlignment="1">
      <alignment horizontal="center" vertical="center"/>
    </xf>
    <xf numFmtId="0" fontId="54" fillId="0" borderId="53" xfId="0" applyFont="1" applyBorder="1" applyAlignment="1">
      <alignment horizontal="center" vertical="center"/>
    </xf>
    <xf numFmtId="0" fontId="54" fillId="0" borderId="39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54" fillId="0" borderId="5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0" borderId="58" xfId="0" applyFont="1" applyBorder="1" applyAlignment="1">
      <alignment horizontal="center" vertical="center"/>
    </xf>
    <xf numFmtId="0" fontId="54" fillId="0" borderId="42" xfId="0" applyFont="1" applyBorder="1" applyAlignment="1">
      <alignment horizontal="center" vertical="center"/>
    </xf>
    <xf numFmtId="9" fontId="50" fillId="0" borderId="0" xfId="2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8" fontId="76" fillId="0" borderId="55" xfId="0" applyNumberFormat="1" applyFont="1" applyBorder="1" applyAlignment="1">
      <alignment horizontal="center" vertical="center"/>
    </xf>
    <xf numFmtId="168" fontId="76" fillId="0" borderId="52" xfId="0" applyNumberFormat="1" applyFont="1" applyBorder="1" applyAlignment="1">
      <alignment horizontal="center" vertical="center"/>
    </xf>
    <xf numFmtId="168" fontId="76" fillId="0" borderId="55" xfId="0" applyNumberFormat="1" applyFont="1" applyBorder="1" applyAlignment="1">
      <alignment horizontal="center" vertical="center" wrapText="1"/>
    </xf>
    <xf numFmtId="168" fontId="76" fillId="0" borderId="52" xfId="0" applyNumberFormat="1" applyFont="1" applyBorder="1" applyAlignment="1">
      <alignment horizontal="center" vertical="center" wrapText="1"/>
    </xf>
    <xf numFmtId="0" fontId="72" fillId="0" borderId="55" xfId="0" quotePrefix="1" applyFont="1" applyBorder="1" applyAlignment="1">
      <alignment vertical="center" wrapText="1"/>
    </xf>
    <xf numFmtId="0" fontId="72" fillId="0" borderId="52" xfId="0" applyFont="1" applyBorder="1" applyAlignment="1">
      <alignment vertical="center" wrapText="1"/>
    </xf>
    <xf numFmtId="0" fontId="72" fillId="0" borderId="55" xfId="0" quotePrefix="1" applyFont="1" applyBorder="1" applyAlignment="1">
      <alignment vertical="top" wrapText="1"/>
    </xf>
    <xf numFmtId="0" fontId="72" fillId="0" borderId="52" xfId="0" applyFont="1" applyBorder="1" applyAlignment="1">
      <alignment vertical="top" wrapText="1"/>
    </xf>
    <xf numFmtId="0" fontId="0" fillId="0" borderId="0" xfId="0">
      <alignment vertical="center"/>
    </xf>
    <xf numFmtId="166" fontId="76" fillId="0" borderId="55" xfId="0" applyNumberFormat="1" applyFont="1" applyBorder="1" applyAlignment="1">
      <alignment horizontal="center" vertical="center"/>
    </xf>
    <xf numFmtId="166" fontId="76" fillId="0" borderId="52" xfId="0" applyNumberFormat="1" applyFont="1" applyBorder="1" applyAlignment="1">
      <alignment horizontal="center" vertical="center"/>
    </xf>
    <xf numFmtId="0" fontId="73" fillId="0" borderId="55" xfId="0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68" fontId="72" fillId="0" borderId="0" xfId="0" applyNumberFormat="1" applyFont="1" applyAlignment="1">
      <alignment horizontal="center" vertical="center"/>
    </xf>
    <xf numFmtId="168" fontId="72" fillId="0" borderId="52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54" fillId="0" borderId="27" xfId="0" applyFont="1" applyBorder="1" applyAlignment="1">
      <alignment horizontal="center" vertical="center"/>
    </xf>
    <xf numFmtId="0" fontId="54" fillId="0" borderId="75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0" fillId="0" borderId="0" xfId="0" applyNumberFormat="1">
      <alignment vertical="center"/>
    </xf>
  </cellXfs>
  <cellStyles count="423">
    <cellStyle name="20% - 1. jelölőszín" xfId="21" builtinId="30" customBuiltin="1"/>
    <cellStyle name="20% - 1. jelölőszín 10" xfId="397" xr:uid="{00000000-0005-0000-0000-000003000000}"/>
    <cellStyle name="20% - 1. jelölőszín 11" xfId="411" xr:uid="{00000000-0005-0000-0000-000004000000}"/>
    <cellStyle name="20% - 1. jelölőszín 2" xfId="47" xr:uid="{00000000-0005-0000-0000-000005000000}"/>
    <cellStyle name="20% - 1. jelölőszín 2 2" xfId="131" xr:uid="{00000000-0005-0000-0000-000006000000}"/>
    <cellStyle name="20% - 1. jelölőszín 2 2 2" xfId="264" xr:uid="{00000000-0005-0000-0000-000007000000}"/>
    <cellStyle name="20% - 1. jelölőszín 2 3" xfId="227" xr:uid="{00000000-0005-0000-0000-000008000000}"/>
    <cellStyle name="20% - 1. jelölőszín 3" xfId="61" xr:uid="{00000000-0005-0000-0000-000009000000}"/>
    <cellStyle name="20% - 1. jelölőszín 3 2" xfId="104" xr:uid="{00000000-0005-0000-0000-00000A000000}"/>
    <cellStyle name="20% - 1. jelölőszín 3 3" xfId="240" xr:uid="{00000000-0005-0000-0000-00000B000000}"/>
    <cellStyle name="20% - 1. jelölőszín 4" xfId="145" xr:uid="{00000000-0005-0000-0000-00000C000000}"/>
    <cellStyle name="20% - 1. jelölőszín 5" xfId="159" xr:uid="{00000000-0005-0000-0000-00000D000000}"/>
    <cellStyle name="20% - 1. jelölőszín 6" xfId="195" xr:uid="{00000000-0005-0000-0000-00000E000000}"/>
    <cellStyle name="20% - 1. jelölőszín 7" xfId="356" xr:uid="{00000000-0005-0000-0000-00000F000000}"/>
    <cellStyle name="20% - 1. jelölőszín 8" xfId="370" xr:uid="{00000000-0005-0000-0000-000010000000}"/>
    <cellStyle name="20% - 1. jelölőszín 9" xfId="384" xr:uid="{00000000-0005-0000-0000-000011000000}"/>
    <cellStyle name="20% - 2. jelölőszín" xfId="25" builtinId="34" customBuiltin="1"/>
    <cellStyle name="20% - 2. jelölőszín 10" xfId="399" xr:uid="{00000000-0005-0000-0000-000013000000}"/>
    <cellStyle name="20% - 2. jelölőszín 11" xfId="413" xr:uid="{00000000-0005-0000-0000-000014000000}"/>
    <cellStyle name="20% - 2. jelölőszín 2" xfId="49" xr:uid="{00000000-0005-0000-0000-000015000000}"/>
    <cellStyle name="20% - 2. jelölőszín 2 2" xfId="133" xr:uid="{00000000-0005-0000-0000-000016000000}"/>
    <cellStyle name="20% - 2. jelölőszín 2 2 2" xfId="266" xr:uid="{00000000-0005-0000-0000-000017000000}"/>
    <cellStyle name="20% - 2. jelölőszín 2 3" xfId="229" xr:uid="{00000000-0005-0000-0000-000018000000}"/>
    <cellStyle name="20% - 2. jelölőszín 3" xfId="63" xr:uid="{00000000-0005-0000-0000-000019000000}"/>
    <cellStyle name="20% - 2. jelölőszín 3 2" xfId="108" xr:uid="{00000000-0005-0000-0000-00001A000000}"/>
    <cellStyle name="20% - 2. jelölőszín 3 3" xfId="242" xr:uid="{00000000-0005-0000-0000-00001B000000}"/>
    <cellStyle name="20% - 2. jelölőszín 4" xfId="147" xr:uid="{00000000-0005-0000-0000-00001C000000}"/>
    <cellStyle name="20% - 2. jelölőszín 5" xfId="161" xr:uid="{00000000-0005-0000-0000-00001D000000}"/>
    <cellStyle name="20% - 2. jelölőszín 6" xfId="197" xr:uid="{00000000-0005-0000-0000-00001E000000}"/>
    <cellStyle name="20% - 2. jelölőszín 7" xfId="358" xr:uid="{00000000-0005-0000-0000-00001F000000}"/>
    <cellStyle name="20% - 2. jelölőszín 8" xfId="372" xr:uid="{00000000-0005-0000-0000-000020000000}"/>
    <cellStyle name="20% - 2. jelölőszín 9" xfId="386" xr:uid="{00000000-0005-0000-0000-000021000000}"/>
    <cellStyle name="20% - 3. jelölőszín" xfId="29" builtinId="38" customBuiltin="1"/>
    <cellStyle name="20% - 3. jelölőszín 10" xfId="401" xr:uid="{00000000-0005-0000-0000-000023000000}"/>
    <cellStyle name="20% - 3. jelölőszín 11" xfId="415" xr:uid="{00000000-0005-0000-0000-000024000000}"/>
    <cellStyle name="20% - 3. jelölőszín 2" xfId="51" xr:uid="{00000000-0005-0000-0000-000025000000}"/>
    <cellStyle name="20% - 3. jelölőszín 2 2" xfId="135" xr:uid="{00000000-0005-0000-0000-000026000000}"/>
    <cellStyle name="20% - 3. jelölőszín 2 2 2" xfId="268" xr:uid="{00000000-0005-0000-0000-000027000000}"/>
    <cellStyle name="20% - 3. jelölőszín 2 3" xfId="231" xr:uid="{00000000-0005-0000-0000-000028000000}"/>
    <cellStyle name="20% - 3. jelölőszín 3" xfId="65" xr:uid="{00000000-0005-0000-0000-000029000000}"/>
    <cellStyle name="20% - 3. jelölőszín 3 2" xfId="112" xr:uid="{00000000-0005-0000-0000-00002A000000}"/>
    <cellStyle name="20% - 3. jelölőszín 3 3" xfId="244" xr:uid="{00000000-0005-0000-0000-00002B000000}"/>
    <cellStyle name="20% - 3. jelölőszín 4" xfId="149" xr:uid="{00000000-0005-0000-0000-00002C000000}"/>
    <cellStyle name="20% - 3. jelölőszín 5" xfId="163" xr:uid="{00000000-0005-0000-0000-00002D000000}"/>
    <cellStyle name="20% - 3. jelölőszín 6" xfId="199" xr:uid="{00000000-0005-0000-0000-00002E000000}"/>
    <cellStyle name="20% - 3. jelölőszín 7" xfId="360" xr:uid="{00000000-0005-0000-0000-00002F000000}"/>
    <cellStyle name="20% - 3. jelölőszín 8" xfId="374" xr:uid="{00000000-0005-0000-0000-000030000000}"/>
    <cellStyle name="20% - 3. jelölőszín 9" xfId="388" xr:uid="{00000000-0005-0000-0000-000031000000}"/>
    <cellStyle name="20% - 4. jelölőszín" xfId="33" builtinId="42" customBuiltin="1"/>
    <cellStyle name="20% - 4. jelölőszín 10" xfId="403" xr:uid="{00000000-0005-0000-0000-000033000000}"/>
    <cellStyle name="20% - 4. jelölőszín 11" xfId="417" xr:uid="{00000000-0005-0000-0000-000034000000}"/>
    <cellStyle name="20% - 4. jelölőszín 2" xfId="53" xr:uid="{00000000-0005-0000-0000-000035000000}"/>
    <cellStyle name="20% - 4. jelölőszín 2 2" xfId="137" xr:uid="{00000000-0005-0000-0000-000036000000}"/>
    <cellStyle name="20% - 4. jelölőszín 2 2 2" xfId="270" xr:uid="{00000000-0005-0000-0000-000037000000}"/>
    <cellStyle name="20% - 4. jelölőszín 2 3" xfId="233" xr:uid="{00000000-0005-0000-0000-000038000000}"/>
    <cellStyle name="20% - 4. jelölőszín 3" xfId="67" xr:uid="{00000000-0005-0000-0000-000039000000}"/>
    <cellStyle name="20% - 4. jelölőszín 3 2" xfId="116" xr:uid="{00000000-0005-0000-0000-00003A000000}"/>
    <cellStyle name="20% - 4. jelölőszín 3 3" xfId="246" xr:uid="{00000000-0005-0000-0000-00003B000000}"/>
    <cellStyle name="20% - 4. jelölőszín 4" xfId="151" xr:uid="{00000000-0005-0000-0000-00003C000000}"/>
    <cellStyle name="20% - 4. jelölőszín 5" xfId="165" xr:uid="{00000000-0005-0000-0000-00003D000000}"/>
    <cellStyle name="20% - 4. jelölőszín 6" xfId="201" xr:uid="{00000000-0005-0000-0000-00003E000000}"/>
    <cellStyle name="20% - 4. jelölőszín 7" xfId="362" xr:uid="{00000000-0005-0000-0000-00003F000000}"/>
    <cellStyle name="20% - 4. jelölőszín 8" xfId="376" xr:uid="{00000000-0005-0000-0000-000040000000}"/>
    <cellStyle name="20% - 4. jelölőszín 9" xfId="390" xr:uid="{00000000-0005-0000-0000-000041000000}"/>
    <cellStyle name="20% - 5. jelölőszín" xfId="37" builtinId="46" customBuiltin="1"/>
    <cellStyle name="20% - 5. jelölőszín 10" xfId="405" xr:uid="{00000000-0005-0000-0000-000043000000}"/>
    <cellStyle name="20% - 5. jelölőszín 11" xfId="419" xr:uid="{00000000-0005-0000-0000-000044000000}"/>
    <cellStyle name="20% - 5. jelölőszín 2" xfId="55" xr:uid="{00000000-0005-0000-0000-000045000000}"/>
    <cellStyle name="20% - 5. jelölőszín 2 2" xfId="139" xr:uid="{00000000-0005-0000-0000-000046000000}"/>
    <cellStyle name="20% - 5. jelölőszín 2 2 2" xfId="272" xr:uid="{00000000-0005-0000-0000-000047000000}"/>
    <cellStyle name="20% - 5. jelölőszín 2 3" xfId="235" xr:uid="{00000000-0005-0000-0000-000048000000}"/>
    <cellStyle name="20% - 5. jelölőszín 3" xfId="69" xr:uid="{00000000-0005-0000-0000-000049000000}"/>
    <cellStyle name="20% - 5. jelölőszín 3 2" xfId="120" xr:uid="{00000000-0005-0000-0000-00004A000000}"/>
    <cellStyle name="20% - 5. jelölőszín 3 3" xfId="248" xr:uid="{00000000-0005-0000-0000-00004B000000}"/>
    <cellStyle name="20% - 5. jelölőszín 4" xfId="153" xr:uid="{00000000-0005-0000-0000-00004C000000}"/>
    <cellStyle name="20% - 5. jelölőszín 5" xfId="167" xr:uid="{00000000-0005-0000-0000-00004D000000}"/>
    <cellStyle name="20% - 5. jelölőszín 6" xfId="203" xr:uid="{00000000-0005-0000-0000-00004E000000}"/>
    <cellStyle name="20% - 5. jelölőszín 7" xfId="364" xr:uid="{00000000-0005-0000-0000-00004F000000}"/>
    <cellStyle name="20% - 5. jelölőszín 8" xfId="378" xr:uid="{00000000-0005-0000-0000-000050000000}"/>
    <cellStyle name="20% - 5. jelölőszín 9" xfId="392" xr:uid="{00000000-0005-0000-0000-000051000000}"/>
    <cellStyle name="20% - 6. jelölőszín" xfId="41" builtinId="50" customBuiltin="1"/>
    <cellStyle name="20% - 6. jelölőszín 10" xfId="407" xr:uid="{00000000-0005-0000-0000-000053000000}"/>
    <cellStyle name="20% - 6. jelölőszín 11" xfId="421" xr:uid="{00000000-0005-0000-0000-000054000000}"/>
    <cellStyle name="20% - 6. jelölőszín 2" xfId="57" xr:uid="{00000000-0005-0000-0000-000055000000}"/>
    <cellStyle name="20% - 6. jelölőszín 2 2" xfId="141" xr:uid="{00000000-0005-0000-0000-000056000000}"/>
    <cellStyle name="20% - 6. jelölőszín 2 2 2" xfId="274" xr:uid="{00000000-0005-0000-0000-000057000000}"/>
    <cellStyle name="20% - 6. jelölőszín 2 3" xfId="237" xr:uid="{00000000-0005-0000-0000-000058000000}"/>
    <cellStyle name="20% - 6. jelölőszín 3" xfId="71" xr:uid="{00000000-0005-0000-0000-000059000000}"/>
    <cellStyle name="20% - 6. jelölőszín 3 2" xfId="124" xr:uid="{00000000-0005-0000-0000-00005A000000}"/>
    <cellStyle name="20% - 6. jelölőszín 3 3" xfId="250" xr:uid="{00000000-0005-0000-0000-00005B000000}"/>
    <cellStyle name="20% - 6. jelölőszín 4" xfId="155" xr:uid="{00000000-0005-0000-0000-00005C000000}"/>
    <cellStyle name="20% - 6. jelölőszín 5" xfId="169" xr:uid="{00000000-0005-0000-0000-00005D000000}"/>
    <cellStyle name="20% - 6. jelölőszín 6" xfId="205" xr:uid="{00000000-0005-0000-0000-00005E000000}"/>
    <cellStyle name="20% - 6. jelölőszín 7" xfId="366" xr:uid="{00000000-0005-0000-0000-00005F000000}"/>
    <cellStyle name="20% - 6. jelölőszín 8" xfId="380" xr:uid="{00000000-0005-0000-0000-000060000000}"/>
    <cellStyle name="20% - 6. jelölőszín 9" xfId="394" xr:uid="{00000000-0005-0000-0000-000061000000}"/>
    <cellStyle name="40% - 1. jelölőszín" xfId="22" builtinId="31" customBuiltin="1"/>
    <cellStyle name="40% - 1. jelölőszín 10" xfId="398" xr:uid="{00000000-0005-0000-0000-000065000000}"/>
    <cellStyle name="40% - 1. jelölőszín 11" xfId="412" xr:uid="{00000000-0005-0000-0000-000066000000}"/>
    <cellStyle name="40% - 1. jelölőszín 2" xfId="48" xr:uid="{00000000-0005-0000-0000-000067000000}"/>
    <cellStyle name="40% - 1. jelölőszín 2 2" xfId="132" xr:uid="{00000000-0005-0000-0000-000068000000}"/>
    <cellStyle name="40% - 1. jelölőszín 2 2 2" xfId="265" xr:uid="{00000000-0005-0000-0000-000069000000}"/>
    <cellStyle name="40% - 1. jelölőszín 2 3" xfId="228" xr:uid="{00000000-0005-0000-0000-00006A000000}"/>
    <cellStyle name="40% - 1. jelölőszín 3" xfId="62" xr:uid="{00000000-0005-0000-0000-00006B000000}"/>
    <cellStyle name="40% - 1. jelölőszín 3 2" xfId="105" xr:uid="{00000000-0005-0000-0000-00006C000000}"/>
    <cellStyle name="40% - 1. jelölőszín 3 3" xfId="241" xr:uid="{00000000-0005-0000-0000-00006D000000}"/>
    <cellStyle name="40% - 1. jelölőszín 4" xfId="146" xr:uid="{00000000-0005-0000-0000-00006E000000}"/>
    <cellStyle name="40% - 1. jelölőszín 5" xfId="160" xr:uid="{00000000-0005-0000-0000-00006F000000}"/>
    <cellStyle name="40% - 1. jelölőszín 6" xfId="196" xr:uid="{00000000-0005-0000-0000-000070000000}"/>
    <cellStyle name="40% - 1. jelölőszín 7" xfId="357" xr:uid="{00000000-0005-0000-0000-000071000000}"/>
    <cellStyle name="40% - 1. jelölőszín 8" xfId="371" xr:uid="{00000000-0005-0000-0000-000072000000}"/>
    <cellStyle name="40% - 1. jelölőszín 9" xfId="385" xr:uid="{00000000-0005-0000-0000-000073000000}"/>
    <cellStyle name="40% - 2. jelölőszín" xfId="26" builtinId="35" customBuiltin="1"/>
    <cellStyle name="40% - 2. jelölőszín 10" xfId="400" xr:uid="{00000000-0005-0000-0000-000075000000}"/>
    <cellStyle name="40% - 2. jelölőszín 11" xfId="414" xr:uid="{00000000-0005-0000-0000-000076000000}"/>
    <cellStyle name="40% - 2. jelölőszín 2" xfId="50" xr:uid="{00000000-0005-0000-0000-000077000000}"/>
    <cellStyle name="40% - 2. jelölőszín 2 2" xfId="134" xr:uid="{00000000-0005-0000-0000-000078000000}"/>
    <cellStyle name="40% - 2. jelölőszín 2 2 2" xfId="267" xr:uid="{00000000-0005-0000-0000-000079000000}"/>
    <cellStyle name="40% - 2. jelölőszín 2 3" xfId="230" xr:uid="{00000000-0005-0000-0000-00007A000000}"/>
    <cellStyle name="40% - 2. jelölőszín 3" xfId="64" xr:uid="{00000000-0005-0000-0000-00007B000000}"/>
    <cellStyle name="40% - 2. jelölőszín 3 2" xfId="109" xr:uid="{00000000-0005-0000-0000-00007C000000}"/>
    <cellStyle name="40% - 2. jelölőszín 3 3" xfId="243" xr:uid="{00000000-0005-0000-0000-00007D000000}"/>
    <cellStyle name="40% - 2. jelölőszín 4" xfId="148" xr:uid="{00000000-0005-0000-0000-00007E000000}"/>
    <cellStyle name="40% - 2. jelölőszín 5" xfId="162" xr:uid="{00000000-0005-0000-0000-00007F000000}"/>
    <cellStyle name="40% - 2. jelölőszín 6" xfId="198" xr:uid="{00000000-0005-0000-0000-000080000000}"/>
    <cellStyle name="40% - 2. jelölőszín 7" xfId="359" xr:uid="{00000000-0005-0000-0000-000081000000}"/>
    <cellStyle name="40% - 2. jelölőszín 8" xfId="373" xr:uid="{00000000-0005-0000-0000-000082000000}"/>
    <cellStyle name="40% - 2. jelölőszín 9" xfId="387" xr:uid="{00000000-0005-0000-0000-000083000000}"/>
    <cellStyle name="40% - 3. jelölőszín" xfId="30" builtinId="39" customBuiltin="1"/>
    <cellStyle name="40% - 3. jelölőszín 10" xfId="402" xr:uid="{00000000-0005-0000-0000-000085000000}"/>
    <cellStyle name="40% - 3. jelölőszín 11" xfId="416" xr:uid="{00000000-0005-0000-0000-000086000000}"/>
    <cellStyle name="40% - 3. jelölőszín 2" xfId="52" xr:uid="{00000000-0005-0000-0000-000087000000}"/>
    <cellStyle name="40% - 3. jelölőszín 2 2" xfId="136" xr:uid="{00000000-0005-0000-0000-000088000000}"/>
    <cellStyle name="40% - 3. jelölőszín 2 2 2" xfId="269" xr:uid="{00000000-0005-0000-0000-000089000000}"/>
    <cellStyle name="40% - 3. jelölőszín 2 3" xfId="232" xr:uid="{00000000-0005-0000-0000-00008A000000}"/>
    <cellStyle name="40% - 3. jelölőszín 3" xfId="66" xr:uid="{00000000-0005-0000-0000-00008B000000}"/>
    <cellStyle name="40% - 3. jelölőszín 3 2" xfId="113" xr:uid="{00000000-0005-0000-0000-00008C000000}"/>
    <cellStyle name="40% - 3. jelölőszín 3 3" xfId="245" xr:uid="{00000000-0005-0000-0000-00008D000000}"/>
    <cellStyle name="40% - 3. jelölőszín 4" xfId="150" xr:uid="{00000000-0005-0000-0000-00008E000000}"/>
    <cellStyle name="40% - 3. jelölőszín 5" xfId="164" xr:uid="{00000000-0005-0000-0000-00008F000000}"/>
    <cellStyle name="40% - 3. jelölőszín 6" xfId="200" xr:uid="{00000000-0005-0000-0000-000090000000}"/>
    <cellStyle name="40% - 3. jelölőszín 7" xfId="361" xr:uid="{00000000-0005-0000-0000-000091000000}"/>
    <cellStyle name="40% - 3. jelölőszín 8" xfId="375" xr:uid="{00000000-0005-0000-0000-000092000000}"/>
    <cellStyle name="40% - 3. jelölőszín 9" xfId="389" xr:uid="{00000000-0005-0000-0000-000093000000}"/>
    <cellStyle name="40% - 4. jelölőszín" xfId="34" builtinId="43" customBuiltin="1"/>
    <cellStyle name="40% - 4. jelölőszín 10" xfId="404" xr:uid="{00000000-0005-0000-0000-000095000000}"/>
    <cellStyle name="40% - 4. jelölőszín 11" xfId="418" xr:uid="{00000000-0005-0000-0000-000096000000}"/>
    <cellStyle name="40% - 4. jelölőszín 2" xfId="54" xr:uid="{00000000-0005-0000-0000-000097000000}"/>
    <cellStyle name="40% - 4. jelölőszín 2 2" xfId="138" xr:uid="{00000000-0005-0000-0000-000098000000}"/>
    <cellStyle name="40% - 4. jelölőszín 2 2 2" xfId="271" xr:uid="{00000000-0005-0000-0000-000099000000}"/>
    <cellStyle name="40% - 4. jelölőszín 2 3" xfId="234" xr:uid="{00000000-0005-0000-0000-00009A000000}"/>
    <cellStyle name="40% - 4. jelölőszín 3" xfId="68" xr:uid="{00000000-0005-0000-0000-00009B000000}"/>
    <cellStyle name="40% - 4. jelölőszín 3 2" xfId="117" xr:uid="{00000000-0005-0000-0000-00009C000000}"/>
    <cellStyle name="40% - 4. jelölőszín 3 3" xfId="247" xr:uid="{00000000-0005-0000-0000-00009D000000}"/>
    <cellStyle name="40% - 4. jelölőszín 4" xfId="152" xr:uid="{00000000-0005-0000-0000-00009E000000}"/>
    <cellStyle name="40% - 4. jelölőszín 5" xfId="166" xr:uid="{00000000-0005-0000-0000-00009F000000}"/>
    <cellStyle name="40% - 4. jelölőszín 6" xfId="202" xr:uid="{00000000-0005-0000-0000-0000A0000000}"/>
    <cellStyle name="40% - 4. jelölőszín 7" xfId="363" xr:uid="{00000000-0005-0000-0000-0000A1000000}"/>
    <cellStyle name="40% - 4. jelölőszín 8" xfId="377" xr:uid="{00000000-0005-0000-0000-0000A2000000}"/>
    <cellStyle name="40% - 4. jelölőszín 9" xfId="391" xr:uid="{00000000-0005-0000-0000-0000A3000000}"/>
    <cellStyle name="40% - 5. jelölőszín" xfId="38" builtinId="47" customBuiltin="1"/>
    <cellStyle name="40% - 5. jelölőszín 10" xfId="406" xr:uid="{00000000-0005-0000-0000-0000A5000000}"/>
    <cellStyle name="40% - 5. jelölőszín 11" xfId="420" xr:uid="{00000000-0005-0000-0000-0000A6000000}"/>
    <cellStyle name="40% - 5. jelölőszín 2" xfId="56" xr:uid="{00000000-0005-0000-0000-0000A7000000}"/>
    <cellStyle name="40% - 5. jelölőszín 2 2" xfId="140" xr:uid="{00000000-0005-0000-0000-0000A8000000}"/>
    <cellStyle name="40% - 5. jelölőszín 2 2 2" xfId="273" xr:uid="{00000000-0005-0000-0000-0000A9000000}"/>
    <cellStyle name="40% - 5. jelölőszín 2 3" xfId="236" xr:uid="{00000000-0005-0000-0000-0000AA000000}"/>
    <cellStyle name="40% - 5. jelölőszín 3" xfId="70" xr:uid="{00000000-0005-0000-0000-0000AB000000}"/>
    <cellStyle name="40% - 5. jelölőszín 3 2" xfId="121" xr:uid="{00000000-0005-0000-0000-0000AC000000}"/>
    <cellStyle name="40% - 5. jelölőszín 3 3" xfId="249" xr:uid="{00000000-0005-0000-0000-0000AD000000}"/>
    <cellStyle name="40% - 5. jelölőszín 4" xfId="154" xr:uid="{00000000-0005-0000-0000-0000AE000000}"/>
    <cellStyle name="40% - 5. jelölőszín 5" xfId="168" xr:uid="{00000000-0005-0000-0000-0000AF000000}"/>
    <cellStyle name="40% - 5. jelölőszín 6" xfId="204" xr:uid="{00000000-0005-0000-0000-0000B0000000}"/>
    <cellStyle name="40% - 5. jelölőszín 7" xfId="365" xr:uid="{00000000-0005-0000-0000-0000B1000000}"/>
    <cellStyle name="40% - 5. jelölőszín 8" xfId="379" xr:uid="{00000000-0005-0000-0000-0000B2000000}"/>
    <cellStyle name="40% - 5. jelölőszín 9" xfId="393" xr:uid="{00000000-0005-0000-0000-0000B3000000}"/>
    <cellStyle name="40% - 6. jelölőszín" xfId="42" builtinId="51" customBuiltin="1"/>
    <cellStyle name="40% - 6. jelölőszín 10" xfId="408" xr:uid="{00000000-0005-0000-0000-0000B5000000}"/>
    <cellStyle name="40% - 6. jelölőszín 11" xfId="422" xr:uid="{00000000-0005-0000-0000-0000B6000000}"/>
    <cellStyle name="40% - 6. jelölőszín 2" xfId="58" xr:uid="{00000000-0005-0000-0000-0000B7000000}"/>
    <cellStyle name="40% - 6. jelölőszín 2 2" xfId="142" xr:uid="{00000000-0005-0000-0000-0000B8000000}"/>
    <cellStyle name="40% - 6. jelölőszín 2 2 2" xfId="275" xr:uid="{00000000-0005-0000-0000-0000B9000000}"/>
    <cellStyle name="40% - 6. jelölőszín 2 3" xfId="238" xr:uid="{00000000-0005-0000-0000-0000BA000000}"/>
    <cellStyle name="40% - 6. jelölőszín 3" xfId="72" xr:uid="{00000000-0005-0000-0000-0000BB000000}"/>
    <cellStyle name="40% - 6. jelölőszín 3 2" xfId="125" xr:uid="{00000000-0005-0000-0000-0000BC000000}"/>
    <cellStyle name="40% - 6. jelölőszín 3 3" xfId="251" xr:uid="{00000000-0005-0000-0000-0000BD000000}"/>
    <cellStyle name="40% - 6. jelölőszín 4" xfId="156" xr:uid="{00000000-0005-0000-0000-0000BE000000}"/>
    <cellStyle name="40% - 6. jelölőszín 5" xfId="170" xr:uid="{00000000-0005-0000-0000-0000BF000000}"/>
    <cellStyle name="40% - 6. jelölőszín 6" xfId="206" xr:uid="{00000000-0005-0000-0000-0000C0000000}"/>
    <cellStyle name="40% - 6. jelölőszín 7" xfId="367" xr:uid="{00000000-0005-0000-0000-0000C1000000}"/>
    <cellStyle name="40% - 6. jelölőszín 8" xfId="381" xr:uid="{00000000-0005-0000-0000-0000C2000000}"/>
    <cellStyle name="40% - 6. jelölőszín 9" xfId="395" xr:uid="{00000000-0005-0000-0000-0000C3000000}"/>
    <cellStyle name="60% - 1. jelölőszín" xfId="23" builtinId="32" customBuiltin="1"/>
    <cellStyle name="60% - 1. jelölőszín 2" xfId="106" xr:uid="{00000000-0005-0000-0000-0000C7000000}"/>
    <cellStyle name="60% - 2. jelölőszín" xfId="27" builtinId="36" customBuiltin="1"/>
    <cellStyle name="60% - 2. jelölőszín 2" xfId="110" xr:uid="{00000000-0005-0000-0000-0000C9000000}"/>
    <cellStyle name="60% - 3. jelölőszín" xfId="31" builtinId="40" customBuiltin="1"/>
    <cellStyle name="60% - 3. jelölőszín 2" xfId="114" xr:uid="{00000000-0005-0000-0000-0000CB000000}"/>
    <cellStyle name="60% - 4. jelölőszín" xfId="35" builtinId="44" customBuiltin="1"/>
    <cellStyle name="60% - 4. jelölőszín 2" xfId="118" xr:uid="{00000000-0005-0000-0000-0000CD000000}"/>
    <cellStyle name="60% - 5. jelölőszín" xfId="39" builtinId="48" customBuiltin="1"/>
    <cellStyle name="60% - 5. jelölőszín 2" xfId="122" xr:uid="{00000000-0005-0000-0000-0000CF000000}"/>
    <cellStyle name="60% - 6. jelölőszín" xfId="43" builtinId="52" customBuiltin="1"/>
    <cellStyle name="60% - 6. jelölőszín 2" xfId="126" xr:uid="{00000000-0005-0000-0000-0000D1000000}"/>
    <cellStyle name="Bevitel" xfId="12" builtinId="20" customBuiltin="1"/>
    <cellStyle name="Bevitel 2" xfId="95" xr:uid="{00000000-0005-0000-0000-0000D3000000}"/>
    <cellStyle name="Cím" xfId="4" builtinId="15" customBuiltin="1"/>
    <cellStyle name="Cím 2" xfId="87" xr:uid="{00000000-0005-0000-0000-0000D5000000}"/>
    <cellStyle name="Cím 3" xfId="354" xr:uid="{00000000-0005-0000-0000-0000D6000000}"/>
    <cellStyle name="Címsor 1" xfId="5" builtinId="16" customBuiltin="1"/>
    <cellStyle name="Címsor 1 2" xfId="88" xr:uid="{00000000-0005-0000-0000-0000D8000000}"/>
    <cellStyle name="Címsor 2" xfId="6" builtinId="17" customBuiltin="1"/>
    <cellStyle name="Címsor 2 2" xfId="89" xr:uid="{00000000-0005-0000-0000-0000DA000000}"/>
    <cellStyle name="Címsor 3" xfId="7" builtinId="18" customBuiltin="1"/>
    <cellStyle name="Címsor 3 2" xfId="90" xr:uid="{00000000-0005-0000-0000-0000DC000000}"/>
    <cellStyle name="Címsor 4" xfId="8" builtinId="19" customBuiltin="1"/>
    <cellStyle name="Címsor 4 2" xfId="91" xr:uid="{00000000-0005-0000-0000-0000DE000000}"/>
    <cellStyle name="Comma [0] 2" xfId="183" xr:uid="{00000000-0005-0000-0000-0000DF000000}"/>
    <cellStyle name="Ellenőrzőcella" xfId="16" builtinId="23" customBuiltin="1"/>
    <cellStyle name="Ellenőrzőcella 2" xfId="99" xr:uid="{00000000-0005-0000-0000-0000E1000000}"/>
    <cellStyle name="Ezres" xfId="3" builtinId="3"/>
    <cellStyle name="Ezres [0] 2" xfId="208" xr:uid="{00000000-0005-0000-0000-0000E3000000}"/>
    <cellStyle name="Ezres [0] 3" xfId="345" xr:uid="{00000000-0005-0000-0000-0000E4000000}"/>
    <cellStyle name="Ezres 10" xfId="343" xr:uid="{00000000-0005-0000-0000-0000E5000000}"/>
    <cellStyle name="Ezres 11" xfId="344" xr:uid="{00000000-0005-0000-0000-0000E6000000}"/>
    <cellStyle name="Ezres 2" xfId="74" xr:uid="{00000000-0005-0000-0000-0000E7000000}"/>
    <cellStyle name="Ezres 2 2" xfId="84" xr:uid="{00000000-0005-0000-0000-0000E8000000}"/>
    <cellStyle name="Ezres 2 2 2" xfId="189" xr:uid="{00000000-0005-0000-0000-0000E9000000}"/>
    <cellStyle name="Ezres 2 2 2 2" xfId="286" xr:uid="{00000000-0005-0000-0000-0000EA000000}"/>
    <cellStyle name="Ezres 2 2 2 2 2" xfId="328" xr:uid="{00000000-0005-0000-0000-0000EB000000}"/>
    <cellStyle name="Ezres 2 2 2 3" xfId="307" xr:uid="{00000000-0005-0000-0000-0000EC000000}"/>
    <cellStyle name="Ezres 2 2 3" xfId="257" xr:uid="{00000000-0005-0000-0000-0000ED000000}"/>
    <cellStyle name="Ezres 2 2 3 2" xfId="297" xr:uid="{00000000-0005-0000-0000-0000EE000000}"/>
    <cellStyle name="Ezres 2 2 3 2 2" xfId="339" xr:uid="{00000000-0005-0000-0000-0000EF000000}"/>
    <cellStyle name="Ezres 2 2 3 3" xfId="318" xr:uid="{00000000-0005-0000-0000-0000F0000000}"/>
    <cellStyle name="Ezres 2 2 4" xfId="280" xr:uid="{00000000-0005-0000-0000-0000F1000000}"/>
    <cellStyle name="Ezres 2 2 4 2" xfId="322" xr:uid="{00000000-0005-0000-0000-0000F2000000}"/>
    <cellStyle name="Ezres 2 2 5" xfId="301" xr:uid="{00000000-0005-0000-0000-0000F3000000}"/>
    <cellStyle name="Ezres 2 2 6" xfId="177" xr:uid="{00000000-0005-0000-0000-0000F4000000}"/>
    <cellStyle name="Ezres 2 3" xfId="187" xr:uid="{00000000-0005-0000-0000-0000F5000000}"/>
    <cellStyle name="Ezres 2 3 2" xfId="284" xr:uid="{00000000-0005-0000-0000-0000F6000000}"/>
    <cellStyle name="Ezres 2 3 2 2" xfId="326" xr:uid="{00000000-0005-0000-0000-0000F7000000}"/>
    <cellStyle name="Ezres 2 3 3" xfId="305" xr:uid="{00000000-0005-0000-0000-0000F8000000}"/>
    <cellStyle name="Ezres 2 4" xfId="218" xr:uid="{00000000-0005-0000-0000-0000F9000000}"/>
    <cellStyle name="Ezres 2 4 2" xfId="292" xr:uid="{00000000-0005-0000-0000-0000FA000000}"/>
    <cellStyle name="Ezres 2 4 2 2" xfId="334" xr:uid="{00000000-0005-0000-0000-0000FB000000}"/>
    <cellStyle name="Ezres 2 4 3" xfId="313" xr:uid="{00000000-0005-0000-0000-0000FC000000}"/>
    <cellStyle name="Ezres 2 5" xfId="278" xr:uid="{00000000-0005-0000-0000-0000FD000000}"/>
    <cellStyle name="Ezres 2 5 2" xfId="320" xr:uid="{00000000-0005-0000-0000-0000FE000000}"/>
    <cellStyle name="Ezres 2 6" xfId="299" xr:uid="{00000000-0005-0000-0000-0000FF000000}"/>
    <cellStyle name="Ezres 2 7" xfId="352" xr:uid="{00000000-0005-0000-0000-000000010000}"/>
    <cellStyle name="Ezres 2 8" xfId="174" xr:uid="{00000000-0005-0000-0000-000001010000}"/>
    <cellStyle name="Ezres 3" xfId="82" xr:uid="{00000000-0005-0000-0000-000002010000}"/>
    <cellStyle name="Ezres 3 2" xfId="191" xr:uid="{00000000-0005-0000-0000-000003010000}"/>
    <cellStyle name="Ezres 3 2 2" xfId="254" xr:uid="{00000000-0005-0000-0000-000004010000}"/>
    <cellStyle name="Ezres 3 2 2 2" xfId="295" xr:uid="{00000000-0005-0000-0000-000005010000}"/>
    <cellStyle name="Ezres 3 2 2 2 2" xfId="337" xr:uid="{00000000-0005-0000-0000-000006010000}"/>
    <cellStyle name="Ezres 3 2 2 3" xfId="316" xr:uid="{00000000-0005-0000-0000-000007010000}"/>
    <cellStyle name="Ezres 3 2 3" xfId="288" xr:uid="{00000000-0005-0000-0000-000008010000}"/>
    <cellStyle name="Ezres 3 2 3 2" xfId="330" xr:uid="{00000000-0005-0000-0000-000009010000}"/>
    <cellStyle name="Ezres 3 2 4" xfId="309" xr:uid="{00000000-0005-0000-0000-00000A010000}"/>
    <cellStyle name="Ezres 3 3" xfId="213" xr:uid="{00000000-0005-0000-0000-00000B010000}"/>
    <cellStyle name="Ezres 3 3 2" xfId="290" xr:uid="{00000000-0005-0000-0000-00000C010000}"/>
    <cellStyle name="Ezres 3 3 2 2" xfId="332" xr:uid="{00000000-0005-0000-0000-00000D010000}"/>
    <cellStyle name="Ezres 3 3 3" xfId="311" xr:uid="{00000000-0005-0000-0000-00000E010000}"/>
    <cellStyle name="Ezres 3 4" xfId="282" xr:uid="{00000000-0005-0000-0000-00000F010000}"/>
    <cellStyle name="Ezres 3 4 2" xfId="324" xr:uid="{00000000-0005-0000-0000-000010010000}"/>
    <cellStyle name="Ezres 3 5" xfId="303" xr:uid="{00000000-0005-0000-0000-000011010000}"/>
    <cellStyle name="Ezres 3 6" xfId="179" xr:uid="{00000000-0005-0000-0000-000012010000}"/>
    <cellStyle name="Ezres 4" xfId="80" xr:uid="{00000000-0005-0000-0000-000013010000}"/>
    <cellStyle name="Ezres 4 2" xfId="192" xr:uid="{00000000-0005-0000-0000-000014010000}"/>
    <cellStyle name="Ezres 4 2 2" xfId="259" xr:uid="{00000000-0005-0000-0000-000015010000}"/>
    <cellStyle name="Ezres 4 2 2 2" xfId="298" xr:uid="{00000000-0005-0000-0000-000016010000}"/>
    <cellStyle name="Ezres 4 2 2 2 2" xfId="340" xr:uid="{00000000-0005-0000-0000-000017010000}"/>
    <cellStyle name="Ezres 4 2 2 3" xfId="319" xr:uid="{00000000-0005-0000-0000-000018010000}"/>
    <cellStyle name="Ezres 4 2 3" xfId="289" xr:uid="{00000000-0005-0000-0000-000019010000}"/>
    <cellStyle name="Ezres 4 2 3 2" xfId="331" xr:uid="{00000000-0005-0000-0000-00001A010000}"/>
    <cellStyle name="Ezres 4 2 4" xfId="310" xr:uid="{00000000-0005-0000-0000-00001B010000}"/>
    <cellStyle name="Ezres 4 3" xfId="220" xr:uid="{00000000-0005-0000-0000-00001C010000}"/>
    <cellStyle name="Ezres 4 3 2" xfId="293" xr:uid="{00000000-0005-0000-0000-00001D010000}"/>
    <cellStyle name="Ezres 4 3 2 2" xfId="335" xr:uid="{00000000-0005-0000-0000-00001E010000}"/>
    <cellStyle name="Ezres 4 3 3" xfId="314" xr:uid="{00000000-0005-0000-0000-00001F010000}"/>
    <cellStyle name="Ezres 4 4" xfId="283" xr:uid="{00000000-0005-0000-0000-000020010000}"/>
    <cellStyle name="Ezres 4 4 2" xfId="325" xr:uid="{00000000-0005-0000-0000-000021010000}"/>
    <cellStyle name="Ezres 4 5" xfId="304" xr:uid="{00000000-0005-0000-0000-000022010000}"/>
    <cellStyle name="Ezres 4 6" xfId="186" xr:uid="{00000000-0005-0000-0000-000023010000}"/>
    <cellStyle name="Ezres 5" xfId="79" xr:uid="{00000000-0005-0000-0000-000024010000}"/>
    <cellStyle name="Ezres 5 2" xfId="296" xr:uid="{00000000-0005-0000-0000-000025010000}"/>
    <cellStyle name="Ezres 5 2 2" xfId="338" xr:uid="{00000000-0005-0000-0000-000026010000}"/>
    <cellStyle name="Ezres 5 3" xfId="317" xr:uid="{00000000-0005-0000-0000-000027010000}"/>
    <cellStyle name="Ezres 5 4" xfId="255" xr:uid="{00000000-0005-0000-0000-000028010000}"/>
    <cellStyle name="Ezres 6" xfId="78" xr:uid="{00000000-0005-0000-0000-000029010000}"/>
    <cellStyle name="Ezres 6 2" xfId="291" xr:uid="{00000000-0005-0000-0000-00002A010000}"/>
    <cellStyle name="Ezres 6 2 2" xfId="333" xr:uid="{00000000-0005-0000-0000-00002B010000}"/>
    <cellStyle name="Ezres 6 3" xfId="312" xr:uid="{00000000-0005-0000-0000-00002C010000}"/>
    <cellStyle name="Ezres 6 4" xfId="216" xr:uid="{00000000-0005-0000-0000-00002D010000}"/>
    <cellStyle name="Ezres 7" xfId="222" xr:uid="{00000000-0005-0000-0000-00002E010000}"/>
    <cellStyle name="Ezres 7 2" xfId="294" xr:uid="{00000000-0005-0000-0000-00002F010000}"/>
    <cellStyle name="Ezres 7 2 2" xfId="336" xr:uid="{00000000-0005-0000-0000-000030010000}"/>
    <cellStyle name="Ezres 7 3" xfId="315" xr:uid="{00000000-0005-0000-0000-000031010000}"/>
    <cellStyle name="Ezres 8" xfId="341" xr:uid="{00000000-0005-0000-0000-000032010000}"/>
    <cellStyle name="Ezres 9" xfId="342" xr:uid="{00000000-0005-0000-0000-000033010000}"/>
    <cellStyle name="Figyelmeztetés" xfId="17" builtinId="11" customBuiltin="1"/>
    <cellStyle name="Figyelmeztetés 2" xfId="100" xr:uid="{00000000-0005-0000-0000-000035010000}"/>
    <cellStyle name="Hivatkozott cella" xfId="15" builtinId="24" customBuiltin="1"/>
    <cellStyle name="Hivatkozott cella 2" xfId="98" xr:uid="{00000000-0005-0000-0000-000037010000}"/>
    <cellStyle name="Jegyzet 10" xfId="396" xr:uid="{00000000-0005-0000-0000-000038010000}"/>
    <cellStyle name="Jegyzet 11" xfId="410" xr:uid="{00000000-0005-0000-0000-000039010000}"/>
    <cellStyle name="Jegyzet 2" xfId="45" xr:uid="{00000000-0005-0000-0000-00003A010000}"/>
    <cellStyle name="Jegyzet 2 2" xfId="128" xr:uid="{00000000-0005-0000-0000-00003B010000}"/>
    <cellStyle name="Jegyzet 2 2 2" xfId="261" xr:uid="{00000000-0005-0000-0000-00003C010000}"/>
    <cellStyle name="Jegyzet 2 3" xfId="224" xr:uid="{00000000-0005-0000-0000-00003D010000}"/>
    <cellStyle name="Jegyzet 3" xfId="46" xr:uid="{00000000-0005-0000-0000-00003E010000}"/>
    <cellStyle name="Jegyzet 3 2" xfId="130" xr:uid="{00000000-0005-0000-0000-00003F010000}"/>
    <cellStyle name="Jegyzet 3 2 2" xfId="263" xr:uid="{00000000-0005-0000-0000-000040010000}"/>
    <cellStyle name="Jegyzet 3 3" xfId="226" xr:uid="{00000000-0005-0000-0000-000041010000}"/>
    <cellStyle name="Jegyzet 4" xfId="60" xr:uid="{00000000-0005-0000-0000-000042010000}"/>
    <cellStyle name="Jegyzet 5" xfId="144" xr:uid="{00000000-0005-0000-0000-000043010000}"/>
    <cellStyle name="Jegyzet 6" xfId="158" xr:uid="{00000000-0005-0000-0000-000044010000}"/>
    <cellStyle name="Jegyzet 7" xfId="355" xr:uid="{00000000-0005-0000-0000-000045010000}"/>
    <cellStyle name="Jegyzet 8" xfId="369" xr:uid="{00000000-0005-0000-0000-000046010000}"/>
    <cellStyle name="Jegyzet 9" xfId="383" xr:uid="{00000000-0005-0000-0000-000047010000}"/>
    <cellStyle name="Jelölőszín (1) 2" xfId="103" xr:uid="{00000000-0005-0000-0000-000048010000}"/>
    <cellStyle name="Jelölőszín (2) 2" xfId="107" xr:uid="{00000000-0005-0000-0000-000049010000}"/>
    <cellStyle name="Jelölőszín (3) 2" xfId="111" xr:uid="{00000000-0005-0000-0000-00004A010000}"/>
    <cellStyle name="Jelölőszín (4) 2" xfId="115" xr:uid="{00000000-0005-0000-0000-00004B010000}"/>
    <cellStyle name="Jelölőszín (5) 2" xfId="119" xr:uid="{00000000-0005-0000-0000-00004C010000}"/>
    <cellStyle name="Jelölőszín (6) 2" xfId="123" xr:uid="{00000000-0005-0000-0000-00004D010000}"/>
    <cellStyle name="Jelölőszín 1" xfId="20" builtinId="29" customBuiltin="1"/>
    <cellStyle name="Jelölőszín 2" xfId="24" builtinId="33" customBuiltin="1"/>
    <cellStyle name="Jelölőszín 3" xfId="28" builtinId="37" customBuiltin="1"/>
    <cellStyle name="Jelölőszín 4" xfId="32" builtinId="41" customBuiltin="1"/>
    <cellStyle name="Jelölőszín 5" xfId="36" builtinId="45" customBuiltin="1"/>
    <cellStyle name="Jelölőszín 6" xfId="40" builtinId="49" customBuiltin="1"/>
    <cellStyle name="Jó" xfId="9" builtinId="26" customBuiltin="1"/>
    <cellStyle name="Jó 2" xfId="92" xr:uid="{00000000-0005-0000-0000-00004F010000}"/>
    <cellStyle name="Kimenet" xfId="13" builtinId="21" customBuiltin="1"/>
    <cellStyle name="Kimenet 2" xfId="96" xr:uid="{00000000-0005-0000-0000-000051010000}"/>
    <cellStyle name="Magyarázó szöveg" xfId="18" builtinId="53" customBuiltin="1"/>
    <cellStyle name="Magyarázó szöveg 2" xfId="101" xr:uid="{00000000-0005-0000-0000-000053010000}"/>
    <cellStyle name="Normál" xfId="0" builtinId="0"/>
    <cellStyle name="Normál 10" xfId="171" xr:uid="{00000000-0005-0000-0000-000055010000}"/>
    <cellStyle name="Normál 10 2" xfId="276" xr:uid="{00000000-0005-0000-0000-000056010000}"/>
    <cellStyle name="Normál 11" xfId="214" xr:uid="{00000000-0005-0000-0000-000057010000}"/>
    <cellStyle name="Normál 12" xfId="277" xr:uid="{00000000-0005-0000-0000-000058010000}"/>
    <cellStyle name="Normál 13" xfId="351" xr:uid="{00000000-0005-0000-0000-000059010000}"/>
    <cellStyle name="Normál 14" xfId="172" xr:uid="{00000000-0005-0000-0000-00005A010000}"/>
    <cellStyle name="Normál 15" xfId="353" xr:uid="{00000000-0005-0000-0000-00005B010000}"/>
    <cellStyle name="Normál 16" xfId="368" xr:uid="{00000000-0005-0000-0000-00005C010000}"/>
    <cellStyle name="Normál 17" xfId="382" xr:uid="{00000000-0005-0000-0000-00005D010000}"/>
    <cellStyle name="Normál 18" xfId="409" xr:uid="{00000000-0005-0000-0000-00005E010000}"/>
    <cellStyle name="Normal 2" xfId="181" xr:uid="{00000000-0005-0000-0000-00005F010000}"/>
    <cellStyle name="Normál 2" xfId="44" xr:uid="{00000000-0005-0000-0000-000060010000}"/>
    <cellStyle name="Normál 2 2" xfId="81" xr:uid="{00000000-0005-0000-0000-000061010000}"/>
    <cellStyle name="Normál 2 2 2" xfId="253" xr:uid="{00000000-0005-0000-0000-000062010000}"/>
    <cellStyle name="Normál 2 3" xfId="212" xr:uid="{00000000-0005-0000-0000-000063010000}"/>
    <cellStyle name="Normál 3" xfId="73" xr:uid="{00000000-0005-0000-0000-000064010000}"/>
    <cellStyle name="Normál 3 2" xfId="83" xr:uid="{00000000-0005-0000-0000-000065010000}"/>
    <cellStyle name="Normál 3 2 2" xfId="256" xr:uid="{00000000-0005-0000-0000-000066010000}"/>
    <cellStyle name="Normál 3 3" xfId="217" xr:uid="{00000000-0005-0000-0000-000067010000}"/>
    <cellStyle name="Normál 4" xfId="75" xr:uid="{00000000-0005-0000-0000-000068010000}"/>
    <cellStyle name="Normál 4 2" xfId="85" xr:uid="{00000000-0005-0000-0000-000069010000}"/>
    <cellStyle name="Normál 4 2 2" xfId="258" xr:uid="{00000000-0005-0000-0000-00006A010000}"/>
    <cellStyle name="Normál 4 3" xfId="219" xr:uid="{00000000-0005-0000-0000-00006B010000}"/>
    <cellStyle name="Normál 4 4" xfId="180" xr:uid="{00000000-0005-0000-0000-00006C010000}"/>
    <cellStyle name="Normál 5" xfId="127" xr:uid="{00000000-0005-0000-0000-00006D010000}"/>
    <cellStyle name="Normál 5 2" xfId="223" xr:uid="{00000000-0005-0000-0000-00006E010000}"/>
    <cellStyle name="Normál 5 3" xfId="193" xr:uid="{00000000-0005-0000-0000-00006F010000}"/>
    <cellStyle name="Normál 6" xfId="129" xr:uid="{00000000-0005-0000-0000-000070010000}"/>
    <cellStyle name="Normál 6 2" xfId="262" xr:uid="{00000000-0005-0000-0000-000071010000}"/>
    <cellStyle name="Normál 6 3" xfId="225" xr:uid="{00000000-0005-0000-0000-000072010000}"/>
    <cellStyle name="Normál 6 4" xfId="194" xr:uid="{00000000-0005-0000-0000-000073010000}"/>
    <cellStyle name="Normál 7" xfId="77" xr:uid="{00000000-0005-0000-0000-000074010000}"/>
    <cellStyle name="Normál 7 2" xfId="252" xr:uid="{00000000-0005-0000-0000-000075010000}"/>
    <cellStyle name="Normál 7 3" xfId="207" xr:uid="{00000000-0005-0000-0000-000076010000}"/>
    <cellStyle name="Normál 8" xfId="143" xr:uid="{00000000-0005-0000-0000-000077010000}"/>
    <cellStyle name="Normál 8 2" xfId="239" xr:uid="{00000000-0005-0000-0000-000078010000}"/>
    <cellStyle name="Normál 8 3" xfId="210" xr:uid="{00000000-0005-0000-0000-000079010000}"/>
    <cellStyle name="Normál 9" xfId="157" xr:uid="{00000000-0005-0000-0000-00007A010000}"/>
    <cellStyle name="Normál 9 2" xfId="215" xr:uid="{00000000-0005-0000-0000-00007B010000}"/>
    <cellStyle name="Normal_0809DWMsepmr1_09下P様式_PL兼エレ対資料(KFT)" xfId="348" xr:uid="{00000000-0005-0000-0000-00007C010000}"/>
    <cellStyle name="Összesen" xfId="19" builtinId="25" customBuiltin="1"/>
    <cellStyle name="Összesen 2" xfId="102" xr:uid="{00000000-0005-0000-0000-00007E010000}"/>
    <cellStyle name="Pénznem" xfId="1" builtinId="4"/>
    <cellStyle name="Pénznem 2" xfId="175" xr:uid="{00000000-0005-0000-0000-000080010000}"/>
    <cellStyle name="Pénznem 2 2" xfId="178" xr:uid="{00000000-0005-0000-0000-000081010000}"/>
    <cellStyle name="Pénznem 2 2 2" xfId="190" xr:uid="{00000000-0005-0000-0000-000082010000}"/>
    <cellStyle name="Pénznem 2 2 2 2" xfId="287" xr:uid="{00000000-0005-0000-0000-000083010000}"/>
    <cellStyle name="Pénznem 2 2 2 2 2" xfId="329" xr:uid="{00000000-0005-0000-0000-000084010000}"/>
    <cellStyle name="Pénznem 2 2 2 3" xfId="308" xr:uid="{00000000-0005-0000-0000-000085010000}"/>
    <cellStyle name="Pénznem 2 2 3" xfId="281" xr:uid="{00000000-0005-0000-0000-000086010000}"/>
    <cellStyle name="Pénznem 2 2 3 2" xfId="323" xr:uid="{00000000-0005-0000-0000-000087010000}"/>
    <cellStyle name="Pénznem 2 2 4" xfId="302" xr:uid="{00000000-0005-0000-0000-000088010000}"/>
    <cellStyle name="Pénznem 2 3" xfId="188" xr:uid="{00000000-0005-0000-0000-000089010000}"/>
    <cellStyle name="Pénznem 2 3 2" xfId="285" xr:uid="{00000000-0005-0000-0000-00008A010000}"/>
    <cellStyle name="Pénznem 2 3 2 2" xfId="327" xr:uid="{00000000-0005-0000-0000-00008B010000}"/>
    <cellStyle name="Pénznem 2 3 3" xfId="306" xr:uid="{00000000-0005-0000-0000-00008C010000}"/>
    <cellStyle name="Pénznem 2 4" xfId="279" xr:uid="{00000000-0005-0000-0000-00008D010000}"/>
    <cellStyle name="Pénznem 2 4 2" xfId="321" xr:uid="{00000000-0005-0000-0000-00008E010000}"/>
    <cellStyle name="Pénznem 2 5" xfId="300" xr:uid="{00000000-0005-0000-0000-00008F010000}"/>
    <cellStyle name="Percent 2" xfId="184" xr:uid="{00000000-0005-0000-0000-000090010000}"/>
    <cellStyle name="Rossz" xfId="10" builtinId="27" customBuiltin="1"/>
    <cellStyle name="Rossz 2" xfId="93" xr:uid="{00000000-0005-0000-0000-000092010000}"/>
    <cellStyle name="Semleges" xfId="11" builtinId="28" customBuiltin="1"/>
    <cellStyle name="Semleges 2" xfId="94" xr:uid="{00000000-0005-0000-0000-000094010000}"/>
    <cellStyle name="Számítás" xfId="14" builtinId="22" customBuiltin="1"/>
    <cellStyle name="Számítás 2" xfId="97" xr:uid="{00000000-0005-0000-0000-000096010000}"/>
    <cellStyle name="Százalék" xfId="2" builtinId="5"/>
    <cellStyle name="Százalék 2" xfId="59" xr:uid="{00000000-0005-0000-0000-000098010000}"/>
    <cellStyle name="Százalék 2 2" xfId="86" xr:uid="{00000000-0005-0000-0000-000099010000}"/>
    <cellStyle name="Százalék 2 2 2" xfId="176" xr:uid="{00000000-0005-0000-0000-00009A010000}"/>
    <cellStyle name="Százalék 2 3" xfId="211" xr:uid="{00000000-0005-0000-0000-00009B010000}"/>
    <cellStyle name="Százalék 2 4" xfId="260" xr:uid="{00000000-0005-0000-0000-00009C010000}"/>
    <cellStyle name="Százalék 2 5" xfId="173" xr:uid="{00000000-0005-0000-0000-00009D010000}"/>
    <cellStyle name="Százalék 3" xfId="76" xr:uid="{00000000-0005-0000-0000-00009E010000}"/>
    <cellStyle name="Százalék 3 2" xfId="185" xr:uid="{00000000-0005-0000-0000-00009F010000}"/>
    <cellStyle name="Százalék 4" xfId="209" xr:uid="{00000000-0005-0000-0000-0000A0010000}"/>
    <cellStyle name="Százalék 5" xfId="221" xr:uid="{00000000-0005-0000-0000-0000A1010000}"/>
    <cellStyle name="Százalék 6" xfId="346" xr:uid="{00000000-0005-0000-0000-0000A2010000}"/>
    <cellStyle name="桁区切り 3" xfId="182" xr:uid="{00000000-0005-0000-0000-0000A3010000}"/>
    <cellStyle name="桁区切り 4" xfId="349" xr:uid="{00000000-0005-0000-0000-0000A4010000}"/>
    <cellStyle name="標準 3" xfId="350" xr:uid="{00000000-0005-0000-0000-0000A5010000}"/>
    <cellStyle name="標準_DWM0909 SEPE" xfId="347" xr:uid="{00000000-0005-0000-0000-0000A6010000}"/>
  </cellStyles>
  <dxfs count="7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yyyy/mm/dd\ h:mm"/>
    </dxf>
    <dxf>
      <numFmt numFmtId="2" formatCode="0.00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4FDE525-72C7-421F-8B59-E64093F1597D}"/>
  </tableStyles>
  <colors>
    <mruColors>
      <color rgb="FFFF33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Létszám nyomonkövetés / Head count</a:t>
            </a:r>
            <a:r>
              <a:rPr lang="hu-HU" baseline="0"/>
              <a:t> monitoring</a:t>
            </a:r>
            <a:endParaRPr lang="hu-H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323098888978452"/>
          <c:y val="7.2807065133808246E-2"/>
          <c:w val="0.86889570635383651"/>
          <c:h val="0.63613624219694664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Headcount!$F$9</c:f>
              <c:strCache>
                <c:ptCount val="1"/>
                <c:pt idx="0">
                  <c:v>Daily Actual HC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Headcount!$A$10:$A$29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Headcount!$F$10:$F$32</c:f>
              <c:numCache>
                <c:formatCode>General</c:formatCode>
                <c:ptCount val="23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19</c:v>
                </c:pt>
                <c:pt idx="7">
                  <c:v>18</c:v>
                </c:pt>
                <c:pt idx="8">
                  <c:v>19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E8-4FF5-B302-28AA2AF15A91}"/>
            </c:ext>
          </c:extLst>
        </c:ser>
        <c:ser>
          <c:idx val="5"/>
          <c:order val="1"/>
          <c:tx>
            <c:strRef>
              <c:f>Headcount!$B$9</c:f>
              <c:strCache>
                <c:ptCount val="1"/>
                <c:pt idx="0">
                  <c:v>Netto HC plan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Headcount!$A$10:$A$29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Headcount!$B$10:$B$32</c:f>
              <c:numCache>
                <c:formatCode>_-* #\ ##0\ _F_t_-;\-* #\ ##0\ _F_t_-;_-* "-"??\ _F_t_-;_-@_-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23</c:v>
                </c:pt>
                <c:pt idx="10">
                  <c:v>20</c:v>
                </c:pt>
                <c:pt idx="11">
                  <c:v>21</c:v>
                </c:pt>
                <c:pt idx="12">
                  <c:v>16</c:v>
                </c:pt>
                <c:pt idx="13">
                  <c:v>17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E8-4FF5-B302-28AA2AF15A91}"/>
            </c:ext>
          </c:extLst>
        </c:ser>
        <c:ser>
          <c:idx val="1"/>
          <c:order val="2"/>
          <c:tx>
            <c:v>Daily HC plan</c:v>
          </c:tx>
          <c:spPr>
            <a:solidFill>
              <a:schemeClr val="accent2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Headcount!$A$10:$A$29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Lit>
              <c:formatCode>General</c:formatCode>
              <c:ptCount val="22"/>
              <c:pt idx="0">
                <c:v>28</c:v>
              </c:pt>
              <c:pt idx="1">
                <c:v>28</c:v>
              </c:pt>
              <c:pt idx="2">
                <c:v>34</c:v>
              </c:pt>
              <c:pt idx="3">
                <c:v>35</c:v>
              </c:pt>
              <c:pt idx="4">
                <c:v>35</c:v>
              </c:pt>
              <c:pt idx="5">
                <c:v>36</c:v>
              </c:pt>
              <c:pt idx="6">
                <c:v>35</c:v>
              </c:pt>
              <c:pt idx="7">
                <c:v>35</c:v>
              </c:pt>
              <c:pt idx="8">
                <c:v>38</c:v>
              </c:pt>
              <c:pt idx="9">
                <c:v>38</c:v>
              </c:pt>
              <c:pt idx="10">
                <c:v>36</c:v>
              </c:pt>
              <c:pt idx="11">
                <c:v>36</c:v>
              </c:pt>
              <c:pt idx="12">
                <c:v>39</c:v>
              </c:pt>
              <c:pt idx="13">
                <c:v>40</c:v>
              </c:pt>
              <c:pt idx="14">
                <c:v>44</c:v>
              </c:pt>
              <c:pt idx="15">
                <c:v>47</c:v>
              </c:pt>
              <c:pt idx="16">
                <c:v>50</c:v>
              </c:pt>
              <c:pt idx="17">
                <c:v>46</c:v>
              </c:pt>
              <c:pt idx="18">
                <c:v>46</c:v>
              </c:pt>
              <c:pt idx="19">
                <c:v>33</c:v>
              </c:pt>
              <c:pt idx="20">
                <c:v>23</c:v>
              </c:pt>
              <c:pt idx="21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F3E8-4FF5-B302-28AA2AF15A91}"/>
            </c:ext>
          </c:extLst>
        </c:ser>
        <c:ser>
          <c:idx val="3"/>
          <c:order val="3"/>
          <c:tx>
            <c:v>Daily Actual HC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Headcount!$A$10:$A$29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Lit>
              <c:formatCode>General</c:formatCode>
              <c:ptCount val="22"/>
              <c:pt idx="0">
                <c:v>34</c:v>
              </c:pt>
              <c:pt idx="1">
                <c:v>34</c:v>
              </c:pt>
              <c:pt idx="2">
                <c:v>36</c:v>
              </c:pt>
              <c:pt idx="3">
                <c:v>38</c:v>
              </c:pt>
              <c:pt idx="4">
                <c:v>33</c:v>
              </c:pt>
              <c:pt idx="5">
                <c:v>39</c:v>
              </c:pt>
              <c:pt idx="6">
                <c:v>38</c:v>
              </c:pt>
              <c:pt idx="7">
                <c:v>33</c:v>
              </c:pt>
              <c:pt idx="8">
                <c:v>38</c:v>
              </c:pt>
              <c:pt idx="9">
                <c:v>38</c:v>
              </c:pt>
              <c:pt idx="10">
                <c:v>29</c:v>
              </c:pt>
              <c:pt idx="11">
                <c:v>26</c:v>
              </c:pt>
              <c:pt idx="12">
                <c:v>28</c:v>
              </c:pt>
              <c:pt idx="13">
                <c:v>38</c:v>
              </c:pt>
              <c:pt idx="14">
                <c:v>33</c:v>
              </c:pt>
              <c:pt idx="15">
                <c:v>34</c:v>
              </c:pt>
              <c:pt idx="16">
                <c:v>37</c:v>
              </c:pt>
              <c:pt idx="17">
                <c:v>34</c:v>
              </c:pt>
              <c:pt idx="18">
                <c:v>33</c:v>
              </c:pt>
              <c:pt idx="19">
                <c:v>31</c:v>
              </c:pt>
              <c:pt idx="20">
                <c:v>38</c:v>
              </c:pt>
              <c:pt idx="21">
                <c:v>37</c:v>
              </c:pt>
            </c:numLit>
          </c:val>
          <c:extLst>
            <c:ext xmlns:c16="http://schemas.microsoft.com/office/drawing/2014/chart" uri="{C3380CC4-5D6E-409C-BE32-E72D297353CC}">
              <c16:uniqueId val="{00000003-F3E8-4FF5-B302-28AA2AF15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727472"/>
        <c:axId val="157726296"/>
      </c:barChart>
      <c:lineChart>
        <c:grouping val="standard"/>
        <c:varyColors val="0"/>
        <c:ser>
          <c:idx val="0"/>
          <c:order val="4"/>
          <c:tx>
            <c:v>Daily Actual HC AVG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Lit>
              <c:formatCode>General</c:formatCode>
              <c:ptCount val="22"/>
              <c:pt idx="0">
                <c:v>34.5</c:v>
              </c:pt>
              <c:pt idx="1">
                <c:v>34.5</c:v>
              </c:pt>
              <c:pt idx="2">
                <c:v>34.5</c:v>
              </c:pt>
              <c:pt idx="3">
                <c:v>34.5</c:v>
              </c:pt>
              <c:pt idx="4">
                <c:v>34.5</c:v>
              </c:pt>
              <c:pt idx="5">
                <c:v>34.5</c:v>
              </c:pt>
              <c:pt idx="6">
                <c:v>34.5</c:v>
              </c:pt>
              <c:pt idx="7">
                <c:v>34.5</c:v>
              </c:pt>
              <c:pt idx="8">
                <c:v>34.5</c:v>
              </c:pt>
              <c:pt idx="9">
                <c:v>34.5</c:v>
              </c:pt>
              <c:pt idx="10">
                <c:v>34.5</c:v>
              </c:pt>
              <c:pt idx="11">
                <c:v>34.5</c:v>
              </c:pt>
              <c:pt idx="12">
                <c:v>34.5</c:v>
              </c:pt>
              <c:pt idx="13">
                <c:v>34.5</c:v>
              </c:pt>
              <c:pt idx="14">
                <c:v>34.5</c:v>
              </c:pt>
              <c:pt idx="15">
                <c:v>34.5</c:v>
              </c:pt>
              <c:pt idx="16">
                <c:v>34.5</c:v>
              </c:pt>
              <c:pt idx="17">
                <c:v>34.5</c:v>
              </c:pt>
              <c:pt idx="18">
                <c:v>34.5</c:v>
              </c:pt>
              <c:pt idx="19">
                <c:v>34.5</c:v>
              </c:pt>
              <c:pt idx="20">
                <c:v>34.5</c:v>
              </c:pt>
              <c:pt idx="21">
                <c:v>34.5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3E8-4FF5-B302-28AA2AF15A91}"/>
            </c:ext>
          </c:extLst>
        </c:ser>
        <c:ser>
          <c:idx val="2"/>
          <c:order val="5"/>
          <c:tx>
            <c:v>Daily HC plan AVG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Lit>
              <c:formatCode>General</c:formatCode>
              <c:ptCount val="22"/>
              <c:pt idx="0">
                <c:v>35.863636363636303</c:v>
              </c:pt>
              <c:pt idx="1">
                <c:v>35.863636363636303</c:v>
              </c:pt>
              <c:pt idx="2">
                <c:v>35.863636363636303</c:v>
              </c:pt>
              <c:pt idx="3">
                <c:v>35.863636363636303</c:v>
              </c:pt>
              <c:pt idx="4">
                <c:v>35.863636363636303</c:v>
              </c:pt>
              <c:pt idx="5">
                <c:v>35.863636363636303</c:v>
              </c:pt>
              <c:pt idx="6">
                <c:v>35.863636363636303</c:v>
              </c:pt>
              <c:pt idx="7">
                <c:v>35.863636363636303</c:v>
              </c:pt>
              <c:pt idx="8">
                <c:v>35.863636363636303</c:v>
              </c:pt>
              <c:pt idx="9">
                <c:v>35.863636363636303</c:v>
              </c:pt>
              <c:pt idx="10">
                <c:v>35.863636363636303</c:v>
              </c:pt>
              <c:pt idx="11">
                <c:v>35.863636363636303</c:v>
              </c:pt>
              <c:pt idx="12">
                <c:v>35.863636363636303</c:v>
              </c:pt>
              <c:pt idx="13">
                <c:v>35.863636363636303</c:v>
              </c:pt>
              <c:pt idx="14">
                <c:v>35.863636363636303</c:v>
              </c:pt>
              <c:pt idx="15">
                <c:v>35.863636363636303</c:v>
              </c:pt>
              <c:pt idx="16">
                <c:v>35.863636363636303</c:v>
              </c:pt>
              <c:pt idx="17">
                <c:v>35.863636363636303</c:v>
              </c:pt>
              <c:pt idx="18">
                <c:v>35.863636363636303</c:v>
              </c:pt>
              <c:pt idx="19">
                <c:v>35.863636363636303</c:v>
              </c:pt>
              <c:pt idx="20">
                <c:v>35.863636363636303</c:v>
              </c:pt>
              <c:pt idx="21">
                <c:v>35.863636363636303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F3E8-4FF5-B302-28AA2AF15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27472"/>
        <c:axId val="157726296"/>
      </c:lineChart>
      <c:catAx>
        <c:axId val="15772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726296"/>
        <c:crosses val="autoZero"/>
        <c:auto val="1"/>
        <c:lblAlgn val="ctr"/>
        <c:lblOffset val="100"/>
        <c:noMultiLvlLbl val="0"/>
      </c:catAx>
      <c:valAx>
        <c:axId val="15772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727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169919017774271"/>
          <c:y val="0.85866424678692799"/>
          <c:w val="0.76830084990301351"/>
          <c:h val="3.1897100098557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Létszám nyomonkövetés / Head count</a:t>
            </a:r>
            <a:r>
              <a:rPr lang="hu-HU" baseline="0"/>
              <a:t> monitoring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0323098888978452"/>
          <c:y val="7.2807065133808246E-2"/>
          <c:w val="0.86889570635383651"/>
          <c:h val="0.6361362421969466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Headcount!$B$9</c:f>
              <c:strCache>
                <c:ptCount val="1"/>
                <c:pt idx="0">
                  <c:v>Netto HC plan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Headcount!$A$10:$A$32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Headcount!$B$10:$B$32</c:f>
              <c:numCache>
                <c:formatCode>_-* #\ ##0\ _F_t_-;\-* #\ ##0\ _F_t_-;_-* "-"??\ _F_t_-;_-@_-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23</c:v>
                </c:pt>
                <c:pt idx="10">
                  <c:v>20</c:v>
                </c:pt>
                <c:pt idx="11">
                  <c:v>21</c:v>
                </c:pt>
                <c:pt idx="12">
                  <c:v>16</c:v>
                </c:pt>
                <c:pt idx="13">
                  <c:v>17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E-4B05-A76E-56F0E4F6D52B}"/>
            </c:ext>
          </c:extLst>
        </c:ser>
        <c:ser>
          <c:idx val="3"/>
          <c:order val="1"/>
          <c:tx>
            <c:strRef>
              <c:f>Headcount!$F$9</c:f>
              <c:strCache>
                <c:ptCount val="1"/>
                <c:pt idx="0">
                  <c:v>Daily Actual HC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Headcount!$A$10:$A$32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Headcount!$F$10:$F$32</c:f>
              <c:numCache>
                <c:formatCode>General</c:formatCode>
                <c:ptCount val="23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19</c:v>
                </c:pt>
                <c:pt idx="7">
                  <c:v>18</c:v>
                </c:pt>
                <c:pt idx="8">
                  <c:v>19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E-4B05-A76E-56F0E4F6D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727472"/>
        <c:axId val="157726296"/>
      </c:barChart>
      <c:lineChart>
        <c:grouping val="standard"/>
        <c:varyColors val="0"/>
        <c:ser>
          <c:idx val="0"/>
          <c:order val="2"/>
          <c:tx>
            <c:strRef>
              <c:f>Headcount!$K$9</c:f>
              <c:strCache>
                <c:ptCount val="1"/>
                <c:pt idx="0">
                  <c:v>Daily Actual HC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Headcount!$K$10:$K$32</c:f>
              <c:numCache>
                <c:formatCode>0</c:formatCode>
                <c:ptCount val="23"/>
                <c:pt idx="0">
                  <c:v>17</c:v>
                </c:pt>
                <c:pt idx="1">
                  <c:v>16</c:v>
                </c:pt>
                <c:pt idx="2">
                  <c:v>16.5</c:v>
                </c:pt>
                <c:pt idx="3">
                  <c:v>16.75</c:v>
                </c:pt>
                <c:pt idx="4">
                  <c:v>15.875</c:v>
                </c:pt>
                <c:pt idx="5">
                  <c:v>17.4375</c:v>
                </c:pt>
                <c:pt idx="6">
                  <c:v>18.21875</c:v>
                </c:pt>
                <c:pt idx="7">
                  <c:v>18.109375</c:v>
                </c:pt>
                <c:pt idx="8">
                  <c:v>18.5546875</c:v>
                </c:pt>
                <c:pt idx="9">
                  <c:v>14.77734375</c:v>
                </c:pt>
                <c:pt idx="10">
                  <c:v>12.888671875</c:v>
                </c:pt>
                <c:pt idx="11">
                  <c:v>11.9443359375</c:v>
                </c:pt>
                <c:pt idx="12">
                  <c:v>11.47216796875</c:v>
                </c:pt>
                <c:pt idx="13">
                  <c:v>11.236083984375</c:v>
                </c:pt>
                <c:pt idx="14">
                  <c:v>11.1180419921875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E-4B05-A76E-56F0E4F6D52B}"/>
            </c:ext>
          </c:extLst>
        </c:ser>
        <c:ser>
          <c:idx val="2"/>
          <c:order val="3"/>
          <c:tx>
            <c:strRef>
              <c:f>Headcount!$L$9</c:f>
              <c:strCache>
                <c:ptCount val="1"/>
                <c:pt idx="0">
                  <c:v>Daily HC plan AVG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Headcount!$L$10:$L$32</c:f>
              <c:numCache>
                <c:formatCode>0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EE-4B05-A76E-56F0E4F6D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27472"/>
        <c:axId val="157726296"/>
      </c:lineChart>
      <c:catAx>
        <c:axId val="15772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726296"/>
        <c:crosses val="autoZero"/>
        <c:auto val="1"/>
        <c:lblAlgn val="ctr"/>
        <c:lblOffset val="100"/>
        <c:noMultiLvlLbl val="0"/>
      </c:catAx>
      <c:valAx>
        <c:axId val="15772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72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169919017774271"/>
          <c:y val="0.85866424678692799"/>
          <c:w val="0.76830084990301351"/>
          <c:h val="3.1897100098557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Létszám nyomonkövetés / Head count</a:t>
            </a:r>
            <a:r>
              <a:rPr lang="hu-HU" baseline="0"/>
              <a:t> monitoring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0323098888978452"/>
          <c:y val="7.2807065133808246E-2"/>
          <c:w val="0.86889570635383651"/>
          <c:h val="0.6361362421969466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Headcount!$B$9</c:f>
              <c:strCache>
                <c:ptCount val="1"/>
                <c:pt idx="0">
                  <c:v>Netto HC plan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Headcount!$A$10:$A$32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Headcount!$B$10:$B$32</c:f>
              <c:numCache>
                <c:formatCode>_-* #\ ##0\ _F_t_-;\-* #\ ##0\ _F_t_-;_-* "-"??\ _F_t_-;_-@_-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23</c:v>
                </c:pt>
                <c:pt idx="10">
                  <c:v>20</c:v>
                </c:pt>
                <c:pt idx="11">
                  <c:v>21</c:v>
                </c:pt>
                <c:pt idx="12">
                  <c:v>16</c:v>
                </c:pt>
                <c:pt idx="13">
                  <c:v>17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D-41C9-B227-F43DF82B9BCC}"/>
            </c:ext>
          </c:extLst>
        </c:ser>
        <c:ser>
          <c:idx val="3"/>
          <c:order val="1"/>
          <c:tx>
            <c:strRef>
              <c:f>Headcount!$F$9</c:f>
              <c:strCache>
                <c:ptCount val="1"/>
                <c:pt idx="0">
                  <c:v>Daily Actual HC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Headcount!$A$10:$A$32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Headcount!$F$10:$F$32</c:f>
              <c:numCache>
                <c:formatCode>General</c:formatCode>
                <c:ptCount val="23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19</c:v>
                </c:pt>
                <c:pt idx="7">
                  <c:v>18</c:v>
                </c:pt>
                <c:pt idx="8">
                  <c:v>19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D-41C9-B227-F43DF82B9BCC}"/>
            </c:ext>
          </c:extLst>
        </c:ser>
        <c:ser>
          <c:idx val="4"/>
          <c:order val="4"/>
          <c:tx>
            <c:strRef>
              <c:f>Headcount!$I$9</c:f>
              <c:strCache>
                <c:ptCount val="1"/>
                <c:pt idx="0">
                  <c:v>FFC direct+indirect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Headcount!$I$10:$I$30</c:f>
              <c:numCache>
                <c:formatCode>General</c:formatCode>
                <c:ptCount val="21"/>
                <c:pt idx="0">
                  <c:v>23</c:v>
                </c:pt>
                <c:pt idx="1">
                  <c:v>22</c:v>
                </c:pt>
                <c:pt idx="2">
                  <c:v>23</c:v>
                </c:pt>
                <c:pt idx="3">
                  <c:v>23</c:v>
                </c:pt>
                <c:pt idx="4">
                  <c:v>21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25</c:v>
                </c:pt>
                <c:pt idx="9">
                  <c:v>16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B-4CE1-97AB-D82B8D76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727472"/>
        <c:axId val="157726296"/>
      </c:barChart>
      <c:lineChart>
        <c:grouping val="standard"/>
        <c:varyColors val="0"/>
        <c:ser>
          <c:idx val="0"/>
          <c:order val="2"/>
          <c:tx>
            <c:strRef>
              <c:f>Headcount!$K$9</c:f>
              <c:strCache>
                <c:ptCount val="1"/>
                <c:pt idx="0">
                  <c:v>Daily Actual HC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Headcount!$K$10:$K$30</c:f>
              <c:numCache>
                <c:formatCode>0</c:formatCode>
                <c:ptCount val="21"/>
                <c:pt idx="0">
                  <c:v>17</c:v>
                </c:pt>
                <c:pt idx="1">
                  <c:v>16</c:v>
                </c:pt>
                <c:pt idx="2">
                  <c:v>16.5</c:v>
                </c:pt>
                <c:pt idx="3">
                  <c:v>16.75</c:v>
                </c:pt>
                <c:pt idx="4">
                  <c:v>15.875</c:v>
                </c:pt>
                <c:pt idx="5">
                  <c:v>17.4375</c:v>
                </c:pt>
                <c:pt idx="6">
                  <c:v>18.21875</c:v>
                </c:pt>
                <c:pt idx="7">
                  <c:v>18.109375</c:v>
                </c:pt>
                <c:pt idx="8">
                  <c:v>18.5546875</c:v>
                </c:pt>
                <c:pt idx="9">
                  <c:v>14.77734375</c:v>
                </c:pt>
                <c:pt idx="10">
                  <c:v>12.888671875</c:v>
                </c:pt>
                <c:pt idx="11">
                  <c:v>11.9443359375</c:v>
                </c:pt>
                <c:pt idx="12">
                  <c:v>11.47216796875</c:v>
                </c:pt>
                <c:pt idx="13">
                  <c:v>11.236083984375</c:v>
                </c:pt>
                <c:pt idx="14">
                  <c:v>11.1180419921875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3D-41C9-B227-F43DF82B9BCC}"/>
            </c:ext>
          </c:extLst>
        </c:ser>
        <c:ser>
          <c:idx val="2"/>
          <c:order val="3"/>
          <c:tx>
            <c:strRef>
              <c:f>Headcount!$L$9</c:f>
              <c:strCache>
                <c:ptCount val="1"/>
                <c:pt idx="0">
                  <c:v>Daily HC plan AVG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Headcount!$L$10:$L$32</c:f>
              <c:numCache>
                <c:formatCode>0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3D-41C9-B227-F43DF82B9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27472"/>
        <c:axId val="157726296"/>
      </c:lineChart>
      <c:catAx>
        <c:axId val="15772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726296"/>
        <c:crosses val="autoZero"/>
        <c:auto val="1"/>
        <c:lblAlgn val="ctr"/>
        <c:lblOffset val="100"/>
        <c:noMultiLvlLbl val="0"/>
      </c:catAx>
      <c:valAx>
        <c:axId val="15772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72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169919017774271"/>
          <c:y val="0.85866424678692799"/>
          <c:w val="0.72870980038440247"/>
          <c:h val="7.3163843473125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AD</a:t>
            </a:r>
            <a:r>
              <a:rPr lang="hu-HU" baseline="0"/>
              <a:t> AMI kimenet nyomonkövetés / </a:t>
            </a:r>
          </a:p>
          <a:p>
            <a:pPr>
              <a:defRPr/>
            </a:pPr>
            <a:r>
              <a:rPr lang="hu-HU"/>
              <a:t>AD AMI output</a:t>
            </a:r>
            <a:r>
              <a:rPr lang="hu-HU" baseline="0"/>
              <a:t> follow up</a:t>
            </a:r>
            <a:endParaRPr lang="hu-HU"/>
          </a:p>
        </c:rich>
      </c:tx>
      <c:layout>
        <c:manualLayout>
          <c:xMode val="edge"/>
          <c:yMode val="edge"/>
          <c:x val="0.3432874813508162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2"/>
          <c:tx>
            <c:strRef>
              <c:f>ADAMI!$F$8</c:f>
              <c:strCache>
                <c:ptCount val="1"/>
                <c:pt idx="0">
                  <c:v>Teljes kimenet / Total output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ADAMI!$A$9:$A$23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ADAMI!$F$9:$F$23</c:f>
              <c:numCache>
                <c:formatCode>_-* #\ ##0\ _F_t_-;\-* #\ ##0\ _F_t_-;_-* "-"??\ _F_t_-;_-@_-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2239</c:v>
                </c:pt>
                <c:pt idx="7">
                  <c:v>5513</c:v>
                </c:pt>
                <c:pt idx="8">
                  <c:v>1250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8F-43EF-9DC6-19ABF9755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603256"/>
        <c:axId val="471598552"/>
      </c:barChart>
      <c:lineChart>
        <c:grouping val="standard"/>
        <c:varyColors val="0"/>
        <c:ser>
          <c:idx val="1"/>
          <c:order val="3"/>
          <c:tx>
            <c:strRef>
              <c:f>ADAMI!$B$8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ADAMI!$B$9:$B$23</c:f>
              <c:numCache>
                <c:formatCode>0</c:formatCode>
                <c:ptCount val="15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8F-43EF-9DC6-19ABF9755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603256"/>
        <c:axId val="471598552"/>
      </c:lineChart>
      <c:lineChart>
        <c:grouping val="standard"/>
        <c:varyColors val="0"/>
        <c:ser>
          <c:idx val="2"/>
          <c:order val="0"/>
          <c:tx>
            <c:strRef>
              <c:f>ADAMI!$D$8</c:f>
              <c:strCache>
                <c:ptCount val="1"/>
                <c:pt idx="0">
                  <c:v>Kumulált terv / Cumulative plan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ADAMI!$D$9:$D$23</c:f>
              <c:numCache>
                <c:formatCode>_-* #\ ##0\ _F_t_-;\-* #\ ##0\ _F_t_-;_-* "-"??\ _F_t_-;_-@_-</c:formatCode>
                <c:ptCount val="15"/>
                <c:pt idx="0">
                  <c:v>600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  <c:pt idx="4">
                  <c:v>3000</c:v>
                </c:pt>
                <c:pt idx="5">
                  <c:v>3600</c:v>
                </c:pt>
                <c:pt idx="6">
                  <c:v>4200</c:v>
                </c:pt>
                <c:pt idx="7">
                  <c:v>4800</c:v>
                </c:pt>
                <c:pt idx="8">
                  <c:v>5400</c:v>
                </c:pt>
                <c:pt idx="9">
                  <c:v>6000</c:v>
                </c:pt>
                <c:pt idx="10">
                  <c:v>6600</c:v>
                </c:pt>
                <c:pt idx="11">
                  <c:v>7200</c:v>
                </c:pt>
                <c:pt idx="12">
                  <c:v>7800</c:v>
                </c:pt>
                <c:pt idx="13">
                  <c:v>8400</c:v>
                </c:pt>
                <c:pt idx="14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8F-43EF-9DC6-19ABF975566A}"/>
            </c:ext>
          </c:extLst>
        </c:ser>
        <c:ser>
          <c:idx val="3"/>
          <c:order val="1"/>
          <c:tx>
            <c:strRef>
              <c:f>ADAMI!$E$8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ADAMI!$E$9:$E$23</c:f>
              <c:numCache>
                <c:formatCode>_-* #\ ##0\ _F_t_-;\-* #\ ##0\ _F_t_-;_-* "-"??\ _F_t_-;_-@_-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2245</c:v>
                </c:pt>
                <c:pt idx="7">
                  <c:v>7758</c:v>
                </c:pt>
                <c:pt idx="8">
                  <c:v>9008</c:v>
                </c:pt>
                <c:pt idx="9">
                  <c:v>9009</c:v>
                </c:pt>
                <c:pt idx="10">
                  <c:v>9010</c:v>
                </c:pt>
                <c:pt idx="11">
                  <c:v>9011</c:v>
                </c:pt>
                <c:pt idx="12">
                  <c:v>9012</c:v>
                </c:pt>
                <c:pt idx="13">
                  <c:v>9013</c:v>
                </c:pt>
                <c:pt idx="14">
                  <c:v>9014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8F-43EF-9DC6-19ABF9755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5808"/>
        <c:axId val="471598944"/>
      </c:lineChart>
      <c:catAx>
        <c:axId val="47160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8552"/>
        <c:crosses val="autoZero"/>
        <c:auto val="1"/>
        <c:lblAlgn val="ctr"/>
        <c:lblOffset val="100"/>
        <c:noMultiLvlLbl val="0"/>
      </c:catAx>
      <c:valAx>
        <c:axId val="47159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603256"/>
        <c:crosses val="autoZero"/>
        <c:crossBetween val="between"/>
      </c:valAx>
      <c:valAx>
        <c:axId val="471598944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5808"/>
        <c:crosses val="max"/>
        <c:crossBetween val="between"/>
      </c:valAx>
      <c:catAx>
        <c:axId val="471595808"/>
        <c:scaling>
          <c:orientation val="minMax"/>
        </c:scaling>
        <c:delete val="1"/>
        <c:axPos val="b"/>
        <c:majorTickMark val="out"/>
        <c:minorTickMark val="none"/>
        <c:tickLblPos val="nextTo"/>
        <c:crossAx val="47159894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AD AMI Hatékonyság / AD AMI</a:t>
            </a:r>
            <a:r>
              <a:rPr lang="hu-HU" baseline="0"/>
              <a:t> </a:t>
            </a:r>
            <a:r>
              <a:rPr lang="hu-HU"/>
              <a:t>Efficiency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ADAMI!$U$8</c:f>
              <c:strCache>
                <c:ptCount val="1"/>
                <c:pt idx="0">
                  <c:v>Hatékonyság / Efficiency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ADAMI!$U$9:$U$25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1.0949</c:v>
                </c:pt>
                <c:pt idx="7">
                  <c:v>1.0034000000000001</c:v>
                </c:pt>
                <c:pt idx="8">
                  <c:v>1.0096000000000001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1-41A6-83BA-AF39910BF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99336"/>
        <c:axId val="471596200"/>
      </c:barChart>
      <c:lineChart>
        <c:grouping val="standard"/>
        <c:varyColors val="0"/>
        <c:ser>
          <c:idx val="0"/>
          <c:order val="0"/>
          <c:tx>
            <c:strRef>
              <c:f>ADAMI!$S$8</c:f>
              <c:strCache>
                <c:ptCount val="1"/>
                <c:pt idx="0">
                  <c:v>Cél /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ADAMI!$A$9:$A$23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ADAMI!$S$9:$S$23</c:f>
              <c:numCache>
                <c:formatCode>0.00%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1-41A6-83BA-AF39910BF7FA}"/>
            </c:ext>
          </c:extLst>
        </c:ser>
        <c:ser>
          <c:idx val="1"/>
          <c:order val="1"/>
          <c:tx>
            <c:strRef>
              <c:f>ADAMI!$T$8</c:f>
              <c:strCache>
                <c:ptCount val="1"/>
                <c:pt idx="0">
                  <c:v>Hatékonyság (kumulált) / Efficiency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ADAMI!$A$9:$A$23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ADAMI!$T$9:$T$25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1.0949</c:v>
                </c:pt>
                <c:pt idx="7">
                  <c:v>1.04915</c:v>
                </c:pt>
                <c:pt idx="8">
                  <c:v>1.0359666666666667</c:v>
                </c:pt>
                <c:pt idx="9">
                  <c:v>1.0359666666666667</c:v>
                </c:pt>
                <c:pt idx="10">
                  <c:v>1.0359666666666667</c:v>
                </c:pt>
                <c:pt idx="11">
                  <c:v>1.0359666666666667</c:v>
                </c:pt>
                <c:pt idx="12">
                  <c:v>1.0359666666666667</c:v>
                </c:pt>
                <c:pt idx="13">
                  <c:v>1.0359666666666667</c:v>
                </c:pt>
                <c:pt idx="14">
                  <c:v>1.0359666666666667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1-41A6-83BA-AF39910BF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9336"/>
        <c:axId val="471596200"/>
      </c:lineChart>
      <c:catAx>
        <c:axId val="47159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6200"/>
        <c:crosses val="autoZero"/>
        <c:auto val="1"/>
        <c:lblAlgn val="ctr"/>
        <c:lblOffset val="100"/>
        <c:noMultiLvlLbl val="0"/>
      </c:catAx>
      <c:valAx>
        <c:axId val="4715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AD AMI Működési</a:t>
            </a:r>
            <a:r>
              <a:rPr lang="hu-HU" baseline="0"/>
              <a:t> idő</a:t>
            </a:r>
            <a:r>
              <a:rPr lang="hu-HU"/>
              <a:t> / AD AMI</a:t>
            </a:r>
            <a:r>
              <a:rPr lang="hu-HU" baseline="0"/>
              <a:t> </a:t>
            </a:r>
            <a:r>
              <a:rPr lang="hu-HU"/>
              <a:t>Operation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ADAMI!$P$8</c:f>
              <c:strCache>
                <c:ptCount val="1"/>
                <c:pt idx="0">
                  <c:v>Operating hours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ADAMI!$P$9:$P$23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C-47D4-A0A6-AA75EAF9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99336"/>
        <c:axId val="471596200"/>
      </c:barChart>
      <c:lineChart>
        <c:grouping val="standard"/>
        <c:varyColors val="0"/>
        <c:ser>
          <c:idx val="0"/>
          <c:order val="0"/>
          <c:tx>
            <c:strRef>
              <c:f>ADAMI!$Q$8</c:f>
              <c:strCache>
                <c:ptCount val="1"/>
                <c:pt idx="0">
                  <c:v>Available operation hours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ADAMI!$A$9:$A$23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ADAMI!$Q$9:$Q$23</c:f>
              <c:numCache>
                <c:formatCode>General</c:formatCode>
                <c:ptCount val="15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CC-47D4-A0A6-AA75EAF9415D}"/>
            </c:ext>
          </c:extLst>
        </c:ser>
        <c:ser>
          <c:idx val="1"/>
          <c:order val="2"/>
          <c:tx>
            <c:strRef>
              <c:f>ADAMI!$R$8</c:f>
              <c:strCache>
                <c:ptCount val="1"/>
                <c:pt idx="0">
                  <c:v>Daily opeation hours plan 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ADAMI!$A$9:$A$23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ADAMI!$R$9:$R$23</c:f>
              <c:numCache>
                <c:formatCode>0.0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9-4939-AEAD-CCD78572D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9336"/>
        <c:axId val="471596200"/>
      </c:lineChart>
      <c:catAx>
        <c:axId val="47159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6200"/>
        <c:crosses val="autoZero"/>
        <c:auto val="1"/>
        <c:lblAlgn val="ctr"/>
        <c:lblOffset val="100"/>
        <c:noMultiLvlLbl val="0"/>
      </c:catAx>
      <c:valAx>
        <c:axId val="4715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MIM </a:t>
            </a:r>
            <a:r>
              <a:rPr lang="hu-HU" baseline="0"/>
              <a:t>kimenet nyomonkövetés / </a:t>
            </a:r>
          </a:p>
          <a:p>
            <a:pPr>
              <a:defRPr/>
            </a:pPr>
            <a:r>
              <a:rPr lang="hu-HU"/>
              <a:t>MIM output</a:t>
            </a:r>
            <a:r>
              <a:rPr lang="hu-HU" baseline="0"/>
              <a:t> follow up</a:t>
            </a:r>
            <a:endParaRPr lang="hu-HU"/>
          </a:p>
        </c:rich>
      </c:tx>
      <c:layout>
        <c:manualLayout>
          <c:xMode val="edge"/>
          <c:yMode val="edge"/>
          <c:x val="0.3432874813508162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2"/>
          <c:tx>
            <c:strRef>
              <c:f>MIM!$F$8</c:f>
              <c:strCache>
                <c:ptCount val="1"/>
                <c:pt idx="0">
                  <c:v>Teljes kimenet / Total output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MIM!$A$9:$A$28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MIM!$F$9:$F$28</c:f>
              <c:numCache>
                <c:formatCode>_-* #\ ##0\ _F_t_-;\-* #\ ##0\ _F_t_-;_-* "-"??\ _F_t_-;_-@_-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9-4737-8409-24732825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597376"/>
        <c:axId val="471601296"/>
      </c:barChart>
      <c:lineChart>
        <c:grouping val="standard"/>
        <c:varyColors val="0"/>
        <c:ser>
          <c:idx val="1"/>
          <c:order val="3"/>
          <c:tx>
            <c:strRef>
              <c:f>MIM!$B$5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MIM!$B$9:$B$29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9-4737-8409-24732825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7376"/>
        <c:axId val="471601296"/>
      </c:lineChart>
      <c:lineChart>
        <c:grouping val="standard"/>
        <c:varyColors val="0"/>
        <c:ser>
          <c:idx val="2"/>
          <c:order val="0"/>
          <c:tx>
            <c:strRef>
              <c:f>MIM!$D$8</c:f>
              <c:strCache>
                <c:ptCount val="1"/>
                <c:pt idx="0">
                  <c:v>Kumulált terv / Cumulative plan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MIM!$D$9:$D$29</c:f>
              <c:numCache>
                <c:formatCode>_-* #\ ##0\ _F_t_-;\-* #\ ##0\ _F_t_-;_-* "-"??\ _F_t_-;_-@_-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59-4737-8409-24732825B619}"/>
            </c:ext>
          </c:extLst>
        </c:ser>
        <c:ser>
          <c:idx val="3"/>
          <c:order val="1"/>
          <c:tx>
            <c:strRef>
              <c:f>MIM!$E$8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MIM!$E$9:$E$28</c:f>
              <c:numCache>
                <c:formatCode>_-* #\ ##0\ _F_t_-;\-* #\ ##0\ _F_t_-;_-* "-"??\ _F_t_-;_-@_-</c:formatCode>
                <c:ptCount val="20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59-4737-8409-24732825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8160"/>
        <c:axId val="471597768"/>
      </c:lineChart>
      <c:catAx>
        <c:axId val="4715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601296"/>
        <c:crosses val="autoZero"/>
        <c:auto val="1"/>
        <c:lblAlgn val="ctr"/>
        <c:lblOffset val="100"/>
        <c:noMultiLvlLbl val="0"/>
      </c:catAx>
      <c:valAx>
        <c:axId val="4716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7376"/>
        <c:crosses val="autoZero"/>
        <c:crossBetween val="between"/>
      </c:valAx>
      <c:valAx>
        <c:axId val="471597768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8160"/>
        <c:crosses val="max"/>
        <c:crossBetween val="between"/>
      </c:valAx>
      <c:catAx>
        <c:axId val="471598160"/>
        <c:scaling>
          <c:orientation val="minMax"/>
        </c:scaling>
        <c:delete val="1"/>
        <c:axPos val="b"/>
        <c:majorTickMark val="out"/>
        <c:minorTickMark val="none"/>
        <c:tickLblPos val="nextTo"/>
        <c:crossAx val="471597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AD AMI Hatékonyság / AD AMI</a:t>
            </a:r>
            <a:r>
              <a:rPr lang="hu-HU" baseline="0"/>
              <a:t> </a:t>
            </a:r>
            <a:r>
              <a:rPr lang="hu-HU"/>
              <a:t>Efficiency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MIM!$R$8</c:f>
              <c:strCache>
                <c:ptCount val="1"/>
                <c:pt idx="0">
                  <c:v>Hatékonyság / Efficiency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MIM!$R$9:$R$29</c:f>
              <c:numCache>
                <c:formatCode>0.00%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EC7A-441F-8081-8B329BA56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602080"/>
        <c:axId val="471602472"/>
      </c:barChart>
      <c:lineChart>
        <c:grouping val="standard"/>
        <c:varyColors val="0"/>
        <c:ser>
          <c:idx val="0"/>
          <c:order val="0"/>
          <c:tx>
            <c:strRef>
              <c:f>MIM!$P$8</c:f>
              <c:strCache>
                <c:ptCount val="1"/>
                <c:pt idx="0">
                  <c:v>Cél /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MIM!$A$9:$A$28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MIM!$P$9:$P$28</c:f>
              <c:numCache>
                <c:formatCode>0.00%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A-441F-8081-8B329BA56A59}"/>
            </c:ext>
          </c:extLst>
        </c:ser>
        <c:ser>
          <c:idx val="1"/>
          <c:order val="1"/>
          <c:tx>
            <c:strRef>
              <c:f>MIM!$Q$8</c:f>
              <c:strCache>
                <c:ptCount val="1"/>
                <c:pt idx="0">
                  <c:v>Hatékonyság (kumulált) / Efficiency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MIM!$A$9:$A$28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MIM!$Q$9:$Q$22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A-441F-8081-8B329BA56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602080"/>
        <c:axId val="471602472"/>
      </c:lineChart>
      <c:catAx>
        <c:axId val="471602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602472"/>
        <c:crosses val="autoZero"/>
        <c:auto val="1"/>
        <c:lblAlgn val="ctr"/>
        <c:lblOffset val="100"/>
        <c:noMultiLvlLbl val="0"/>
      </c:catAx>
      <c:valAx>
        <c:axId val="47160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6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CAOI kimenet</a:t>
            </a:r>
            <a:r>
              <a:rPr lang="hu-HU" baseline="0"/>
              <a:t>  nyomonkövetés / </a:t>
            </a:r>
            <a:r>
              <a:rPr lang="hu-HU"/>
              <a:t>CAOI output</a:t>
            </a:r>
            <a:r>
              <a:rPr lang="hu-HU" baseline="0"/>
              <a:t> follow up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9209326249929912E-2"/>
          <c:y val="0.10154688569472965"/>
          <c:w val="0.83639350876803353"/>
          <c:h val="0.77231105865360261"/>
        </c:manualLayout>
      </c:layout>
      <c:barChart>
        <c:barDir val="col"/>
        <c:grouping val="clustered"/>
        <c:varyColors val="0"/>
        <c:ser>
          <c:idx val="4"/>
          <c:order val="2"/>
          <c:tx>
            <c:strRef>
              <c:f>CAOI!$F$8</c:f>
              <c:strCache>
                <c:ptCount val="1"/>
                <c:pt idx="0">
                  <c:v>Teljes kimenet / Total output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CAOI!$A$9:$A$23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CAOI!$F$9:$F$23</c:f>
              <c:numCache>
                <c:formatCode>_-* #\ ##0\ _F_t_-;\-* #\ ##0\ _F_t_-;_-* "-"??\ _F_t_-;_-@_-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A-4A68-B970-8DB37CA4D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22672"/>
        <c:axId val="472521888"/>
      </c:barChart>
      <c:lineChart>
        <c:grouping val="standard"/>
        <c:varyColors val="0"/>
        <c:ser>
          <c:idx val="1"/>
          <c:order val="3"/>
          <c:tx>
            <c:strRef>
              <c:f>CAOI!$B$5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CAOI!$A$9:$A$25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CAOI!$B$9:$B$25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A-4A68-B970-8DB37CA4D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22672"/>
        <c:axId val="472521888"/>
      </c:lineChart>
      <c:lineChart>
        <c:grouping val="standard"/>
        <c:varyColors val="0"/>
        <c:ser>
          <c:idx val="2"/>
          <c:order val="0"/>
          <c:tx>
            <c:strRef>
              <c:f>CAOI!$D$8</c:f>
              <c:strCache>
                <c:ptCount val="1"/>
                <c:pt idx="0">
                  <c:v>Kumulált terv / Cumulative plan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CAOI!$A$9:$A$23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CAOI!$D$9:$D$25</c:f>
              <c:numCache>
                <c:formatCode>_-* #\ ##0\ _F_t_-;\-* #\ ##0\ _F_t_-;_-* "-"??\ _F_t_-;_-@_-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2A-4A68-B970-8DB37CA4D683}"/>
            </c:ext>
          </c:extLst>
        </c:ser>
        <c:ser>
          <c:idx val="3"/>
          <c:order val="1"/>
          <c:tx>
            <c:strRef>
              <c:f>CAOI!$E$8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CAOI!$A$9:$A$23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CAOI!$E$9:$E$23</c:f>
              <c:numCache>
                <c:formatCode>_-* #\ ##0\ _F_t_-;\-* #\ ##0\ _F_t_-;_-* "-"??\ _F_t_-;_-@_-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2A-4A68-B970-8DB37CA4D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24240"/>
        <c:axId val="472520712"/>
      </c:lineChart>
      <c:catAx>
        <c:axId val="47252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1888"/>
        <c:crosses val="autoZero"/>
        <c:auto val="1"/>
        <c:lblAlgn val="ctr"/>
        <c:lblOffset val="100"/>
        <c:noMultiLvlLbl val="0"/>
      </c:catAx>
      <c:valAx>
        <c:axId val="4725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2672"/>
        <c:crosses val="autoZero"/>
        <c:crossBetween val="between"/>
      </c:valAx>
      <c:valAx>
        <c:axId val="472520712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4240"/>
        <c:crosses val="max"/>
        <c:crossBetween val="between"/>
      </c:valAx>
      <c:catAx>
        <c:axId val="47252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2520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CAOI hatékonyág / CAOI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CAOI!$U$8</c:f>
              <c:strCache>
                <c:ptCount val="1"/>
                <c:pt idx="0">
                  <c:v>Hatékonyság / Efficiency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CAOI!$U$9:$U$25</c:f>
              <c:numCache>
                <c:formatCode>0.00%</c:formatCode>
                <c:ptCount val="17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B-45E3-972D-FA4DE9BB4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525808"/>
        <c:axId val="472523848"/>
      </c:barChart>
      <c:lineChart>
        <c:grouping val="standard"/>
        <c:varyColors val="0"/>
        <c:ser>
          <c:idx val="0"/>
          <c:order val="0"/>
          <c:tx>
            <c:strRef>
              <c:f>CAOI!$S$8</c:f>
              <c:strCache>
                <c:ptCount val="1"/>
                <c:pt idx="0">
                  <c:v>Cél /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CAOI!$A$9:$A$23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CAOI!$S$9:$S$23</c:f>
              <c:numCache>
                <c:formatCode>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B-45E3-972D-FA4DE9BB4D96}"/>
            </c:ext>
          </c:extLst>
        </c:ser>
        <c:ser>
          <c:idx val="1"/>
          <c:order val="1"/>
          <c:tx>
            <c:strRef>
              <c:f>CAOI!$T$8</c:f>
              <c:strCache>
                <c:ptCount val="1"/>
                <c:pt idx="0">
                  <c:v>Hatékonyság (kumulált) / Efficiency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CAOI!$A$9:$A$23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CAOI!$T$9:$T$25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5B-45E3-972D-FA4DE9BB4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25808"/>
        <c:axId val="472523848"/>
      </c:lineChart>
      <c:catAx>
        <c:axId val="47252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3848"/>
        <c:crosses val="autoZero"/>
        <c:auto val="1"/>
        <c:lblAlgn val="ctr"/>
        <c:lblOffset val="100"/>
        <c:noMultiLvlLbl val="0"/>
      </c:catAx>
      <c:valAx>
        <c:axId val="47252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CAOI</a:t>
            </a:r>
            <a:r>
              <a:rPr lang="hu-HU" baseline="0"/>
              <a:t> </a:t>
            </a:r>
            <a:r>
              <a:rPr lang="hu-HU"/>
              <a:t>Működési</a:t>
            </a:r>
            <a:r>
              <a:rPr lang="hu-HU" baseline="0"/>
              <a:t> idő</a:t>
            </a:r>
            <a:r>
              <a:rPr lang="hu-HU"/>
              <a:t> / CAOI Operation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CAOI!$Q$8</c:f>
              <c:strCache>
                <c:ptCount val="1"/>
                <c:pt idx="0">
                  <c:v>Operation hours target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CAOI!$A$9:$A$25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CAOI!$P$9:$P$23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E-4A9A-A92F-17483044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99336"/>
        <c:axId val="471596200"/>
      </c:barChart>
      <c:lineChart>
        <c:grouping val="standard"/>
        <c:varyColors val="0"/>
        <c:ser>
          <c:idx val="0"/>
          <c:order val="0"/>
          <c:tx>
            <c:strRef>
              <c:f>CAOI!$P$8</c:f>
              <c:strCache>
                <c:ptCount val="1"/>
                <c:pt idx="0">
                  <c:v>Operating hours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CAOI!$A$9:$A$23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CAOI!$Q$9:$Q$23</c:f>
              <c:numCache>
                <c:formatCode>General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E-4A9A-A92F-17483044851D}"/>
            </c:ext>
          </c:extLst>
        </c:ser>
        <c:ser>
          <c:idx val="1"/>
          <c:order val="2"/>
          <c:tx>
            <c:strRef>
              <c:f>CAOI!$R$8</c:f>
              <c:strCache>
                <c:ptCount val="1"/>
                <c:pt idx="0">
                  <c:v>Daily opeation hours plan 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CAOI!$A$9:$A$23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CAOI!$R$9:$R$23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13A-99F4-AFEC2E854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9336"/>
        <c:axId val="471596200"/>
      </c:lineChart>
      <c:catAx>
        <c:axId val="47159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6200"/>
        <c:crosses val="autoZero"/>
        <c:auto val="1"/>
        <c:lblAlgn val="ctr"/>
        <c:lblOffset val="100"/>
        <c:noMultiLvlLbl val="0"/>
      </c:catAx>
      <c:valAx>
        <c:axId val="4715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AD PKY</a:t>
            </a:r>
            <a:r>
              <a:rPr lang="hu-HU" baseline="0"/>
              <a:t> kimenet nyomonkövető / </a:t>
            </a:r>
            <a:r>
              <a:rPr lang="hu-HU"/>
              <a:t>AD</a:t>
            </a:r>
            <a:r>
              <a:rPr lang="hu-HU" baseline="0"/>
              <a:t> PKY </a:t>
            </a:r>
            <a:r>
              <a:rPr lang="hu-HU"/>
              <a:t>output</a:t>
            </a:r>
            <a:r>
              <a:rPr lang="hu-HU" baseline="0"/>
              <a:t> follow up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9209326249929912E-2"/>
          <c:y val="0.10154688569472965"/>
          <c:w val="0.83639350876803353"/>
          <c:h val="0.77231105865360261"/>
        </c:manualLayout>
      </c:layout>
      <c:barChart>
        <c:barDir val="col"/>
        <c:grouping val="clustered"/>
        <c:varyColors val="0"/>
        <c:ser>
          <c:idx val="4"/>
          <c:order val="2"/>
          <c:tx>
            <c:strRef>
              <c:f>'AD Auto PKY'!$F$8</c:f>
              <c:strCache>
                <c:ptCount val="1"/>
                <c:pt idx="0">
                  <c:v>Teljes kimenet / Total output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'AD Auto PKY'!$A$9:$A$28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PKY'!$F$9:$F$28</c:f>
              <c:numCache>
                <c:formatCode>_-* #\ ##0\ _F_t_-;\-* #\ ##0\ _F_t_-;_-* "-"??\ _F_t_-;_-@_-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8517</c:v>
                </c:pt>
                <c:pt idx="3">
                  <c:v>7968</c:v>
                </c:pt>
                <c:pt idx="4">
                  <c:v>3588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8351</c:v>
                </c:pt>
                <c:pt idx="9">
                  <c:v>5827</c:v>
                </c:pt>
                <c:pt idx="10">
                  <c:v>1</c:v>
                </c:pt>
                <c:pt idx="11">
                  <c:v>1</c:v>
                </c:pt>
                <c:pt idx="12">
                  <c:v>1701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6-4B24-ACC1-75DE7A501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23456"/>
        <c:axId val="472525024"/>
      </c:barChart>
      <c:lineChart>
        <c:grouping val="standard"/>
        <c:varyColors val="0"/>
        <c:ser>
          <c:idx val="1"/>
          <c:order val="3"/>
          <c:tx>
            <c:strRef>
              <c:f>'AD Auto PKY'!$B$8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'AD Auto PKY'!$A$9:$A$30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PKY'!$B$9:$B$30</c:f>
              <c:numCache>
                <c:formatCode>General</c:formatCode>
                <c:ptCount val="22"/>
                <c:pt idx="0">
                  <c:v>2280</c:v>
                </c:pt>
                <c:pt idx="1">
                  <c:v>2280</c:v>
                </c:pt>
                <c:pt idx="2">
                  <c:v>2280</c:v>
                </c:pt>
                <c:pt idx="3">
                  <c:v>2280</c:v>
                </c:pt>
                <c:pt idx="4">
                  <c:v>2280</c:v>
                </c:pt>
                <c:pt idx="5">
                  <c:v>2280</c:v>
                </c:pt>
                <c:pt idx="6">
                  <c:v>2280</c:v>
                </c:pt>
                <c:pt idx="7">
                  <c:v>2280</c:v>
                </c:pt>
                <c:pt idx="8">
                  <c:v>2280</c:v>
                </c:pt>
                <c:pt idx="9">
                  <c:v>2280</c:v>
                </c:pt>
                <c:pt idx="10">
                  <c:v>2280</c:v>
                </c:pt>
                <c:pt idx="11">
                  <c:v>2280</c:v>
                </c:pt>
                <c:pt idx="12">
                  <c:v>2280</c:v>
                </c:pt>
                <c:pt idx="13">
                  <c:v>2280</c:v>
                </c:pt>
                <c:pt idx="14">
                  <c:v>2280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6-4B24-ACC1-75DE7A501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23456"/>
        <c:axId val="472525024"/>
      </c:lineChart>
      <c:lineChart>
        <c:grouping val="standard"/>
        <c:varyColors val="0"/>
        <c:ser>
          <c:idx val="2"/>
          <c:order val="0"/>
          <c:tx>
            <c:strRef>
              <c:f>'AD Auto PKY'!$D$8</c:f>
              <c:strCache>
                <c:ptCount val="1"/>
                <c:pt idx="0">
                  <c:v>Kumulált terv / Cumulative plan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'AD Auto PKY'!$A$9:$A$28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PKY'!$D$9:$D$30</c:f>
              <c:numCache>
                <c:formatCode>_-* #\ ##0\ _F_t_-;\-* #\ ##0\ _F_t_-;_-* "-"??\ _F_t_-;_-@_-</c:formatCode>
                <c:ptCount val="22"/>
                <c:pt idx="0">
                  <c:v>2280</c:v>
                </c:pt>
                <c:pt idx="1">
                  <c:v>4560</c:v>
                </c:pt>
                <c:pt idx="2">
                  <c:v>6840</c:v>
                </c:pt>
                <c:pt idx="3">
                  <c:v>9120</c:v>
                </c:pt>
                <c:pt idx="4">
                  <c:v>11400</c:v>
                </c:pt>
                <c:pt idx="5">
                  <c:v>13680</c:v>
                </c:pt>
                <c:pt idx="6">
                  <c:v>15960</c:v>
                </c:pt>
                <c:pt idx="7">
                  <c:v>18240</c:v>
                </c:pt>
                <c:pt idx="8">
                  <c:v>20520</c:v>
                </c:pt>
                <c:pt idx="9">
                  <c:v>22800</c:v>
                </c:pt>
                <c:pt idx="10">
                  <c:v>25080</c:v>
                </c:pt>
                <c:pt idx="11">
                  <c:v>27360</c:v>
                </c:pt>
                <c:pt idx="12">
                  <c:v>29640</c:v>
                </c:pt>
                <c:pt idx="13">
                  <c:v>31920</c:v>
                </c:pt>
                <c:pt idx="14">
                  <c:v>34200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6-4B24-ACC1-75DE7A5012CF}"/>
            </c:ext>
          </c:extLst>
        </c:ser>
        <c:ser>
          <c:idx val="3"/>
          <c:order val="1"/>
          <c:tx>
            <c:strRef>
              <c:f>'AD Auto PKY'!$E$8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'AD Auto PKY'!$A$9:$A$28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PKY'!$E$9:$E$28</c:f>
              <c:numCache>
                <c:formatCode>_-* #\ ##0\ _F_t_-;\-* #\ ##0\ _F_t_-;_-* "-"??\ _F_t_-;_-@_-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8519</c:v>
                </c:pt>
                <c:pt idx="3">
                  <c:v>16487</c:v>
                </c:pt>
                <c:pt idx="4">
                  <c:v>20075</c:v>
                </c:pt>
                <c:pt idx="5">
                  <c:v>20076</c:v>
                </c:pt>
                <c:pt idx="6">
                  <c:v>20077</c:v>
                </c:pt>
                <c:pt idx="7">
                  <c:v>20078</c:v>
                </c:pt>
                <c:pt idx="8">
                  <c:v>28429</c:v>
                </c:pt>
                <c:pt idx="9">
                  <c:v>34256</c:v>
                </c:pt>
                <c:pt idx="10">
                  <c:v>34257</c:v>
                </c:pt>
                <c:pt idx="11">
                  <c:v>34258</c:v>
                </c:pt>
                <c:pt idx="12">
                  <c:v>35959</c:v>
                </c:pt>
                <c:pt idx="13">
                  <c:v>35960</c:v>
                </c:pt>
                <c:pt idx="14">
                  <c:v>35961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66-4B24-ACC1-75DE7A501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19536"/>
        <c:axId val="472523064"/>
      </c:lineChart>
      <c:catAx>
        <c:axId val="47252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5024"/>
        <c:crosses val="autoZero"/>
        <c:auto val="1"/>
        <c:lblAlgn val="ctr"/>
        <c:lblOffset val="100"/>
        <c:noMultiLvlLbl val="0"/>
      </c:catAx>
      <c:valAx>
        <c:axId val="47252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3456"/>
        <c:crosses val="autoZero"/>
        <c:crossBetween val="between"/>
      </c:valAx>
      <c:valAx>
        <c:axId val="472523064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19536"/>
        <c:crosses val="max"/>
        <c:crossBetween val="between"/>
      </c:valAx>
      <c:catAx>
        <c:axId val="472519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2523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AD PKY hatékonyság / AD PKY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'AD Auto PKY'!$AA$8</c:f>
              <c:strCache>
                <c:ptCount val="1"/>
                <c:pt idx="0">
                  <c:v>Hatékonyság / Efficiency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'AD Auto PKY'!$A$9:$A$30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PKY'!$AA$9:$AA$29</c:f>
              <c:numCache>
                <c:formatCode>0.00%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1.0185</c:v>
                </c:pt>
                <c:pt idx="3">
                  <c:v>1.0088999999999999</c:v>
                </c:pt>
                <c:pt idx="4">
                  <c:v>1.0964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1.0839000000000001</c:v>
                </c:pt>
                <c:pt idx="9">
                  <c:v>1.0333000000000001</c:v>
                </c:pt>
                <c:pt idx="10">
                  <c:v>0</c:v>
                </c:pt>
                <c:pt idx="11">
                  <c:v>0</c:v>
                </c:pt>
                <c:pt idx="12">
                  <c:v>1.1567000000000001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4-4006-AEB4-D3145B811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524632"/>
        <c:axId val="472519144"/>
      </c:barChart>
      <c:lineChart>
        <c:grouping val="standard"/>
        <c:varyColors val="0"/>
        <c:ser>
          <c:idx val="0"/>
          <c:order val="0"/>
          <c:tx>
            <c:strRef>
              <c:f>'AD Auto PKY'!$Y$8</c:f>
              <c:strCache>
                <c:ptCount val="1"/>
                <c:pt idx="0">
                  <c:v>Cél /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'AD Auto PKY'!$A$9:$A$28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PKY'!$Y$9:$Y$28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4-4006-AEB4-D3145B811A4B}"/>
            </c:ext>
          </c:extLst>
        </c:ser>
        <c:ser>
          <c:idx val="1"/>
          <c:order val="1"/>
          <c:tx>
            <c:strRef>
              <c:f>'AD Auto PKY'!$Z$8</c:f>
              <c:strCache>
                <c:ptCount val="1"/>
                <c:pt idx="0">
                  <c:v>Hatékonyság (kumulált) / Efficiency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'AD Auto PKY'!$A$9:$A$28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PKY'!$Z$9:$Z$30</c:f>
              <c:numCache>
                <c:formatCode>0.00%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1.0185</c:v>
                </c:pt>
                <c:pt idx="3">
                  <c:v>1.0137</c:v>
                </c:pt>
                <c:pt idx="4">
                  <c:v>1.0412666666666668</c:v>
                </c:pt>
                <c:pt idx="5">
                  <c:v>1.0412666666666668</c:v>
                </c:pt>
                <c:pt idx="6">
                  <c:v>1.0412666666666668</c:v>
                </c:pt>
                <c:pt idx="7">
                  <c:v>1.0412666666666668</c:v>
                </c:pt>
                <c:pt idx="8">
                  <c:v>1.051925</c:v>
                </c:pt>
                <c:pt idx="9">
                  <c:v>1.0482</c:v>
                </c:pt>
                <c:pt idx="10">
                  <c:v>1.0482</c:v>
                </c:pt>
                <c:pt idx="11">
                  <c:v>1.0482</c:v>
                </c:pt>
                <c:pt idx="12">
                  <c:v>1.0662833333333332</c:v>
                </c:pt>
                <c:pt idx="13">
                  <c:v>1.0662833333333332</c:v>
                </c:pt>
                <c:pt idx="14">
                  <c:v>1.0662833333333332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4-4006-AEB4-D3145B811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24632"/>
        <c:axId val="472519144"/>
      </c:lineChart>
      <c:catAx>
        <c:axId val="47252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19144"/>
        <c:crosses val="autoZero"/>
        <c:auto val="1"/>
        <c:lblAlgn val="ctr"/>
        <c:lblOffset val="100"/>
        <c:noMultiLvlLbl val="0"/>
      </c:catAx>
      <c:valAx>
        <c:axId val="47251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aseline="0"/>
              <a:t>AD AUTO PYP </a:t>
            </a:r>
            <a:r>
              <a:rPr lang="hu-HU"/>
              <a:t>Működési</a:t>
            </a:r>
            <a:r>
              <a:rPr lang="hu-HU" baseline="0"/>
              <a:t> idő</a:t>
            </a:r>
            <a:r>
              <a:rPr lang="hu-HU"/>
              <a:t> / AD</a:t>
            </a:r>
            <a:r>
              <a:rPr lang="hu-HU" baseline="0"/>
              <a:t> AUTO PYP</a:t>
            </a:r>
            <a:r>
              <a:rPr lang="hu-HU"/>
              <a:t> Operation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'AD Auto PKY'!$V$8</c:f>
              <c:strCache>
                <c:ptCount val="1"/>
                <c:pt idx="0">
                  <c:v>Operating hours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'AD Auto PKY'!$V$9:$V$28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4-4E90-BA48-2A9EE57A9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99336"/>
        <c:axId val="471596200"/>
      </c:barChart>
      <c:lineChart>
        <c:grouping val="standard"/>
        <c:varyColors val="0"/>
        <c:ser>
          <c:idx val="0"/>
          <c:order val="0"/>
          <c:tx>
            <c:strRef>
              <c:f>'AD Auto PKY'!$W$8</c:f>
              <c:strCache>
                <c:ptCount val="1"/>
                <c:pt idx="0">
                  <c:v>Available operation hours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'AD Auto PKY'!$A$9:$A$28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PKY'!$W$9:$W$28</c:f>
              <c:numCache>
                <c:formatCode>General</c:formatCode>
                <c:ptCount val="20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4-4E90-BA48-2A9EE57A95D8}"/>
            </c:ext>
          </c:extLst>
        </c:ser>
        <c:ser>
          <c:idx val="1"/>
          <c:order val="2"/>
          <c:tx>
            <c:strRef>
              <c:f>'AD Auto PKY'!$X$8</c:f>
              <c:strCache>
                <c:ptCount val="1"/>
                <c:pt idx="0">
                  <c:v>Daily opeation hours plan 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'AD Auto PKY'!$A$9:$A$28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'AD Auto PKY'!$X$9:$X$28</c:f>
              <c:numCache>
                <c:formatCode>0.0</c:formatCode>
                <c:ptCount val="20"/>
                <c:pt idx="0">
                  <c:v>1.0133333333333334</c:v>
                </c:pt>
                <c:pt idx="1">
                  <c:v>1.0133333333333334</c:v>
                </c:pt>
                <c:pt idx="2">
                  <c:v>1.0133333333333334</c:v>
                </c:pt>
                <c:pt idx="3">
                  <c:v>1.0133333333333334</c:v>
                </c:pt>
                <c:pt idx="4">
                  <c:v>1.0133333333333334</c:v>
                </c:pt>
                <c:pt idx="5">
                  <c:v>1.0133333333333334</c:v>
                </c:pt>
                <c:pt idx="6">
                  <c:v>1.0133333333333334</c:v>
                </c:pt>
                <c:pt idx="7">
                  <c:v>1.0133333333333334</c:v>
                </c:pt>
                <c:pt idx="8">
                  <c:v>1.0133333333333334</c:v>
                </c:pt>
                <c:pt idx="9">
                  <c:v>1.0133333333333334</c:v>
                </c:pt>
                <c:pt idx="10">
                  <c:v>1.0133333333333334</c:v>
                </c:pt>
                <c:pt idx="11">
                  <c:v>1.0133333333333334</c:v>
                </c:pt>
                <c:pt idx="12">
                  <c:v>1.0133333333333334</c:v>
                </c:pt>
                <c:pt idx="13">
                  <c:v>1.0133333333333334</c:v>
                </c:pt>
                <c:pt idx="14">
                  <c:v>1.0133333333333334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1-4241-927F-374D4DE7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9336"/>
        <c:axId val="471596200"/>
      </c:lineChart>
      <c:catAx>
        <c:axId val="47159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6200"/>
        <c:crosses val="autoZero"/>
        <c:auto val="1"/>
        <c:lblAlgn val="ctr"/>
        <c:lblOffset val="100"/>
        <c:noMultiLvlLbl val="0"/>
      </c:catAx>
      <c:valAx>
        <c:axId val="4715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CYT kimenet nyomonkövetés / CYT output</a:t>
            </a:r>
            <a:r>
              <a:rPr lang="hu-HU" baseline="0"/>
              <a:t> follow up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9209326249929912E-2"/>
          <c:y val="0.10154688569472965"/>
          <c:w val="0.83639350876803353"/>
          <c:h val="0.77231105865360261"/>
        </c:manualLayout>
      </c:layout>
      <c:barChart>
        <c:barDir val="col"/>
        <c:grouping val="clustered"/>
        <c:varyColors val="0"/>
        <c:ser>
          <c:idx val="4"/>
          <c:order val="2"/>
          <c:tx>
            <c:strRef>
              <c:f>CYT!$F$8</c:f>
              <c:strCache>
                <c:ptCount val="1"/>
                <c:pt idx="0">
                  <c:v>Teljes kimenet / Total output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CYT!$A$9:$A$28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CYT!$F$9:$F$28</c:f>
              <c:numCache>
                <c:formatCode>_-* #\ ##0\ _F_t_-;\-* #\ ##0\ _F_t_-;_-* "-"??\ _F_t_-;_-@_-</c:formatCode>
                <c:ptCount val="20"/>
                <c:pt idx="0">
                  <c:v>6059</c:v>
                </c:pt>
                <c:pt idx="1">
                  <c:v>5843</c:v>
                </c:pt>
                <c:pt idx="2">
                  <c:v>5583</c:v>
                </c:pt>
                <c:pt idx="3">
                  <c:v>5338</c:v>
                </c:pt>
                <c:pt idx="4">
                  <c:v>6356</c:v>
                </c:pt>
                <c:pt idx="5">
                  <c:v>5285</c:v>
                </c:pt>
                <c:pt idx="6">
                  <c:v>7912</c:v>
                </c:pt>
                <c:pt idx="7">
                  <c:v>7752</c:v>
                </c:pt>
                <c:pt idx="8">
                  <c:v>5786</c:v>
                </c:pt>
                <c:pt idx="9">
                  <c:v>6372</c:v>
                </c:pt>
                <c:pt idx="10">
                  <c:v>1721</c:v>
                </c:pt>
                <c:pt idx="11">
                  <c:v>1</c:v>
                </c:pt>
                <c:pt idx="12">
                  <c:v>5749</c:v>
                </c:pt>
                <c:pt idx="13">
                  <c:v>6481</c:v>
                </c:pt>
                <c:pt idx="14">
                  <c:v>4672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E-41BA-B5EB-5F06262F1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18360"/>
        <c:axId val="472519928"/>
      </c:barChart>
      <c:lineChart>
        <c:grouping val="standard"/>
        <c:varyColors val="0"/>
        <c:ser>
          <c:idx val="1"/>
          <c:order val="3"/>
          <c:tx>
            <c:strRef>
              <c:f>CYT!$B$8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CYT!$A$9:$A$30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CYT!$B$9:$B$30</c:f>
              <c:numCache>
                <c:formatCode>0</c:formatCode>
                <c:ptCount val="22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E-41BA-B5EB-5F06262F1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18360"/>
        <c:axId val="472519928"/>
      </c:lineChart>
      <c:lineChart>
        <c:grouping val="standard"/>
        <c:varyColors val="0"/>
        <c:ser>
          <c:idx val="2"/>
          <c:order val="0"/>
          <c:tx>
            <c:strRef>
              <c:f>CYT!$D$8</c:f>
              <c:strCache>
                <c:ptCount val="1"/>
                <c:pt idx="0">
                  <c:v>Kumulált terv / Cumulative plan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CYT!$A$9:$A$28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CYT!$D$9:$D$30</c:f>
              <c:numCache>
                <c:formatCode>_-* #\ ##0\ _F_t_-;\-* #\ ##0\ _F_t_-;_-* "-"??\ _F_t_-;_-@_-</c:formatCode>
                <c:ptCount val="22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E-41BA-B5EB-5F06262F158B}"/>
            </c:ext>
          </c:extLst>
        </c:ser>
        <c:ser>
          <c:idx val="3"/>
          <c:order val="1"/>
          <c:tx>
            <c:strRef>
              <c:f>CYT!$E$8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CYT!$A$9:$A$28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CYT!$E$9:$E$28</c:f>
              <c:numCache>
                <c:formatCode>_-* #\ ##0\ _F_t_-;\-* #\ ##0\ _F_t_-;_-* "-"??\ _F_t_-;_-@_-</c:formatCode>
                <c:ptCount val="20"/>
                <c:pt idx="0">
                  <c:v>6059</c:v>
                </c:pt>
                <c:pt idx="1">
                  <c:v>11902</c:v>
                </c:pt>
                <c:pt idx="2">
                  <c:v>17485</c:v>
                </c:pt>
                <c:pt idx="3">
                  <c:v>22823</c:v>
                </c:pt>
                <c:pt idx="4">
                  <c:v>29179</c:v>
                </c:pt>
                <c:pt idx="5">
                  <c:v>34464</c:v>
                </c:pt>
                <c:pt idx="6">
                  <c:v>42376</c:v>
                </c:pt>
                <c:pt idx="7">
                  <c:v>50128</c:v>
                </c:pt>
                <c:pt idx="8">
                  <c:v>55914</c:v>
                </c:pt>
                <c:pt idx="9">
                  <c:v>62286</c:v>
                </c:pt>
                <c:pt idx="10">
                  <c:v>64007</c:v>
                </c:pt>
                <c:pt idx="11">
                  <c:v>64008</c:v>
                </c:pt>
                <c:pt idx="12">
                  <c:v>69757</c:v>
                </c:pt>
                <c:pt idx="13">
                  <c:v>76238</c:v>
                </c:pt>
                <c:pt idx="14">
                  <c:v>80910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1E-41BA-B5EB-5F06262F1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21104"/>
        <c:axId val="472520320"/>
      </c:lineChart>
      <c:catAx>
        <c:axId val="47251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19928"/>
        <c:crosses val="autoZero"/>
        <c:auto val="1"/>
        <c:lblAlgn val="ctr"/>
        <c:lblOffset val="100"/>
        <c:noMultiLvlLbl val="0"/>
      </c:catAx>
      <c:valAx>
        <c:axId val="47251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18360"/>
        <c:crosses val="autoZero"/>
        <c:crossBetween val="between"/>
      </c:valAx>
      <c:valAx>
        <c:axId val="472520320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521104"/>
        <c:crosses val="max"/>
        <c:crossBetween val="between"/>
      </c:valAx>
      <c:catAx>
        <c:axId val="472521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2520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CYT hatékonyság / CYT 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CYT!$AA$8</c:f>
              <c:strCache>
                <c:ptCount val="1"/>
                <c:pt idx="0">
                  <c:v>Hatékonyság / Efficiency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CYT!$A$9:$A$30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CYT!$AA$9:$AA$29</c:f>
              <c:numCache>
                <c:formatCode>0.00%</c:formatCode>
                <c:ptCount val="21"/>
                <c:pt idx="0">
                  <c:v>0.8881</c:v>
                </c:pt>
                <c:pt idx="1">
                  <c:v>0.97509999999999997</c:v>
                </c:pt>
                <c:pt idx="2">
                  <c:v>1.0283</c:v>
                </c:pt>
                <c:pt idx="3">
                  <c:v>0.99080000000000001</c:v>
                </c:pt>
                <c:pt idx="4">
                  <c:v>1.2468999999999999</c:v>
                </c:pt>
                <c:pt idx="5">
                  <c:v>0.93759999999999999</c:v>
                </c:pt>
                <c:pt idx="6">
                  <c:v>1.0639000000000001</c:v>
                </c:pt>
                <c:pt idx="7">
                  <c:v>0.98750000000000004</c:v>
                </c:pt>
                <c:pt idx="8">
                  <c:v>0.97919999999999996</c:v>
                </c:pt>
                <c:pt idx="9">
                  <c:v>0.97050000000000003</c:v>
                </c:pt>
                <c:pt idx="10">
                  <c:v>0.99539999999999995</c:v>
                </c:pt>
                <c:pt idx="11">
                  <c:v>0</c:v>
                </c:pt>
                <c:pt idx="12">
                  <c:v>1.0544</c:v>
                </c:pt>
                <c:pt idx="13">
                  <c:v>0.97789999999999999</c:v>
                </c:pt>
                <c:pt idx="14">
                  <c:v>0.9496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7-45E9-B251-9EBAEB37D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600120"/>
        <c:axId val="471600512"/>
      </c:barChart>
      <c:lineChart>
        <c:grouping val="standard"/>
        <c:varyColors val="0"/>
        <c:ser>
          <c:idx val="0"/>
          <c:order val="0"/>
          <c:tx>
            <c:strRef>
              <c:f>CYT!$Y$8</c:f>
              <c:strCache>
                <c:ptCount val="1"/>
                <c:pt idx="0">
                  <c:v>Cél /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CYT!$A$9:$A$28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CYT!$Y$9:$Y$30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7-45E9-B251-9EBAEB37D699}"/>
            </c:ext>
          </c:extLst>
        </c:ser>
        <c:ser>
          <c:idx val="1"/>
          <c:order val="1"/>
          <c:tx>
            <c:strRef>
              <c:f>CYT!$Z$8</c:f>
              <c:strCache>
                <c:ptCount val="1"/>
                <c:pt idx="0">
                  <c:v>Hatékonyság (kumulált) / Efficiency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CYT!$A$9:$A$28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CYT!$Z$9:$Z$29</c:f>
              <c:numCache>
                <c:formatCode>0.00%</c:formatCode>
                <c:ptCount val="21"/>
                <c:pt idx="0">
                  <c:v>0.8881</c:v>
                </c:pt>
                <c:pt idx="1">
                  <c:v>0.93159999999999998</c:v>
                </c:pt>
                <c:pt idx="2">
                  <c:v>0.96383333333333321</c:v>
                </c:pt>
                <c:pt idx="3">
                  <c:v>0.97057499999999997</c:v>
                </c:pt>
                <c:pt idx="4">
                  <c:v>1.0258400000000001</c:v>
                </c:pt>
                <c:pt idx="5">
                  <c:v>1.0111333333333332</c:v>
                </c:pt>
                <c:pt idx="6">
                  <c:v>1.0186714285714287</c:v>
                </c:pt>
                <c:pt idx="7">
                  <c:v>1.014775</c:v>
                </c:pt>
                <c:pt idx="8">
                  <c:v>1.0108222222222223</c:v>
                </c:pt>
                <c:pt idx="9">
                  <c:v>1.0067900000000001</c:v>
                </c:pt>
                <c:pt idx="10">
                  <c:v>1.0057545454545453</c:v>
                </c:pt>
                <c:pt idx="11">
                  <c:v>1.0057545454545453</c:v>
                </c:pt>
                <c:pt idx="12">
                  <c:v>1.0098083333333332</c:v>
                </c:pt>
                <c:pt idx="13">
                  <c:v>1.007353846153846</c:v>
                </c:pt>
                <c:pt idx="14">
                  <c:v>1.0032285714285714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7-45E9-B251-9EBAEB37D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600120"/>
        <c:axId val="471600512"/>
      </c:lineChart>
      <c:catAx>
        <c:axId val="47160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600512"/>
        <c:crosses val="autoZero"/>
        <c:auto val="1"/>
        <c:lblAlgn val="ctr"/>
        <c:lblOffset val="100"/>
        <c:noMultiLvlLbl val="0"/>
      </c:catAx>
      <c:valAx>
        <c:axId val="47160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60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aseline="0"/>
              <a:t>CYT </a:t>
            </a:r>
            <a:r>
              <a:rPr lang="hu-HU"/>
              <a:t>Működési</a:t>
            </a:r>
            <a:r>
              <a:rPr lang="hu-HU" baseline="0"/>
              <a:t> idő</a:t>
            </a:r>
            <a:r>
              <a:rPr lang="hu-HU"/>
              <a:t> / CYT Operation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CYT!$V$8</c:f>
              <c:strCache>
                <c:ptCount val="1"/>
                <c:pt idx="0">
                  <c:v>Operating hours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CYT!$V$9:$V$28</c:f>
              <c:numCache>
                <c:formatCode>General</c:formatCode>
                <c:ptCount val="2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9-4F04-A37D-3AEB6D21A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99336"/>
        <c:axId val="471596200"/>
      </c:barChart>
      <c:lineChart>
        <c:grouping val="standard"/>
        <c:varyColors val="0"/>
        <c:ser>
          <c:idx val="0"/>
          <c:order val="0"/>
          <c:tx>
            <c:strRef>
              <c:f>CYT!$W$8</c:f>
              <c:strCache>
                <c:ptCount val="1"/>
                <c:pt idx="0">
                  <c:v>Available operation hours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CAOI!$A$9:$A$25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CYT!$W$9:$W$28</c:f>
              <c:numCache>
                <c:formatCode>General</c:formatCode>
                <c:ptCount val="20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9-4F04-A37D-3AEB6D21AF56}"/>
            </c:ext>
          </c:extLst>
        </c:ser>
        <c:ser>
          <c:idx val="1"/>
          <c:order val="2"/>
          <c:tx>
            <c:strRef>
              <c:f>CYT!$X$8</c:f>
              <c:strCache>
                <c:ptCount val="1"/>
                <c:pt idx="0">
                  <c:v>Daily opeation hours plan 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CYT!$X$9:$X$28</c:f>
              <c:numCache>
                <c:formatCode>0.0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9B-45AA-A9CB-0BF972A62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9336"/>
        <c:axId val="471596200"/>
      </c:lineChart>
      <c:catAx>
        <c:axId val="47159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6200"/>
        <c:crosses val="autoZero"/>
        <c:auto val="1"/>
        <c:lblAlgn val="ctr"/>
        <c:lblOffset val="100"/>
        <c:noMultiLvlLbl val="0"/>
      </c:catAx>
      <c:valAx>
        <c:axId val="4715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SS Autohajlító</a:t>
            </a:r>
            <a:r>
              <a:rPr lang="hu-HU" baseline="0"/>
              <a:t> </a:t>
            </a:r>
            <a:r>
              <a:rPr lang="hu-HU"/>
              <a:t>kimenet nyomonkövetés / SS Autobending output</a:t>
            </a:r>
            <a:r>
              <a:rPr lang="hu-HU" baseline="0"/>
              <a:t> follow up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9209326249929912E-2"/>
          <c:y val="0.10154688569472965"/>
          <c:w val="0.83639350876803353"/>
          <c:h val="0.77231105865360261"/>
        </c:manualLayout>
      </c:layout>
      <c:barChart>
        <c:barDir val="col"/>
        <c:grouping val="clustered"/>
        <c:varyColors val="0"/>
        <c:ser>
          <c:idx val="4"/>
          <c:order val="2"/>
          <c:tx>
            <c:strRef>
              <c:f>'SS Auto Bending'!$F$8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Bending'!$F$9:$F$31</c:f>
              <c:numCache>
                <c:formatCode>_-* #\ ##0\ _F_t_-;\-* #\ ##0\ _F_t_-;_-* "-"??\ _F_t_-;_-@_-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13</c:v>
                </c:pt>
                <c:pt idx="3">
                  <c:v>1222</c:v>
                </c:pt>
                <c:pt idx="4">
                  <c:v>836</c:v>
                </c:pt>
                <c:pt idx="5">
                  <c:v>1510</c:v>
                </c:pt>
                <c:pt idx="6">
                  <c:v>1365</c:v>
                </c:pt>
                <c:pt idx="7">
                  <c:v>69</c:v>
                </c:pt>
                <c:pt idx="8">
                  <c:v>1</c:v>
                </c:pt>
                <c:pt idx="9">
                  <c:v>1</c:v>
                </c:pt>
                <c:pt idx="10">
                  <c:v>848</c:v>
                </c:pt>
                <c:pt idx="11">
                  <c:v>384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4-4F46-8A3B-8FD5400D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133888"/>
        <c:axId val="473134280"/>
      </c:barChart>
      <c:lineChart>
        <c:grouping val="standard"/>
        <c:varyColors val="0"/>
        <c:ser>
          <c:idx val="1"/>
          <c:order val="3"/>
          <c:tx>
            <c:strRef>
              <c:f>'SS Auto Bending'!$B$8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'SS Auto Bending'!$A$9:$A$30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Bending'!$B$9:$B$30</c:f>
              <c:numCache>
                <c:formatCode>0</c:formatCode>
                <c:ptCount val="22"/>
                <c:pt idx="0">
                  <c:v>413.33</c:v>
                </c:pt>
                <c:pt idx="1">
                  <c:v>413.33</c:v>
                </c:pt>
                <c:pt idx="2">
                  <c:v>413.33</c:v>
                </c:pt>
                <c:pt idx="3">
                  <c:v>413.33</c:v>
                </c:pt>
                <c:pt idx="4">
                  <c:v>413.33</c:v>
                </c:pt>
                <c:pt idx="5">
                  <c:v>413.33</c:v>
                </c:pt>
                <c:pt idx="6">
                  <c:v>413.33</c:v>
                </c:pt>
                <c:pt idx="7">
                  <c:v>413.33</c:v>
                </c:pt>
                <c:pt idx="8">
                  <c:v>413.33</c:v>
                </c:pt>
                <c:pt idx="9">
                  <c:v>413.33</c:v>
                </c:pt>
                <c:pt idx="10">
                  <c:v>413.33</c:v>
                </c:pt>
                <c:pt idx="11">
                  <c:v>413.33</c:v>
                </c:pt>
                <c:pt idx="12">
                  <c:v>413.33</c:v>
                </c:pt>
                <c:pt idx="13">
                  <c:v>413.33</c:v>
                </c:pt>
                <c:pt idx="14">
                  <c:v>413.33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4-4F46-8A3B-8FD5400D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3888"/>
        <c:axId val="473134280"/>
      </c:lineChart>
      <c:lineChart>
        <c:grouping val="standard"/>
        <c:varyColors val="0"/>
        <c:ser>
          <c:idx val="2"/>
          <c:order val="0"/>
          <c:tx>
            <c:strRef>
              <c:f>'SS Auto Bending'!$D$8</c:f>
              <c:strCache>
                <c:ptCount val="1"/>
                <c:pt idx="0">
                  <c:v>Komulált terv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APIM!$A$9:$A$28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Bending'!$D$9:$D$30</c:f>
              <c:numCache>
                <c:formatCode>_-* #\ ##0\ _F_t_-;\-* #\ ##0\ _F_t_-;_-* "-"??\ _F_t_-;_-@_-</c:formatCode>
                <c:ptCount val="22"/>
                <c:pt idx="0">
                  <c:v>413.33</c:v>
                </c:pt>
                <c:pt idx="1">
                  <c:v>826.66</c:v>
                </c:pt>
                <c:pt idx="2">
                  <c:v>1239.99</c:v>
                </c:pt>
                <c:pt idx="3">
                  <c:v>1653.32</c:v>
                </c:pt>
                <c:pt idx="4">
                  <c:v>2066.65</c:v>
                </c:pt>
                <c:pt idx="5">
                  <c:v>2479.98</c:v>
                </c:pt>
                <c:pt idx="6">
                  <c:v>2893.31</c:v>
                </c:pt>
                <c:pt idx="7">
                  <c:v>3306.64</c:v>
                </c:pt>
                <c:pt idx="8">
                  <c:v>3719.97</c:v>
                </c:pt>
                <c:pt idx="9">
                  <c:v>4133.3</c:v>
                </c:pt>
                <c:pt idx="10">
                  <c:v>4546.63</c:v>
                </c:pt>
                <c:pt idx="11">
                  <c:v>4959.96</c:v>
                </c:pt>
                <c:pt idx="12">
                  <c:v>5373.29</c:v>
                </c:pt>
                <c:pt idx="13">
                  <c:v>5786.62</c:v>
                </c:pt>
                <c:pt idx="14">
                  <c:v>6199.95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4-4F46-8A3B-8FD5400D0DAF}"/>
            </c:ext>
          </c:extLst>
        </c:ser>
        <c:ser>
          <c:idx val="3"/>
          <c:order val="1"/>
          <c:tx>
            <c:strRef>
              <c:f>'SS Auto Bending'!$E$8</c:f>
              <c:strCache>
                <c:ptCount val="1"/>
                <c:pt idx="0">
                  <c:v>Kimenet (Komulált)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APIM!$A$9:$A$28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Bending'!$E$9:$E$28</c:f>
              <c:numCache>
                <c:formatCode>_-* #\ ##0\ _F_t_-;\-* #\ ##0\ _F_t_-;_-* "-"??\ _F_t_-;_-@_-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15</c:v>
                </c:pt>
                <c:pt idx="3">
                  <c:v>1237</c:v>
                </c:pt>
                <c:pt idx="4">
                  <c:v>2073</c:v>
                </c:pt>
                <c:pt idx="5">
                  <c:v>3583</c:v>
                </c:pt>
                <c:pt idx="6">
                  <c:v>4948</c:v>
                </c:pt>
                <c:pt idx="7">
                  <c:v>5017</c:v>
                </c:pt>
                <c:pt idx="8">
                  <c:v>5018</c:v>
                </c:pt>
                <c:pt idx="9">
                  <c:v>5019</c:v>
                </c:pt>
                <c:pt idx="10">
                  <c:v>5867</c:v>
                </c:pt>
                <c:pt idx="11">
                  <c:v>6251</c:v>
                </c:pt>
                <c:pt idx="12">
                  <c:v>6252</c:v>
                </c:pt>
                <c:pt idx="13">
                  <c:v>6253</c:v>
                </c:pt>
                <c:pt idx="14">
                  <c:v>6254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C4-4F46-8A3B-8FD5400D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5848"/>
        <c:axId val="473136240"/>
      </c:lineChart>
      <c:catAx>
        <c:axId val="47313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4280"/>
        <c:crosses val="autoZero"/>
        <c:auto val="1"/>
        <c:lblAlgn val="ctr"/>
        <c:lblOffset val="100"/>
        <c:noMultiLvlLbl val="0"/>
      </c:catAx>
      <c:valAx>
        <c:axId val="47313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3888"/>
        <c:crosses val="autoZero"/>
        <c:crossBetween val="between"/>
      </c:valAx>
      <c:valAx>
        <c:axId val="473136240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5848"/>
        <c:crosses val="max"/>
        <c:crossBetween val="between"/>
      </c:valAx>
      <c:catAx>
        <c:axId val="473135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3136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SS</a:t>
            </a:r>
            <a:r>
              <a:rPr lang="hu-HU" baseline="0"/>
              <a:t> Autohajlító</a:t>
            </a:r>
            <a:r>
              <a:rPr lang="hu-HU"/>
              <a:t> hatékonyság / SS</a:t>
            </a:r>
            <a:r>
              <a:rPr lang="hu-HU" baseline="0"/>
              <a:t> Autobending</a:t>
            </a:r>
            <a:r>
              <a:rPr lang="hu-HU"/>
              <a:t>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'SS Auto Bending'!$U$8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'SS Auto Bending'!$A$9:$A$30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Bending'!$U$9:$U$31</c:f>
              <c:numCache>
                <c:formatCode>0.00%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1.0737000000000001</c:v>
                </c:pt>
                <c:pt idx="3">
                  <c:v>1.081</c:v>
                </c:pt>
                <c:pt idx="4">
                  <c:v>0.88970000000000005</c:v>
                </c:pt>
                <c:pt idx="5">
                  <c:v>0.81720000000000004</c:v>
                </c:pt>
                <c:pt idx="6">
                  <c:v>0.79790000000000005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0.81889999999999996</c:v>
                </c:pt>
                <c:pt idx="11">
                  <c:v>1.0828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B-44A6-B66B-297D631B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140160"/>
        <c:axId val="473133496"/>
      </c:barChart>
      <c:lineChart>
        <c:grouping val="standard"/>
        <c:varyColors val="0"/>
        <c:ser>
          <c:idx val="0"/>
          <c:order val="0"/>
          <c:tx>
            <c:strRef>
              <c:f>'SS Auto Bending'!$S$8</c:f>
              <c:strCache>
                <c:ptCount val="1"/>
                <c:pt idx="0">
                  <c:v>Cél / Target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Bending'!$S$9:$S$31</c:f>
              <c:numCache>
                <c:formatCode>0%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B-44A6-B66B-297D631B4479}"/>
            </c:ext>
          </c:extLst>
        </c:ser>
        <c:ser>
          <c:idx val="1"/>
          <c:order val="1"/>
          <c:tx>
            <c:strRef>
              <c:f>'SS Auto Bending'!$T$8</c:f>
              <c:strCache>
                <c:ptCount val="1"/>
                <c:pt idx="0">
                  <c:v>Hatékonyság (kumulált) / Efficiency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Bending'!$T$9:$T$31</c:f>
              <c:numCache>
                <c:formatCode>0.00%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1.0737000000000001</c:v>
                </c:pt>
                <c:pt idx="3">
                  <c:v>1.07735</c:v>
                </c:pt>
                <c:pt idx="4">
                  <c:v>1.0147999999999999</c:v>
                </c:pt>
                <c:pt idx="5">
                  <c:v>0.96540000000000004</c:v>
                </c:pt>
                <c:pt idx="6">
                  <c:v>0.93190000000000006</c:v>
                </c:pt>
                <c:pt idx="7">
                  <c:v>0.93190000000000006</c:v>
                </c:pt>
                <c:pt idx="8">
                  <c:v>0.93190000000000006</c:v>
                </c:pt>
                <c:pt idx="9">
                  <c:v>0.93190000000000006</c:v>
                </c:pt>
                <c:pt idx="10">
                  <c:v>0.9130666666666668</c:v>
                </c:pt>
                <c:pt idx="11">
                  <c:v>0.93731428571428577</c:v>
                </c:pt>
                <c:pt idx="12">
                  <c:v>0.93731428571428577</c:v>
                </c:pt>
                <c:pt idx="13">
                  <c:v>0.93731428571428577</c:v>
                </c:pt>
                <c:pt idx="14">
                  <c:v>0.93731428571428577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B-44A6-B66B-297D631B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40160"/>
        <c:axId val="473133496"/>
      </c:lineChart>
      <c:catAx>
        <c:axId val="4731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3496"/>
        <c:crosses val="autoZero"/>
        <c:auto val="1"/>
        <c:lblAlgn val="ctr"/>
        <c:lblOffset val="100"/>
        <c:noMultiLvlLbl val="0"/>
      </c:catAx>
      <c:valAx>
        <c:axId val="47313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aseline="0"/>
              <a:t>SS Autohajlító </a:t>
            </a:r>
            <a:r>
              <a:rPr lang="hu-HU"/>
              <a:t>Működési</a:t>
            </a:r>
            <a:r>
              <a:rPr lang="hu-HU" baseline="0"/>
              <a:t> idő</a:t>
            </a:r>
            <a:r>
              <a:rPr lang="hu-HU"/>
              <a:t> / SS</a:t>
            </a:r>
            <a:r>
              <a:rPr lang="hu-HU" baseline="0"/>
              <a:t> Autobending</a:t>
            </a:r>
            <a:r>
              <a:rPr lang="hu-HU"/>
              <a:t> Operation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'SS Auto Bending'!$P$8</c:f>
              <c:strCache>
                <c:ptCount val="1"/>
                <c:pt idx="0">
                  <c:v>Operating hours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'SS Auto Bending'!$P$9:$P$23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9-4CE4-A254-CE2B9CBE7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99336"/>
        <c:axId val="471596200"/>
      </c:barChart>
      <c:lineChart>
        <c:grouping val="standard"/>
        <c:varyColors val="0"/>
        <c:ser>
          <c:idx val="0"/>
          <c:order val="0"/>
          <c:tx>
            <c:strRef>
              <c:f>'SS Auto Bending'!$Q$8</c:f>
              <c:strCache>
                <c:ptCount val="1"/>
                <c:pt idx="0">
                  <c:v>Operation hours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CAOI!$A$9:$A$25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'SS Auto Bending'!$Q$9:$Q$23</c:f>
              <c:numCache>
                <c:formatCode>General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9-4CE4-A254-CE2B9CBE7BD3}"/>
            </c:ext>
          </c:extLst>
        </c:ser>
        <c:ser>
          <c:idx val="1"/>
          <c:order val="2"/>
          <c:tx>
            <c:strRef>
              <c:f>'SS Auto Bending'!$R$8</c:f>
              <c:strCache>
                <c:ptCount val="1"/>
                <c:pt idx="0">
                  <c:v>Daily opeation hours plan target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'SS Auto Bending'!$R$9:$R$23</c:f>
              <c:numCache>
                <c:formatCode>General</c:formatCode>
                <c:ptCount val="15"/>
                <c:pt idx="0">
                  <c:v>1.6533199999999999</c:v>
                </c:pt>
                <c:pt idx="1">
                  <c:v>1.6533199999999999</c:v>
                </c:pt>
                <c:pt idx="2">
                  <c:v>1.6533199999999999</c:v>
                </c:pt>
                <c:pt idx="3">
                  <c:v>1.6533199999999999</c:v>
                </c:pt>
                <c:pt idx="4">
                  <c:v>1.6533199999999999</c:v>
                </c:pt>
                <c:pt idx="5">
                  <c:v>1.6533199999999999</c:v>
                </c:pt>
                <c:pt idx="6">
                  <c:v>1.6533199999999999</c:v>
                </c:pt>
                <c:pt idx="7">
                  <c:v>1.6533199999999999</c:v>
                </c:pt>
                <c:pt idx="8">
                  <c:v>1.6533199999999999</c:v>
                </c:pt>
                <c:pt idx="9">
                  <c:v>1.6533199999999999</c:v>
                </c:pt>
                <c:pt idx="10">
                  <c:v>1.6533199999999999</c:v>
                </c:pt>
                <c:pt idx="11">
                  <c:v>1.6533199999999999</c:v>
                </c:pt>
                <c:pt idx="12">
                  <c:v>1.6533199999999999</c:v>
                </c:pt>
                <c:pt idx="13">
                  <c:v>1.6533199999999999</c:v>
                </c:pt>
                <c:pt idx="14">
                  <c:v>1.6533199999999999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69-4CE4-A254-CE2B9CBE7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9336"/>
        <c:axId val="471596200"/>
      </c:lineChart>
      <c:catAx>
        <c:axId val="47159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6200"/>
        <c:crosses val="autoZero"/>
        <c:auto val="1"/>
        <c:lblAlgn val="ctr"/>
        <c:lblOffset val="100"/>
        <c:noMultiLvlLbl val="0"/>
      </c:catAx>
      <c:valAx>
        <c:axId val="4715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APIM kimenet nyomonkövetés / APIM output</a:t>
            </a:r>
            <a:r>
              <a:rPr lang="hu-HU" baseline="0"/>
              <a:t> follow up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9209326249929912E-2"/>
          <c:y val="0.10154688569472965"/>
          <c:w val="0.83639350876803353"/>
          <c:h val="0.77231105865360261"/>
        </c:manualLayout>
      </c:layout>
      <c:barChart>
        <c:barDir val="col"/>
        <c:grouping val="clustered"/>
        <c:varyColors val="0"/>
        <c:ser>
          <c:idx val="4"/>
          <c:order val="2"/>
          <c:tx>
            <c:strRef>
              <c:f>APIM!$F$8</c:f>
              <c:strCache>
                <c:ptCount val="1"/>
                <c:pt idx="0">
                  <c:v>Teljes kimenet / Total output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APIM!$F$9:$F$30</c:f>
              <c:numCache>
                <c:formatCode>_-* #\ ##0\ _F_t_-;\-* #\ ##0\ _F_t_-;_-* "-"??\ _F_t_-;_-@_-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1780</c:v>
                </c:pt>
                <c:pt idx="3">
                  <c:v>3545</c:v>
                </c:pt>
                <c:pt idx="4">
                  <c:v>3297</c:v>
                </c:pt>
                <c:pt idx="5">
                  <c:v>3477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600</c:v>
                </c:pt>
                <c:pt idx="10">
                  <c:v>600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5-4710-BF46-1976FA00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133888"/>
        <c:axId val="473134280"/>
      </c:barChart>
      <c:lineChart>
        <c:grouping val="standard"/>
        <c:varyColors val="0"/>
        <c:ser>
          <c:idx val="1"/>
          <c:order val="3"/>
          <c:tx>
            <c:strRef>
              <c:f>APIM!$B$8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APIM!$B$9:$B$30</c:f>
              <c:numCache>
                <c:formatCode>General</c:formatCode>
                <c:ptCount val="22"/>
                <c:pt idx="0">
                  <c:v>880</c:v>
                </c:pt>
                <c:pt idx="1">
                  <c:v>880</c:v>
                </c:pt>
                <c:pt idx="2">
                  <c:v>880</c:v>
                </c:pt>
                <c:pt idx="3">
                  <c:v>880</c:v>
                </c:pt>
                <c:pt idx="4">
                  <c:v>880</c:v>
                </c:pt>
                <c:pt idx="5">
                  <c:v>880</c:v>
                </c:pt>
                <c:pt idx="6">
                  <c:v>880</c:v>
                </c:pt>
                <c:pt idx="7">
                  <c:v>880</c:v>
                </c:pt>
                <c:pt idx="8">
                  <c:v>880</c:v>
                </c:pt>
                <c:pt idx="9">
                  <c:v>880</c:v>
                </c:pt>
                <c:pt idx="10">
                  <c:v>880</c:v>
                </c:pt>
                <c:pt idx="11">
                  <c:v>880</c:v>
                </c:pt>
                <c:pt idx="12">
                  <c:v>880</c:v>
                </c:pt>
                <c:pt idx="13">
                  <c:v>880</c:v>
                </c:pt>
                <c:pt idx="14">
                  <c:v>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5-4710-BF46-1976FA00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3888"/>
        <c:axId val="473134280"/>
      </c:lineChart>
      <c:lineChart>
        <c:grouping val="standard"/>
        <c:varyColors val="0"/>
        <c:ser>
          <c:idx val="2"/>
          <c:order val="0"/>
          <c:tx>
            <c:strRef>
              <c:f>APIM!$D$8</c:f>
              <c:strCache>
                <c:ptCount val="1"/>
                <c:pt idx="0">
                  <c:v>Kumulált terv / Cumulative plan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APIM!$A$9:$A$28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APIM!$D$9:$D$30</c:f>
              <c:numCache>
                <c:formatCode>_-* #\ ##0\ _F_t_-;\-* #\ ##0\ _F_t_-;_-* "-"??\ _F_t_-;_-@_-</c:formatCode>
                <c:ptCount val="22"/>
                <c:pt idx="0">
                  <c:v>880</c:v>
                </c:pt>
                <c:pt idx="1">
                  <c:v>1760</c:v>
                </c:pt>
                <c:pt idx="2">
                  <c:v>2640</c:v>
                </c:pt>
                <c:pt idx="3">
                  <c:v>3520</c:v>
                </c:pt>
                <c:pt idx="4">
                  <c:v>4400</c:v>
                </c:pt>
                <c:pt idx="5">
                  <c:v>5280</c:v>
                </c:pt>
                <c:pt idx="6">
                  <c:v>6160</c:v>
                </c:pt>
                <c:pt idx="7">
                  <c:v>7040</c:v>
                </c:pt>
                <c:pt idx="8">
                  <c:v>7920</c:v>
                </c:pt>
                <c:pt idx="9">
                  <c:v>8800</c:v>
                </c:pt>
                <c:pt idx="10">
                  <c:v>9680</c:v>
                </c:pt>
                <c:pt idx="11">
                  <c:v>10560</c:v>
                </c:pt>
                <c:pt idx="12">
                  <c:v>11440</c:v>
                </c:pt>
                <c:pt idx="13">
                  <c:v>12320</c:v>
                </c:pt>
                <c:pt idx="14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A5-4710-BF46-1976FA007692}"/>
            </c:ext>
          </c:extLst>
        </c:ser>
        <c:ser>
          <c:idx val="3"/>
          <c:order val="1"/>
          <c:tx>
            <c:strRef>
              <c:f>APIM!$E$8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APIM!$A$9:$A$28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APIM!$E$9:$E$28</c:f>
              <c:numCache>
                <c:formatCode>_-* #\ ##0\ _F_t_-;\-* #\ ##0\ _F_t_-;_-* "-"??\ _F_t_-;_-@_-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1782</c:v>
                </c:pt>
                <c:pt idx="3">
                  <c:v>5327</c:v>
                </c:pt>
                <c:pt idx="4">
                  <c:v>8624</c:v>
                </c:pt>
                <c:pt idx="5">
                  <c:v>12101</c:v>
                </c:pt>
                <c:pt idx="6">
                  <c:v>12102</c:v>
                </c:pt>
                <c:pt idx="7">
                  <c:v>12103</c:v>
                </c:pt>
                <c:pt idx="8">
                  <c:v>12104</c:v>
                </c:pt>
                <c:pt idx="9">
                  <c:v>12704</c:v>
                </c:pt>
                <c:pt idx="10">
                  <c:v>13304</c:v>
                </c:pt>
                <c:pt idx="11">
                  <c:v>13305</c:v>
                </c:pt>
                <c:pt idx="12">
                  <c:v>13306</c:v>
                </c:pt>
                <c:pt idx="13">
                  <c:v>13307</c:v>
                </c:pt>
                <c:pt idx="14">
                  <c:v>13308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A5-4710-BF46-1976FA00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5848"/>
        <c:axId val="473136240"/>
      </c:lineChart>
      <c:catAx>
        <c:axId val="47313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4280"/>
        <c:crosses val="autoZero"/>
        <c:auto val="1"/>
        <c:lblAlgn val="ctr"/>
        <c:lblOffset val="100"/>
        <c:noMultiLvlLbl val="0"/>
      </c:catAx>
      <c:valAx>
        <c:axId val="47313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3888"/>
        <c:crosses val="autoZero"/>
        <c:crossBetween val="between"/>
      </c:valAx>
      <c:valAx>
        <c:axId val="473136240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5848"/>
        <c:crosses val="max"/>
        <c:crossBetween val="between"/>
      </c:valAx>
      <c:catAx>
        <c:axId val="473135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3136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APIM hatékonyság / APIM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APIM!$T$8</c:f>
              <c:strCache>
                <c:ptCount val="1"/>
                <c:pt idx="0">
                  <c:v>Hatékonyság / Efficiency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APIM!$T$9:$T$29</c:f>
              <c:numCache>
                <c:formatCode>0.00%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0.66879999999999995</c:v>
                </c:pt>
                <c:pt idx="3">
                  <c:v>0.91510000000000002</c:v>
                </c:pt>
                <c:pt idx="4">
                  <c:v>0.97340000000000004</c:v>
                </c:pt>
                <c:pt idx="5">
                  <c:v>0.89859999999999995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0.9909</c:v>
                </c:pt>
                <c:pt idx="10">
                  <c:v>0.77070000000000005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7D-48F3-A8B8-C2DD8A212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140160"/>
        <c:axId val="473133496"/>
      </c:barChart>
      <c:lineChart>
        <c:grouping val="standard"/>
        <c:varyColors val="0"/>
        <c:ser>
          <c:idx val="0"/>
          <c:order val="0"/>
          <c:tx>
            <c:strRef>
              <c:f>APIM!$R$8</c:f>
              <c:strCache>
                <c:ptCount val="1"/>
                <c:pt idx="0">
                  <c:v>Cél /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APIM!$R$9:$R$30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D-48F3-A8B8-C2DD8A212955}"/>
            </c:ext>
          </c:extLst>
        </c:ser>
        <c:ser>
          <c:idx val="1"/>
          <c:order val="1"/>
          <c:tx>
            <c:strRef>
              <c:f>APIM!$S$8</c:f>
              <c:strCache>
                <c:ptCount val="1"/>
                <c:pt idx="0">
                  <c:v>Hatékonyság (kumulált) / Efficiency (cumulative)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APIM!$A$9:$A$30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APIM!$S$9:$S$30</c:f>
              <c:numCache>
                <c:formatCode>0.00%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0.66879999999999995</c:v>
                </c:pt>
                <c:pt idx="3">
                  <c:v>0.79194999999999993</c:v>
                </c:pt>
                <c:pt idx="4">
                  <c:v>0.85243333333333327</c:v>
                </c:pt>
                <c:pt idx="5">
                  <c:v>0.86397499999999994</c:v>
                </c:pt>
                <c:pt idx="6">
                  <c:v>0.86397499999999994</c:v>
                </c:pt>
                <c:pt idx="7">
                  <c:v>0.86397499999999994</c:v>
                </c:pt>
                <c:pt idx="8">
                  <c:v>0.86397499999999994</c:v>
                </c:pt>
                <c:pt idx="9">
                  <c:v>0.88935999999999993</c:v>
                </c:pt>
                <c:pt idx="10">
                  <c:v>0.86958333333333326</c:v>
                </c:pt>
                <c:pt idx="11">
                  <c:v>0.86958333333333326</c:v>
                </c:pt>
                <c:pt idx="12">
                  <c:v>0.86958333333333326</c:v>
                </c:pt>
                <c:pt idx="13">
                  <c:v>0.86958333333333326</c:v>
                </c:pt>
                <c:pt idx="14">
                  <c:v>0.86958333333333326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D-48F3-A8B8-C2DD8A212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40160"/>
        <c:axId val="473133496"/>
      </c:lineChart>
      <c:catAx>
        <c:axId val="4731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3496"/>
        <c:crosses val="autoZero"/>
        <c:auto val="1"/>
        <c:lblAlgn val="ctr"/>
        <c:lblOffset val="100"/>
        <c:noMultiLvlLbl val="0"/>
      </c:catAx>
      <c:valAx>
        <c:axId val="47313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aseline="0"/>
              <a:t>APIM </a:t>
            </a:r>
            <a:r>
              <a:rPr lang="hu-HU"/>
              <a:t>Működési</a:t>
            </a:r>
            <a:r>
              <a:rPr lang="hu-HU" baseline="0"/>
              <a:t> idő</a:t>
            </a:r>
            <a:r>
              <a:rPr lang="hu-HU"/>
              <a:t> / APIM Operation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APIM!$O$8</c:f>
              <c:strCache>
                <c:ptCount val="1"/>
                <c:pt idx="0">
                  <c:v>Operating hours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APIM!$O$9:$O$30</c:f>
              <c:numCache>
                <c:formatCode>General</c:formatCode>
                <c:ptCount val="2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A-4A3B-92A8-B0B68BE47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99336"/>
        <c:axId val="471596200"/>
      </c:barChart>
      <c:lineChart>
        <c:grouping val="standard"/>
        <c:varyColors val="0"/>
        <c:ser>
          <c:idx val="0"/>
          <c:order val="0"/>
          <c:tx>
            <c:strRef>
              <c:f>APIM!$P$8</c:f>
              <c:strCache>
                <c:ptCount val="1"/>
                <c:pt idx="0">
                  <c:v>Operation hours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CAOI!$A$9:$A$25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APIM!$P$9:$P$30</c:f>
              <c:numCache>
                <c:formatCode>General</c:formatCode>
                <c:ptCount val="22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A-4A3B-92A8-B0B68BE475FC}"/>
            </c:ext>
          </c:extLst>
        </c:ser>
        <c:ser>
          <c:idx val="1"/>
          <c:order val="2"/>
          <c:tx>
            <c:strRef>
              <c:f>APIM!$Q$8</c:f>
              <c:strCache>
                <c:ptCount val="1"/>
                <c:pt idx="0">
                  <c:v>Daily opeation hours plan 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APIM!$Q$9:$Q$30</c:f>
              <c:numCache>
                <c:formatCode>0.0</c:formatCode>
                <c:ptCount val="22"/>
                <c:pt idx="0">
                  <c:v>1.76</c:v>
                </c:pt>
                <c:pt idx="1">
                  <c:v>1.76</c:v>
                </c:pt>
                <c:pt idx="2">
                  <c:v>1.76</c:v>
                </c:pt>
                <c:pt idx="3">
                  <c:v>1.76</c:v>
                </c:pt>
                <c:pt idx="4">
                  <c:v>1.76</c:v>
                </c:pt>
                <c:pt idx="5">
                  <c:v>1.76</c:v>
                </c:pt>
                <c:pt idx="6">
                  <c:v>1.76</c:v>
                </c:pt>
                <c:pt idx="7">
                  <c:v>1.76</c:v>
                </c:pt>
                <c:pt idx="8">
                  <c:v>1.76</c:v>
                </c:pt>
                <c:pt idx="9">
                  <c:v>1.76</c:v>
                </c:pt>
                <c:pt idx="10">
                  <c:v>1.76</c:v>
                </c:pt>
                <c:pt idx="11">
                  <c:v>1.76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8-4E74-AEC2-354185C83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9336"/>
        <c:axId val="471596200"/>
      </c:lineChart>
      <c:catAx>
        <c:axId val="47159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6200"/>
        <c:crosses val="autoZero"/>
        <c:auto val="1"/>
        <c:lblAlgn val="ctr"/>
        <c:lblOffset val="100"/>
        <c:noMultiLvlLbl val="0"/>
      </c:catAx>
      <c:valAx>
        <c:axId val="4715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15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altLang="ja-JP"/>
              <a:t>Kötegelés</a:t>
            </a:r>
            <a:r>
              <a:rPr lang="hu-HU" altLang="ja-JP" baseline="0"/>
              <a:t> kimenet / </a:t>
            </a:r>
            <a:r>
              <a:rPr lang="hu-HU" altLang="ja-JP"/>
              <a:t>Bundling output</a:t>
            </a:r>
            <a:endParaRPr lang="hu-HU" altLang="ja-JP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'KFT Output_Bundling'!$F$8</c:f>
              <c:strCache>
                <c:ptCount val="1"/>
                <c:pt idx="0">
                  <c:v>Teljes / Total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val>
            <c:numRef>
              <c:f>'KFT Output_Bundling'!$F$9:$F$28</c:f>
              <c:numCache>
                <c:formatCode>_-* #\ ##0\ _F_t_-;\-* #\ ##0\ _F_t_-;_-* "-"??\ _F_t_-;_-@_-</c:formatCode>
                <c:ptCount val="20"/>
                <c:pt idx="0">
                  <c:v>7174</c:v>
                </c:pt>
                <c:pt idx="1">
                  <c:v>6100</c:v>
                </c:pt>
                <c:pt idx="2">
                  <c:v>17629</c:v>
                </c:pt>
                <c:pt idx="3">
                  <c:v>25106</c:v>
                </c:pt>
                <c:pt idx="4">
                  <c:v>13774</c:v>
                </c:pt>
                <c:pt idx="5">
                  <c:v>29235</c:v>
                </c:pt>
                <c:pt idx="6">
                  <c:v>27369</c:v>
                </c:pt>
                <c:pt idx="7">
                  <c:v>28577</c:v>
                </c:pt>
                <c:pt idx="8">
                  <c:v>23235</c:v>
                </c:pt>
                <c:pt idx="9">
                  <c:v>27138</c:v>
                </c:pt>
                <c:pt idx="10">
                  <c:v>13535</c:v>
                </c:pt>
                <c:pt idx="11">
                  <c:v>7034</c:v>
                </c:pt>
                <c:pt idx="12">
                  <c:v>10829</c:v>
                </c:pt>
                <c:pt idx="13">
                  <c:v>8292</c:v>
                </c:pt>
                <c:pt idx="14">
                  <c:v>10354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A-4088-83C9-437BC28F3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138200"/>
        <c:axId val="473132712"/>
      </c:barChart>
      <c:lineChart>
        <c:grouping val="standard"/>
        <c:varyColors val="0"/>
        <c:ser>
          <c:idx val="0"/>
          <c:order val="0"/>
          <c:tx>
            <c:strRef>
              <c:f>'KFT Output_Bundling'!$B$8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5400">
              <a:solidFill>
                <a:srgbClr val="92D050"/>
              </a:solidFill>
            </a:ln>
            <a:effectLst/>
          </c:spPr>
          <c:marker>
            <c:symbol val="none"/>
          </c:marker>
          <c:cat>
            <c:numRef>
              <c:f>'KFT Output_Bundling'!$A$9:$A$28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'KFT Output_Bundling'!$B$9:$B$28</c:f>
              <c:numCache>
                <c:formatCode>0</c:formatCode>
                <c:ptCount val="20"/>
                <c:pt idx="0">
                  <c:v>16410.733333333334</c:v>
                </c:pt>
                <c:pt idx="1">
                  <c:v>16410.733333333334</c:v>
                </c:pt>
                <c:pt idx="2">
                  <c:v>16410.733333333334</c:v>
                </c:pt>
                <c:pt idx="3">
                  <c:v>16410.733333333334</c:v>
                </c:pt>
                <c:pt idx="4">
                  <c:v>16410.733333333334</c:v>
                </c:pt>
                <c:pt idx="5">
                  <c:v>16410.733333333334</c:v>
                </c:pt>
                <c:pt idx="6">
                  <c:v>16410.733333333334</c:v>
                </c:pt>
                <c:pt idx="7">
                  <c:v>16410.733333333334</c:v>
                </c:pt>
                <c:pt idx="8">
                  <c:v>16410.733333333334</c:v>
                </c:pt>
                <c:pt idx="9">
                  <c:v>16410.733333333334</c:v>
                </c:pt>
                <c:pt idx="10">
                  <c:v>16410.733333333334</c:v>
                </c:pt>
                <c:pt idx="11">
                  <c:v>16410.733333333334</c:v>
                </c:pt>
                <c:pt idx="12">
                  <c:v>16410.733333333334</c:v>
                </c:pt>
                <c:pt idx="13">
                  <c:v>16410.733333333334</c:v>
                </c:pt>
                <c:pt idx="14">
                  <c:v>16410.733333333334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2-4935-9174-64A67810B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8200"/>
        <c:axId val="473132712"/>
      </c:lineChart>
      <c:lineChart>
        <c:grouping val="standard"/>
        <c:varyColors val="0"/>
        <c:ser>
          <c:idx val="1"/>
          <c:order val="1"/>
          <c:tx>
            <c:strRef>
              <c:f>'KFT Output_Bundling'!$E$8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'KFT Output_Bundling'!$A$9:$A$28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'KFT Output_Bundling'!$E$9:$E$30</c:f>
              <c:numCache>
                <c:formatCode>_-* #\ ##0\ _F_t_-;\-* #\ ##0\ _F_t_-;_-* "-"??\ _F_t_-;_-@_-</c:formatCode>
                <c:ptCount val="22"/>
                <c:pt idx="0">
                  <c:v>7174</c:v>
                </c:pt>
                <c:pt idx="1">
                  <c:v>13274</c:v>
                </c:pt>
                <c:pt idx="2">
                  <c:v>30903</c:v>
                </c:pt>
                <c:pt idx="3">
                  <c:v>56009</c:v>
                </c:pt>
                <c:pt idx="4">
                  <c:v>69783</c:v>
                </c:pt>
                <c:pt idx="5">
                  <c:v>99018</c:v>
                </c:pt>
                <c:pt idx="6">
                  <c:v>126387</c:v>
                </c:pt>
                <c:pt idx="7">
                  <c:v>154964</c:v>
                </c:pt>
                <c:pt idx="8">
                  <c:v>178199</c:v>
                </c:pt>
                <c:pt idx="9">
                  <c:v>205337</c:v>
                </c:pt>
                <c:pt idx="10">
                  <c:v>218872</c:v>
                </c:pt>
                <c:pt idx="11">
                  <c:v>225906</c:v>
                </c:pt>
                <c:pt idx="12">
                  <c:v>236735</c:v>
                </c:pt>
                <c:pt idx="13">
                  <c:v>245027</c:v>
                </c:pt>
                <c:pt idx="14">
                  <c:v>255381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2-4935-9174-64A67810BEF9}"/>
            </c:ext>
          </c:extLst>
        </c:ser>
        <c:ser>
          <c:idx val="2"/>
          <c:order val="3"/>
          <c:tx>
            <c:strRef>
              <c:f>'KFT Output_Bundling'!$D$8</c:f>
              <c:strCache>
                <c:ptCount val="1"/>
                <c:pt idx="0">
                  <c:v>Terv / Plan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'KFT Output_Bundling'!$A$9:$A$28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'KFT Output_Bundling'!$D$9:$D$28</c:f>
              <c:numCache>
                <c:formatCode>_-* #\ ##0\ _F_t_-;\-* #\ ##0\ _F_t_-;_-* "-"??\ _F_t_-;_-@_-</c:formatCode>
                <c:ptCount val="20"/>
                <c:pt idx="0">
                  <c:v>16410.733333333334</c:v>
                </c:pt>
                <c:pt idx="1">
                  <c:v>32821.466666666667</c:v>
                </c:pt>
                <c:pt idx="2">
                  <c:v>49232.2</c:v>
                </c:pt>
                <c:pt idx="3">
                  <c:v>65642.933333333334</c:v>
                </c:pt>
                <c:pt idx="4">
                  <c:v>82053.666666666672</c:v>
                </c:pt>
                <c:pt idx="5">
                  <c:v>98464.400000000009</c:v>
                </c:pt>
                <c:pt idx="6">
                  <c:v>114875.13333333335</c:v>
                </c:pt>
                <c:pt idx="7">
                  <c:v>131285.86666666667</c:v>
                </c:pt>
                <c:pt idx="8">
                  <c:v>147696.6</c:v>
                </c:pt>
                <c:pt idx="9">
                  <c:v>164107.33333333334</c:v>
                </c:pt>
                <c:pt idx="10">
                  <c:v>180518.06666666668</c:v>
                </c:pt>
                <c:pt idx="11">
                  <c:v>196928.80000000002</c:v>
                </c:pt>
                <c:pt idx="12">
                  <c:v>213339.53333333335</c:v>
                </c:pt>
                <c:pt idx="13">
                  <c:v>229750.26666666669</c:v>
                </c:pt>
                <c:pt idx="14">
                  <c:v>246161.00000000003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2-4283-A90F-A63346FFB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5456"/>
        <c:axId val="473137024"/>
      </c:lineChart>
      <c:catAx>
        <c:axId val="473138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2712"/>
        <c:crosses val="autoZero"/>
        <c:auto val="1"/>
        <c:lblAlgn val="ctr"/>
        <c:lblOffset val="100"/>
        <c:noMultiLvlLbl val="0"/>
      </c:catAx>
      <c:valAx>
        <c:axId val="4731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QTY(db)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8200"/>
        <c:crosses val="autoZero"/>
        <c:crossBetween val="between"/>
      </c:valAx>
      <c:valAx>
        <c:axId val="473137024"/>
        <c:scaling>
          <c:orientation val="minMax"/>
        </c:scaling>
        <c:delete val="0"/>
        <c:axPos val="r"/>
        <c:numFmt formatCode="_-* #\ ##0\ _F_t_-;\-* #\ ##0\ _F_t_-;_-* &quot;-&quot;??\ _F_t_-;_-@_-" sourceLinked="1"/>
        <c:majorTickMark val="out"/>
        <c:minorTickMark val="none"/>
        <c:tickLblPos val="nextTo"/>
        <c:crossAx val="473135456"/>
        <c:crosses val="max"/>
        <c:crossBetween val="between"/>
      </c:valAx>
      <c:catAx>
        <c:axId val="473135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3137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82296059592411"/>
          <c:y val="0.93245398315127792"/>
          <c:w val="0.79913045830608298"/>
          <c:h val="4.9829120300285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altLang="ja-JP"/>
              <a:t>Csomagolt mennyiség (db) / Packed qty (pc)</a:t>
            </a:r>
            <a:endParaRPr lang="hu-HU" altLang="ja-JP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8051678418221471E-2"/>
          <c:y val="0.16712256507134543"/>
          <c:w val="0.86192394688882856"/>
          <c:h val="0.75309474611428273"/>
        </c:manualLayout>
      </c:layout>
      <c:barChart>
        <c:barDir val="col"/>
        <c:grouping val="clustered"/>
        <c:varyColors val="0"/>
        <c:ser>
          <c:idx val="0"/>
          <c:order val="3"/>
          <c:tx>
            <c:strRef>
              <c:f>'KFT Output packaging'!$G$8</c:f>
              <c:strCache>
                <c:ptCount val="1"/>
                <c:pt idx="0">
                  <c:v>Output Daily</c:v>
                </c:pt>
              </c:strCache>
            </c:strRef>
          </c:tx>
          <c:invertIfNegative val="0"/>
          <c:val>
            <c:numRef>
              <c:f>'KFT Output packaging'!$G$9:$G$31</c:f>
              <c:numCache>
                <c:formatCode>General</c:formatCode>
                <c:ptCount val="23"/>
                <c:pt idx="0">
                  <c:v>32800</c:v>
                </c:pt>
                <c:pt idx="1">
                  <c:v>24800</c:v>
                </c:pt>
                <c:pt idx="2">
                  <c:v>42400</c:v>
                </c:pt>
                <c:pt idx="3">
                  <c:v>42400</c:v>
                </c:pt>
                <c:pt idx="4">
                  <c:v>29000</c:v>
                </c:pt>
                <c:pt idx="5">
                  <c:v>48636</c:v>
                </c:pt>
                <c:pt idx="6">
                  <c:v>32700</c:v>
                </c:pt>
                <c:pt idx="7">
                  <c:v>37000</c:v>
                </c:pt>
                <c:pt idx="8">
                  <c:v>42600</c:v>
                </c:pt>
                <c:pt idx="9">
                  <c:v>28500</c:v>
                </c:pt>
                <c:pt idx="10">
                  <c:v>42625</c:v>
                </c:pt>
                <c:pt idx="11">
                  <c:v>21515</c:v>
                </c:pt>
                <c:pt idx="12">
                  <c:v>18800</c:v>
                </c:pt>
                <c:pt idx="13">
                  <c:v>15700</c:v>
                </c:pt>
                <c:pt idx="14">
                  <c:v>23958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DC-4C27-A093-7207C39F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139768"/>
        <c:axId val="473138984"/>
      </c:barChart>
      <c:lineChart>
        <c:grouping val="standard"/>
        <c:varyColors val="0"/>
        <c:ser>
          <c:idx val="1"/>
          <c:order val="0"/>
          <c:tx>
            <c:strRef>
              <c:f>'KFT Output packaging'!$E$8</c:f>
              <c:strCache>
                <c:ptCount val="1"/>
                <c:pt idx="0">
                  <c:v>Kimenet (kumulált) / Output (cumulative)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'KFT Output packaging'!$A$9:$A$30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'KFT Output packaging'!$E$9:$E$30</c:f>
              <c:numCache>
                <c:formatCode>_-* #\ ##0\ _F_t_-;\-* #\ ##0\ _F_t_-;_-* "-"??\ _F_t_-;_-@_-</c:formatCode>
                <c:ptCount val="22"/>
                <c:pt idx="0">
                  <c:v>32800</c:v>
                </c:pt>
                <c:pt idx="1">
                  <c:v>57600</c:v>
                </c:pt>
                <c:pt idx="2">
                  <c:v>100000</c:v>
                </c:pt>
                <c:pt idx="3">
                  <c:v>142400</c:v>
                </c:pt>
                <c:pt idx="4">
                  <c:v>171400</c:v>
                </c:pt>
                <c:pt idx="5">
                  <c:v>220036</c:v>
                </c:pt>
                <c:pt idx="6">
                  <c:v>252736</c:v>
                </c:pt>
                <c:pt idx="7">
                  <c:v>289736</c:v>
                </c:pt>
                <c:pt idx="8">
                  <c:v>332336</c:v>
                </c:pt>
                <c:pt idx="9">
                  <c:v>360836</c:v>
                </c:pt>
                <c:pt idx="10">
                  <c:v>403461</c:v>
                </c:pt>
                <c:pt idx="11">
                  <c:v>424976</c:v>
                </c:pt>
                <c:pt idx="12">
                  <c:v>443776</c:v>
                </c:pt>
                <c:pt idx="13">
                  <c:v>459476</c:v>
                </c:pt>
                <c:pt idx="14">
                  <c:v>483434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2-4935-9174-64A67810BEF9}"/>
            </c:ext>
          </c:extLst>
        </c:ser>
        <c:ser>
          <c:idx val="4"/>
          <c:order val="2"/>
          <c:tx>
            <c:strRef>
              <c:f>'KFT Output packaging'!$D$8</c:f>
              <c:strCache>
                <c:ptCount val="1"/>
                <c:pt idx="0">
                  <c:v>Terv / Plan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'KFT Output packaging'!$A$9:$A$30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'KFT Output packaging'!$D$9:$D$30</c:f>
              <c:numCache>
                <c:formatCode>_-* #\ ##0\ _F_t_-;\-* #\ ##0\ _F_t_-;_-* "-"??\ _F_t_-;_-@_-</c:formatCode>
                <c:ptCount val="22"/>
                <c:pt idx="0">
                  <c:v>32225.066666666669</c:v>
                </c:pt>
                <c:pt idx="1">
                  <c:v>64450.133333333339</c:v>
                </c:pt>
                <c:pt idx="2">
                  <c:v>96675.200000000012</c:v>
                </c:pt>
                <c:pt idx="3">
                  <c:v>128900.26666666668</c:v>
                </c:pt>
                <c:pt idx="4">
                  <c:v>161125.33333333334</c:v>
                </c:pt>
                <c:pt idx="5">
                  <c:v>193350.40000000002</c:v>
                </c:pt>
                <c:pt idx="6">
                  <c:v>225575.4666666667</c:v>
                </c:pt>
                <c:pt idx="7">
                  <c:v>257800.53333333338</c:v>
                </c:pt>
                <c:pt idx="8">
                  <c:v>290025.60000000003</c:v>
                </c:pt>
                <c:pt idx="9">
                  <c:v>322250.66666666669</c:v>
                </c:pt>
                <c:pt idx="10">
                  <c:v>354475.73333333334</c:v>
                </c:pt>
                <c:pt idx="11">
                  <c:v>386700.79999999999</c:v>
                </c:pt>
                <c:pt idx="12">
                  <c:v>418925.86666666664</c:v>
                </c:pt>
                <c:pt idx="13">
                  <c:v>451150.93333333329</c:v>
                </c:pt>
                <c:pt idx="14">
                  <c:v>483375.99999999994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C-4C27-A093-7207C39F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8592"/>
        <c:axId val="473134672"/>
      </c:lineChart>
      <c:lineChart>
        <c:grouping val="standard"/>
        <c:varyColors val="0"/>
        <c:ser>
          <c:idx val="3"/>
          <c:order val="1"/>
          <c:tx>
            <c:strRef>
              <c:f>'KFT Output packaging'!$B$8</c:f>
              <c:strCache>
                <c:ptCount val="1"/>
                <c:pt idx="0">
                  <c:v>Napi terv / Daily plan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'KFT Output packaging'!$B$9:$B$30</c:f>
              <c:numCache>
                <c:formatCode>_-* #\ ##0\ _F_t_-;\-* #\ ##0\ _F_t_-;_-* "-"??\ _F_t_-;_-@_-</c:formatCode>
                <c:ptCount val="22"/>
                <c:pt idx="0">
                  <c:v>32225.066666666669</c:v>
                </c:pt>
                <c:pt idx="1">
                  <c:v>32225.066666666669</c:v>
                </c:pt>
                <c:pt idx="2">
                  <c:v>32225.066666666669</c:v>
                </c:pt>
                <c:pt idx="3">
                  <c:v>32225.066666666669</c:v>
                </c:pt>
                <c:pt idx="4">
                  <c:v>32225.066666666669</c:v>
                </c:pt>
                <c:pt idx="5">
                  <c:v>32225.066666666669</c:v>
                </c:pt>
                <c:pt idx="6">
                  <c:v>32225.066666666669</c:v>
                </c:pt>
                <c:pt idx="7">
                  <c:v>32225.066666666669</c:v>
                </c:pt>
                <c:pt idx="8">
                  <c:v>32225.066666666669</c:v>
                </c:pt>
                <c:pt idx="9">
                  <c:v>32225.066666666669</c:v>
                </c:pt>
                <c:pt idx="10">
                  <c:v>32225.066666666669</c:v>
                </c:pt>
                <c:pt idx="11">
                  <c:v>32225.066666666669</c:v>
                </c:pt>
                <c:pt idx="12">
                  <c:v>32225.066666666669</c:v>
                </c:pt>
                <c:pt idx="13">
                  <c:v>32225.066666666669</c:v>
                </c:pt>
                <c:pt idx="14">
                  <c:v>32225.066666666669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C-4C27-A093-7207C39F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9768"/>
        <c:axId val="473138984"/>
      </c:lineChart>
      <c:catAx>
        <c:axId val="47313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4672"/>
        <c:crosses val="autoZero"/>
        <c:auto val="1"/>
        <c:lblAlgn val="ctr"/>
        <c:lblOffset val="100"/>
        <c:noMultiLvlLbl val="0"/>
      </c:catAx>
      <c:valAx>
        <c:axId val="47313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QTY(db)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8592"/>
        <c:crosses val="autoZero"/>
        <c:crossBetween val="between"/>
      </c:valAx>
      <c:valAx>
        <c:axId val="473138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73139768"/>
        <c:crosses val="max"/>
        <c:crossBetween val="between"/>
      </c:valAx>
      <c:catAx>
        <c:axId val="473139768"/>
        <c:scaling>
          <c:orientation val="minMax"/>
        </c:scaling>
        <c:delete val="1"/>
        <c:axPos val="b"/>
        <c:majorTickMark val="out"/>
        <c:minorTickMark val="none"/>
        <c:tickLblPos val="nextTo"/>
        <c:crossAx val="473138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50240950149131"/>
          <c:y val="0.96114509801401549"/>
          <c:w val="0.64242974714602263"/>
          <c:h val="3.4430053561502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altLang="ja-JP" baseline="0"/>
              <a:t>Sales Qty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9224937893204454E-2"/>
          <c:y val="0.18414206863222624"/>
          <c:w val="0.88647834641136569"/>
          <c:h val="0.78565343503607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Qty'!$B$8</c:f>
              <c:strCache>
                <c:ptCount val="1"/>
                <c:pt idx="0">
                  <c:v>Remain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'Sales Qty'!$A$9:$A$31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'Sales Qty'!$B$9:$B$31</c:f>
              <c:numCache>
                <c:formatCode>_-* #\ ##0\ _F_t_-;\-* #\ ##0\ _F_t_-;_-* "-"??\ _F_t_-;_-@_-</c:formatCode>
                <c:ptCount val="23"/>
                <c:pt idx="0">
                  <c:v>486930</c:v>
                </c:pt>
                <c:pt idx="1">
                  <c:v>454468</c:v>
                </c:pt>
                <c:pt idx="2">
                  <c:v>422006</c:v>
                </c:pt>
                <c:pt idx="3">
                  <c:v>389544</c:v>
                </c:pt>
                <c:pt idx="4">
                  <c:v>357082</c:v>
                </c:pt>
                <c:pt idx="5">
                  <c:v>324620</c:v>
                </c:pt>
                <c:pt idx="6">
                  <c:v>292158</c:v>
                </c:pt>
                <c:pt idx="7">
                  <c:v>259696</c:v>
                </c:pt>
                <c:pt idx="8">
                  <c:v>227234</c:v>
                </c:pt>
                <c:pt idx="9">
                  <c:v>194772</c:v>
                </c:pt>
                <c:pt idx="10">
                  <c:v>162310</c:v>
                </c:pt>
                <c:pt idx="11">
                  <c:v>129848</c:v>
                </c:pt>
                <c:pt idx="12">
                  <c:v>97386</c:v>
                </c:pt>
                <c:pt idx="13">
                  <c:v>64924</c:v>
                </c:pt>
                <c:pt idx="14">
                  <c:v>32462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2-4935-9174-64A67810B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139376"/>
        <c:axId val="473135064"/>
      </c:barChart>
      <c:lineChart>
        <c:grouping val="standard"/>
        <c:varyColors val="0"/>
        <c:ser>
          <c:idx val="1"/>
          <c:order val="1"/>
          <c:tx>
            <c:strRef>
              <c:f>'Sales Qty'!$D$8</c:f>
              <c:strCache>
                <c:ptCount val="1"/>
                <c:pt idx="0">
                  <c:v>Sales(Comulative)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'Sales Qty'!$A$9:$A$31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'Sales Qty'!$C$9:$C$31</c:f>
              <c:numCache>
                <c:formatCode>_-* #\ ##0\ _F_t_-;\-* #\ ##0\ _F_t_-;_-* "-"??\ _F_t_-;_-@_-</c:formatCode>
                <c:ptCount val="23"/>
                <c:pt idx="0">
                  <c:v>32462</c:v>
                </c:pt>
                <c:pt idx="1">
                  <c:v>64924</c:v>
                </c:pt>
                <c:pt idx="2">
                  <c:v>97386</c:v>
                </c:pt>
                <c:pt idx="3">
                  <c:v>129848</c:v>
                </c:pt>
                <c:pt idx="4">
                  <c:v>162310</c:v>
                </c:pt>
                <c:pt idx="5">
                  <c:v>194772</c:v>
                </c:pt>
                <c:pt idx="6">
                  <c:v>227234</c:v>
                </c:pt>
                <c:pt idx="7">
                  <c:v>259696</c:v>
                </c:pt>
                <c:pt idx="8">
                  <c:v>292158</c:v>
                </c:pt>
                <c:pt idx="9">
                  <c:v>324620</c:v>
                </c:pt>
                <c:pt idx="10">
                  <c:v>357082</c:v>
                </c:pt>
                <c:pt idx="11">
                  <c:v>389544</c:v>
                </c:pt>
                <c:pt idx="12">
                  <c:v>422006</c:v>
                </c:pt>
                <c:pt idx="13">
                  <c:v>454468</c:v>
                </c:pt>
                <c:pt idx="14">
                  <c:v>486930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2-4935-9174-64A67810BEF9}"/>
            </c:ext>
          </c:extLst>
        </c:ser>
        <c:ser>
          <c:idx val="2"/>
          <c:order val="2"/>
          <c:tx>
            <c:v>Output</c:v>
          </c:tx>
          <c:cat>
            <c:numRef>
              <c:f>'Sales Qty'!$A$9:$A$31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'Sales Qty'!$D$9:$D$29</c:f>
              <c:numCache>
                <c:formatCode>_-* #\ ##0\ _F_t_-;\-* #\ ##0\ _F_t_-;_-* "-"??\ _F_t_-;_-@_-</c:formatCode>
                <c:ptCount val="21"/>
                <c:pt idx="0">
                  <c:v>15664</c:v>
                </c:pt>
                <c:pt idx="1">
                  <c:v>26664</c:v>
                </c:pt>
                <c:pt idx="2">
                  <c:v>102664</c:v>
                </c:pt>
                <c:pt idx="3">
                  <c:v>102664</c:v>
                </c:pt>
                <c:pt idx="4">
                  <c:v>131664</c:v>
                </c:pt>
                <c:pt idx="5">
                  <c:v>131664</c:v>
                </c:pt>
                <c:pt idx="6">
                  <c:v>131664</c:v>
                </c:pt>
                <c:pt idx="7">
                  <c:v>183440</c:v>
                </c:pt>
                <c:pt idx="8">
                  <c:v>225440</c:v>
                </c:pt>
                <c:pt idx="9">
                  <c:v>225440</c:v>
                </c:pt>
                <c:pt idx="10">
                  <c:v>250440</c:v>
                </c:pt>
                <c:pt idx="11">
                  <c:v>256440</c:v>
                </c:pt>
                <c:pt idx="12">
                  <c:v>400440</c:v>
                </c:pt>
                <c:pt idx="13">
                  <c:v>433440</c:v>
                </c:pt>
                <c:pt idx="14">
                  <c:v>486940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C-4934-89DC-700CCA83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39376"/>
        <c:axId val="473135064"/>
      </c:lineChart>
      <c:catAx>
        <c:axId val="47313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5064"/>
        <c:crosses val="autoZero"/>
        <c:auto val="1"/>
        <c:lblAlgn val="ctr"/>
        <c:lblOffset val="100"/>
        <c:noMultiLvlLbl val="0"/>
      </c:catAx>
      <c:valAx>
        <c:axId val="47313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altLang="ja-JP"/>
                  <a:t>Sasel Value in EUR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13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altLang="ja-JP" baseline="0"/>
              <a:t>Sales AMOUNT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Amount'!$B$8</c:f>
              <c:strCache>
                <c:ptCount val="1"/>
                <c:pt idx="0">
                  <c:v>Remain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'Sales Amount'!$A$9:$A$28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'Sales Amount'!$B$9:$B$30</c:f>
              <c:numCache>
                <c:formatCode>_-* #\ ##0\ _F_t_-;\-* #\ ##0\ _F_t_-;_-* "-"??\ _F_t_-;_-@_-</c:formatCode>
                <c:ptCount val="22"/>
                <c:pt idx="0">
                  <c:v>272561.33333333337</c:v>
                </c:pt>
                <c:pt idx="1">
                  <c:v>253092.66666666672</c:v>
                </c:pt>
                <c:pt idx="2">
                  <c:v>233624.00000000003</c:v>
                </c:pt>
                <c:pt idx="3">
                  <c:v>214155.33333333337</c:v>
                </c:pt>
                <c:pt idx="4">
                  <c:v>194686.66666666669</c:v>
                </c:pt>
                <c:pt idx="5">
                  <c:v>175218.00000000003</c:v>
                </c:pt>
                <c:pt idx="6">
                  <c:v>155749.33333333337</c:v>
                </c:pt>
                <c:pt idx="7">
                  <c:v>136280.66666666669</c:v>
                </c:pt>
                <c:pt idx="8">
                  <c:v>116812.00000000003</c:v>
                </c:pt>
                <c:pt idx="9">
                  <c:v>97343.333333333372</c:v>
                </c:pt>
                <c:pt idx="10">
                  <c:v>77874.666666666715</c:v>
                </c:pt>
                <c:pt idx="11">
                  <c:v>58406.000000000058</c:v>
                </c:pt>
                <c:pt idx="12">
                  <c:v>38937.333333333401</c:v>
                </c:pt>
                <c:pt idx="13">
                  <c:v>19468.666666666744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2-4935-9174-64A67810B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995176"/>
        <c:axId val="473001056"/>
      </c:barChart>
      <c:lineChart>
        <c:grouping val="standard"/>
        <c:varyColors val="0"/>
        <c:ser>
          <c:idx val="1"/>
          <c:order val="1"/>
          <c:tx>
            <c:strRef>
              <c:f>'Sales Amount'!$D$8</c:f>
              <c:strCache>
                <c:ptCount val="1"/>
                <c:pt idx="0">
                  <c:v>Sales(Comulative)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'Sales Amount'!$A$9:$A$30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'Sales Amount'!$C$9:$C$30</c:f>
              <c:numCache>
                <c:formatCode>_-* #\ ##0\ _F_t_-;\-* #\ ##0\ _F_t_-;_-* "-"??\ _F_t_-;_-@_-</c:formatCode>
                <c:ptCount val="22"/>
                <c:pt idx="0">
                  <c:v>19468.666666666668</c:v>
                </c:pt>
                <c:pt idx="1">
                  <c:v>38937.333333333336</c:v>
                </c:pt>
                <c:pt idx="2">
                  <c:v>58406</c:v>
                </c:pt>
                <c:pt idx="3">
                  <c:v>77874.666666666672</c:v>
                </c:pt>
                <c:pt idx="4">
                  <c:v>97343.333333333343</c:v>
                </c:pt>
                <c:pt idx="5">
                  <c:v>116812.00000000001</c:v>
                </c:pt>
                <c:pt idx="6">
                  <c:v>136280.66666666669</c:v>
                </c:pt>
                <c:pt idx="7">
                  <c:v>155749.33333333334</c:v>
                </c:pt>
                <c:pt idx="8">
                  <c:v>175218</c:v>
                </c:pt>
                <c:pt idx="9">
                  <c:v>194686.66666666666</c:v>
                </c:pt>
                <c:pt idx="10">
                  <c:v>214155.33333333331</c:v>
                </c:pt>
                <c:pt idx="11">
                  <c:v>233623.99999999997</c:v>
                </c:pt>
                <c:pt idx="12">
                  <c:v>253092.66666666663</c:v>
                </c:pt>
                <c:pt idx="13">
                  <c:v>272561.33333333331</c:v>
                </c:pt>
                <c:pt idx="14">
                  <c:v>292030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2-4935-9174-64A67810BEF9}"/>
            </c:ext>
          </c:extLst>
        </c:ser>
        <c:ser>
          <c:idx val="2"/>
          <c:order val="2"/>
          <c:tx>
            <c:v>Output</c:v>
          </c:tx>
          <c:cat>
            <c:numRef>
              <c:f>'Sales Amount'!$A$9:$A$30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'Sales Amount'!$D$9:$D$30</c:f>
              <c:numCache>
                <c:formatCode>_-* #\ ##0\ _F_t_-;\-* #\ ##0\ _F_t_-;_-* "-"??\ _F_t_-;_-@_-</c:formatCode>
                <c:ptCount val="22"/>
                <c:pt idx="0">
                  <c:v>6604.8040000000001</c:v>
                </c:pt>
                <c:pt idx="1">
                  <c:v>15360.804</c:v>
                </c:pt>
                <c:pt idx="2">
                  <c:v>51679.944000000003</c:v>
                </c:pt>
                <c:pt idx="3">
                  <c:v>51679.944000000003</c:v>
                </c:pt>
                <c:pt idx="4">
                  <c:v>73727.543999999994</c:v>
                </c:pt>
                <c:pt idx="5">
                  <c:v>73727.543999999994</c:v>
                </c:pt>
                <c:pt idx="6">
                  <c:v>73727.543999999994</c:v>
                </c:pt>
                <c:pt idx="7">
                  <c:v>88297.674399999989</c:v>
                </c:pt>
                <c:pt idx="8">
                  <c:v>111978.97439999999</c:v>
                </c:pt>
                <c:pt idx="9">
                  <c:v>111978.97439999999</c:v>
                </c:pt>
                <c:pt idx="10">
                  <c:v>126836.97439999999</c:v>
                </c:pt>
                <c:pt idx="11">
                  <c:v>133481.19439999998</c:v>
                </c:pt>
                <c:pt idx="12">
                  <c:v>214610.83439999999</c:v>
                </c:pt>
                <c:pt idx="13">
                  <c:v>258719.5344</c:v>
                </c:pt>
                <c:pt idx="14">
                  <c:v>286233.07439999998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C-4934-89DC-700CCA83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995176"/>
        <c:axId val="473001056"/>
      </c:lineChart>
      <c:catAx>
        <c:axId val="47299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3001056"/>
        <c:crosses val="autoZero"/>
        <c:auto val="1"/>
        <c:lblAlgn val="ctr"/>
        <c:lblOffset val="100"/>
        <c:noMultiLvlLbl val="0"/>
      </c:catAx>
      <c:valAx>
        <c:axId val="4730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altLang="ja-JP"/>
                  <a:t>Sasel Value in EUR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99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Napi selejt kimutatás (%) /</a:t>
            </a:r>
            <a:r>
              <a:rPr lang="hu-HU" baseline="0"/>
              <a:t> Daily scrap (%)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2795374320480897E-2"/>
          <c:y val="0.12807835831041184"/>
          <c:w val="0.89272818412311172"/>
          <c:h val="0.70246252350607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'Prod.Output Summ'!$Q$34</c:f>
              <c:strCache>
                <c:ptCount val="1"/>
                <c:pt idx="0">
                  <c:v>Napi / Daily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'Prod.Output Summ'!$S$30:$AM$30</c:f>
              <c:numCache>
                <c:formatCode>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'Prod.Output Summ'!$S$34:$AM$34</c:f>
              <c:numCache>
                <c:formatCode>0.00%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3.3095238095238094E-2</c:v>
                </c:pt>
                <c:pt idx="3">
                  <c:v>1.0978260869565217E-2</c:v>
                </c:pt>
                <c:pt idx="4">
                  <c:v>2.0299999999999999E-2</c:v>
                </c:pt>
                <c:pt idx="5">
                  <c:v>6.0903344745851986E-3</c:v>
                </c:pt>
                <c:pt idx="6">
                  <c:v>1.1764705882352941E-2</c:v>
                </c:pt>
                <c:pt idx="7">
                  <c:v>6.0400000000000002E-3</c:v>
                </c:pt>
                <c:pt idx="8">
                  <c:v>7.7605321507760532E-4</c:v>
                </c:pt>
                <c:pt idx="9">
                  <c:v>2.1859649122807016E-2</c:v>
                </c:pt>
                <c:pt idx="10">
                  <c:v>7.2585365853658533E-3</c:v>
                </c:pt>
                <c:pt idx="11">
                  <c:v>7.7419354838709677E-3</c:v>
                </c:pt>
                <c:pt idx="12">
                  <c:v>4.3958333333333335E-2</c:v>
                </c:pt>
                <c:pt idx="13">
                  <c:v>1.4329896907216495E-2</c:v>
                </c:pt>
                <c:pt idx="14">
                  <c:v>1.44E-2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5-4B0F-9221-CFDF38E3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997136"/>
        <c:axId val="472993608"/>
      </c:barChart>
      <c:lineChart>
        <c:grouping val="standard"/>
        <c:varyColors val="0"/>
        <c:ser>
          <c:idx val="1"/>
          <c:order val="1"/>
          <c:tx>
            <c:strRef>
              <c:f>'Prod.Output Summ'!$Q$33</c:f>
              <c:strCache>
                <c:ptCount val="1"/>
                <c:pt idx="0">
                  <c:v>KUMULÁLT / Cumulative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'Prod.Output Summ'!$S$30:$AM$30</c:f>
              <c:numCache>
                <c:formatCode>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'Prod.Output Summ'!$S$33:$AJ$33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2.1319018404907974E-2</c:v>
                </c:pt>
                <c:pt idx="3">
                  <c:v>1.7588235294117648E-2</c:v>
                </c:pt>
                <c:pt idx="4">
                  <c:v>1.8032786885245903E-2</c:v>
                </c:pt>
                <c:pt idx="5">
                  <c:v>1.4062773594817019E-2</c:v>
                </c:pt>
                <c:pt idx="6">
                  <c:v>1.3765051059289742E-2</c:v>
                </c:pt>
                <c:pt idx="7">
                  <c:v>1.2279190004308488E-2</c:v>
                </c:pt>
                <c:pt idx="8">
                  <c:v>1.0297001961333707E-2</c:v>
                </c:pt>
                <c:pt idx="9">
                  <c:v>1.2073128665056916E-2</c:v>
                </c:pt>
                <c:pt idx="10">
                  <c:v>1.1488863947414532E-2</c:v>
                </c:pt>
                <c:pt idx="11">
                  <c:v>1.1232633757020397E-2</c:v>
                </c:pt>
                <c:pt idx="12">
                  <c:v>1.1911293911285271E-2</c:v>
                </c:pt>
                <c:pt idx="13">
                  <c:v>1.2008575184213036E-2</c:v>
                </c:pt>
                <c:pt idx="14">
                  <c:v>1.2057149589090066E-2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5-4B0F-9221-CFDF38E35A17}"/>
            </c:ext>
          </c:extLst>
        </c:ser>
        <c:ser>
          <c:idx val="2"/>
          <c:order val="2"/>
          <c:tx>
            <c:strRef>
              <c:f>'Prod.Output Summ'!$Q$35</c:f>
              <c:strCache>
                <c:ptCount val="1"/>
                <c:pt idx="0">
                  <c:v>Cél/Target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'Prod.Output Summ'!$S$30:$AM$30</c:f>
              <c:numCache>
                <c:formatCode>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'Prod.Output Summ'!$S$35:$AG$35</c:f>
              <c:numCache>
                <c:formatCode>0.00%</c:formatCode>
                <c:ptCount val="15"/>
                <c:pt idx="0">
                  <c:v>1.6500000000000001E-2</c:v>
                </c:pt>
                <c:pt idx="1">
                  <c:v>1.6500000000000001E-2</c:v>
                </c:pt>
                <c:pt idx="2">
                  <c:v>1.6500000000000001E-2</c:v>
                </c:pt>
                <c:pt idx="3">
                  <c:v>1.6500000000000001E-2</c:v>
                </c:pt>
                <c:pt idx="4">
                  <c:v>1.6500000000000001E-2</c:v>
                </c:pt>
                <c:pt idx="5">
                  <c:v>1.6500000000000001E-2</c:v>
                </c:pt>
                <c:pt idx="6">
                  <c:v>1.6500000000000001E-2</c:v>
                </c:pt>
                <c:pt idx="7">
                  <c:v>1.6500000000000001E-2</c:v>
                </c:pt>
                <c:pt idx="8">
                  <c:v>1.6500000000000001E-2</c:v>
                </c:pt>
                <c:pt idx="9">
                  <c:v>1.6500000000000001E-2</c:v>
                </c:pt>
                <c:pt idx="10">
                  <c:v>1.6500000000000001E-2</c:v>
                </c:pt>
                <c:pt idx="11">
                  <c:v>1.6500000000000001E-2</c:v>
                </c:pt>
                <c:pt idx="12">
                  <c:v>1.6500000000000001E-2</c:v>
                </c:pt>
                <c:pt idx="13">
                  <c:v>1.6500000000000001E-2</c:v>
                </c:pt>
                <c:pt idx="14">
                  <c:v>1.6500000000000001E-2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D5-4B0F-9221-CFDF38E3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997136"/>
        <c:axId val="472993608"/>
      </c:lineChart>
      <c:catAx>
        <c:axId val="4729971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993608"/>
        <c:crosses val="autoZero"/>
        <c:auto val="1"/>
        <c:lblAlgn val="ctr"/>
        <c:lblOffset val="100"/>
        <c:noMultiLvlLbl val="1"/>
      </c:catAx>
      <c:valAx>
        <c:axId val="47299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99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Manua</a:t>
            </a:r>
            <a:r>
              <a:rPr lang="hu-HU" baseline="0"/>
              <a:t>l process total efficiency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4388054477965656"/>
          <c:y val="2.6403146196705425E-2"/>
          <c:w val="0.84723555440295573"/>
          <c:h val="0.6002244579699612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'Prod.Output Summ'!$G$32</c:f>
              <c:strCache>
                <c:ptCount val="1"/>
                <c:pt idx="0">
                  <c:v>Átlag / AVG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'Prod.Output Summ'!$E$33:$E$53</c:f>
              <c:numCache>
                <c:formatCode>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'Prod.Output Summ'!$G$33:$G$53</c:f>
              <c:numCache>
                <c:formatCode>0.00%</c:formatCode>
                <c:ptCount val="21"/>
                <c:pt idx="0">
                  <c:v>0.93857499999999994</c:v>
                </c:pt>
                <c:pt idx="1">
                  <c:v>1.0474333333333334</c:v>
                </c:pt>
                <c:pt idx="2">
                  <c:v>0.96592500000000003</c:v>
                </c:pt>
                <c:pt idx="3">
                  <c:v>1.0588200000000001</c:v>
                </c:pt>
                <c:pt idx="4">
                  <c:v>1.0112000000000001</c:v>
                </c:pt>
                <c:pt idx="5">
                  <c:v>0.97406666666666653</c:v>
                </c:pt>
                <c:pt idx="6">
                  <c:v>0.94686666666666675</c:v>
                </c:pt>
                <c:pt idx="7">
                  <c:v>1.1739333333333333</c:v>
                </c:pt>
                <c:pt idx="8">
                  <c:v>0.9341666666666667</c:v>
                </c:pt>
                <c:pt idx="9">
                  <c:v>1.0378333333333334</c:v>
                </c:pt>
                <c:pt idx="10">
                  <c:v>0.94295000000000007</c:v>
                </c:pt>
                <c:pt idx="11">
                  <c:v>1.0426000000000002</c:v>
                </c:pt>
                <c:pt idx="12">
                  <c:v>0.96335000000000004</c:v>
                </c:pt>
                <c:pt idx="13">
                  <c:v>0.89860000000000007</c:v>
                </c:pt>
                <c:pt idx="14">
                  <c:v>0.91375000000000006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7-417B-AFE9-79832222C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998704"/>
        <c:axId val="472999880"/>
      </c:barChart>
      <c:lineChart>
        <c:grouping val="standard"/>
        <c:varyColors val="0"/>
        <c:ser>
          <c:idx val="0"/>
          <c:order val="0"/>
          <c:tx>
            <c:strRef>
              <c:f>'Prod.Output Summ'!$F$32</c:f>
              <c:strCache>
                <c:ptCount val="1"/>
                <c:pt idx="0">
                  <c:v>Cél / Target (daily)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'Prod.Output Summ'!$E$33:$E$47</c:f>
              <c:numCache>
                <c:formatCode>0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'Prod.Output Summ'!$F$33:$F$47</c:f>
              <c:numCache>
                <c:formatCode>0.00%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7-417B-AFE9-79832222C93D}"/>
            </c:ext>
          </c:extLst>
        </c:ser>
        <c:ser>
          <c:idx val="6"/>
          <c:order val="2"/>
          <c:tx>
            <c:strRef>
              <c:f>'Prod.Output Summ'!$M$32</c:f>
              <c:strCache>
                <c:ptCount val="1"/>
                <c:pt idx="0">
                  <c:v>Kumulált átlag / AVG Cumulative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'Prod.Output Summ'!$E$33:$E$47</c:f>
              <c:numCache>
                <c:formatCode>0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'Prod.Output Summ'!$M$33:$M$53</c:f>
              <c:numCache>
                <c:formatCode>0.00%</c:formatCode>
                <c:ptCount val="21"/>
                <c:pt idx="0">
                  <c:v>0.93857499999999994</c:v>
                </c:pt>
                <c:pt idx="1">
                  <c:v>1.0474333333333334</c:v>
                </c:pt>
                <c:pt idx="2">
                  <c:v>0.96592500000000003</c:v>
                </c:pt>
                <c:pt idx="3">
                  <c:v>1.0588200000000001</c:v>
                </c:pt>
                <c:pt idx="4">
                  <c:v>1.0112000000000001</c:v>
                </c:pt>
                <c:pt idx="5">
                  <c:v>0.97406666666666653</c:v>
                </c:pt>
                <c:pt idx="6">
                  <c:v>0.94686666666666675</c:v>
                </c:pt>
                <c:pt idx="7">
                  <c:v>1.1739333333333333</c:v>
                </c:pt>
                <c:pt idx="8">
                  <c:v>0.9341666666666667</c:v>
                </c:pt>
                <c:pt idx="9">
                  <c:v>1.0378333333333334</c:v>
                </c:pt>
                <c:pt idx="10">
                  <c:v>0.94295000000000007</c:v>
                </c:pt>
                <c:pt idx="11">
                  <c:v>1.0426000000000002</c:v>
                </c:pt>
                <c:pt idx="12">
                  <c:v>0.96335000000000004</c:v>
                </c:pt>
                <c:pt idx="13">
                  <c:v>0.89860000000000007</c:v>
                </c:pt>
                <c:pt idx="14">
                  <c:v>0.91375000000000006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7-417B-AFE9-79832222C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998704"/>
        <c:axId val="472999880"/>
      </c:lineChart>
      <c:catAx>
        <c:axId val="47299870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999880"/>
        <c:crosses val="autoZero"/>
        <c:auto val="1"/>
        <c:lblAlgn val="ctr"/>
        <c:lblOffset val="100"/>
        <c:noMultiLvlLbl val="0"/>
      </c:catAx>
      <c:valAx>
        <c:axId val="47299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99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Manua</a:t>
            </a:r>
            <a:r>
              <a:rPr lang="hu-HU" baseline="0"/>
              <a:t>l process total efficiency (Corrected with utilization)</a:t>
            </a:r>
          </a:p>
          <a:p>
            <a:pPr>
              <a:defRPr/>
            </a:pP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'Prod.Output Summ'!$D$32</c:f>
              <c:strCache>
                <c:ptCount val="1"/>
                <c:pt idx="0">
                  <c:v>Corrected Efficency (excess)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'[2]Prod.Output Summ'!$D$33:$D$49</c:f>
              <c:numCache>
                <c:formatCode>General</c:formatCode>
                <c:ptCount val="17"/>
                <c:pt idx="0">
                  <c:v>1.0925777777777779</c:v>
                </c:pt>
                <c:pt idx="1">
                  <c:v>1.1520172043010752</c:v>
                </c:pt>
                <c:pt idx="2">
                  <c:v>1.0188390476190476</c:v>
                </c:pt>
                <c:pt idx="3">
                  <c:v>1.0557708333333333</c:v>
                </c:pt>
                <c:pt idx="4">
                  <c:v>1.0589583333333334</c:v>
                </c:pt>
                <c:pt idx="5">
                  <c:v>0.98637567567567563</c:v>
                </c:pt>
                <c:pt idx="6">
                  <c:v>1.0082133333333334</c:v>
                </c:pt>
                <c:pt idx="7">
                  <c:v>1.0242686868686868</c:v>
                </c:pt>
                <c:pt idx="8">
                  <c:v>1.0390364583333331</c:v>
                </c:pt>
                <c:pt idx="9">
                  <c:v>1.0198967741935483</c:v>
                </c:pt>
                <c:pt idx="10">
                  <c:v>1.8087096774193547</c:v>
                </c:pt>
                <c:pt idx="11">
                  <c:v>2.0361206896551729</c:v>
                </c:pt>
                <c:pt idx="12">
                  <c:v>1.2060828828828829</c:v>
                </c:pt>
                <c:pt idx="13">
                  <c:v>0</c:v>
                </c:pt>
              </c:numCache>
            </c:numRef>
          </c:cat>
          <c:val>
            <c:numRef>
              <c:f>'Prod.Output Summ'!$D$33:$D$53</c:f>
              <c:numCache>
                <c:formatCode>0.00%</c:formatCode>
                <c:ptCount val="21"/>
                <c:pt idx="0">
                  <c:v>1.104205882352941</c:v>
                </c:pt>
                <c:pt idx="1">
                  <c:v>1.3092916666666667</c:v>
                </c:pt>
                <c:pt idx="2">
                  <c:v>1.2500205882352942</c:v>
                </c:pt>
                <c:pt idx="3">
                  <c:v>1.3702376470588238</c:v>
                </c:pt>
                <c:pt idx="4">
                  <c:v>1.4830933333333334</c:v>
                </c:pt>
                <c:pt idx="5">
                  <c:v>1.1791333333333331</c:v>
                </c:pt>
                <c:pt idx="6">
                  <c:v>1.0963719298245616</c:v>
                </c:pt>
                <c:pt idx="7">
                  <c:v>1.5000259259259257</c:v>
                </c:pt>
                <c:pt idx="8">
                  <c:v>1.18</c:v>
                </c:pt>
                <c:pt idx="9">
                  <c:v>2.1700151515151513</c:v>
                </c:pt>
                <c:pt idx="10">
                  <c:v>1.7144545454545455</c:v>
                </c:pt>
                <c:pt idx="11">
                  <c:v>1.9904181818181823</c:v>
                </c:pt>
                <c:pt idx="12">
                  <c:v>1.4012363636363638</c:v>
                </c:pt>
                <c:pt idx="13">
                  <c:v>1.3887454545454545</c:v>
                </c:pt>
                <c:pt idx="14">
                  <c:v>1.0798863636363638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3-4197-ACBD-1247F20E6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996352"/>
        <c:axId val="472997920"/>
      </c:barChart>
      <c:lineChart>
        <c:grouping val="standard"/>
        <c:varyColors val="0"/>
        <c:ser>
          <c:idx val="0"/>
          <c:order val="0"/>
          <c:tx>
            <c:strRef>
              <c:f>'Prod.Output Summ'!$F$32</c:f>
              <c:strCache>
                <c:ptCount val="1"/>
                <c:pt idx="0">
                  <c:v>Cél / Target (daily)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'Prod.Output Summ'!$E$33:$E$47</c:f>
              <c:numCache>
                <c:formatCode>0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'Prod.Output Summ'!$F$33:$F$47</c:f>
              <c:numCache>
                <c:formatCode>0.00%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3-4197-ACBD-1247F20E6CA8}"/>
            </c:ext>
          </c:extLst>
        </c:ser>
        <c:ser>
          <c:idx val="6"/>
          <c:order val="2"/>
          <c:tx>
            <c:strRef>
              <c:f>'Prod.Output Summ'!$N$32</c:f>
              <c:strCache>
                <c:ptCount val="1"/>
                <c:pt idx="0">
                  <c:v>Kumulált átlag / AVG Cumulative-Corrected Efficency (excess)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'Prod.Output Summ'!$E$33:$E$47</c:f>
              <c:numCache>
                <c:formatCode>0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'Prod.Output Summ'!$N$33:$N$53</c:f>
              <c:numCache>
                <c:formatCode>0.00%</c:formatCode>
                <c:ptCount val="21"/>
                <c:pt idx="0">
                  <c:v>1.104205882352941</c:v>
                </c:pt>
                <c:pt idx="1">
                  <c:v>1.3092916666666667</c:v>
                </c:pt>
                <c:pt idx="2">
                  <c:v>1.2500205882352942</c:v>
                </c:pt>
                <c:pt idx="3">
                  <c:v>1.3702376470588238</c:v>
                </c:pt>
                <c:pt idx="4">
                  <c:v>1.4830933333333334</c:v>
                </c:pt>
                <c:pt idx="5">
                  <c:v>1.1791333333333331</c:v>
                </c:pt>
                <c:pt idx="6">
                  <c:v>1.0963719298245616</c:v>
                </c:pt>
                <c:pt idx="7">
                  <c:v>1.5000259259259257</c:v>
                </c:pt>
                <c:pt idx="8">
                  <c:v>1.18</c:v>
                </c:pt>
                <c:pt idx="9">
                  <c:v>2.1700151515151513</c:v>
                </c:pt>
                <c:pt idx="10">
                  <c:v>1.7144545454545455</c:v>
                </c:pt>
                <c:pt idx="11">
                  <c:v>1.9904181818181823</c:v>
                </c:pt>
                <c:pt idx="12">
                  <c:v>1.4012363636363638</c:v>
                </c:pt>
                <c:pt idx="13">
                  <c:v>1.3887454545454545</c:v>
                </c:pt>
                <c:pt idx="14">
                  <c:v>1.0798863636363638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3-4197-ACBD-1247F20E6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996352"/>
        <c:axId val="472997920"/>
      </c:lineChart>
      <c:catAx>
        <c:axId val="47299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997920"/>
        <c:crosses val="autoZero"/>
        <c:auto val="1"/>
        <c:lblAlgn val="ctr"/>
        <c:lblOffset val="100"/>
        <c:noMultiLvlLbl val="0"/>
      </c:catAx>
      <c:valAx>
        <c:axId val="4729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426471</xdr:colOff>
      <xdr:row>35</xdr:row>
      <xdr:rowOff>8844</xdr:rowOff>
    </xdr:from>
    <xdr:to>
      <xdr:col>27</xdr:col>
      <xdr:colOff>101714</xdr:colOff>
      <xdr:row>70</xdr:row>
      <xdr:rowOff>108630</xdr:rowOff>
    </xdr:to>
    <xdr:graphicFrame macro="">
      <xdr:nvGraphicFramePr>
        <xdr:cNvPr id="4" name="Diagram 2">
          <a:extLst>
            <a:ext uri="{FF2B5EF4-FFF2-40B4-BE49-F238E27FC236}">
              <a16:creationId xmlns:a16="http://schemas.microsoft.com/office/drawing/2014/main" id="{EA795B9A-5AA7-6264-7AC6-89FB309A5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603250</xdr:colOff>
      <xdr:row>0</xdr:row>
      <xdr:rowOff>-5445125</xdr:rowOff>
    </xdr:from>
    <xdr:to>
      <xdr:col>16</xdr:col>
      <xdr:colOff>550484</xdr:colOff>
      <xdr:row>1</xdr:row>
      <xdr:rowOff>137886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CE1B2AD-D376-405D-A660-E886AED33833}"/>
            </a:ext>
            <a:ext uri="{147F2762-F138-4A5C-976F-8EAC2B608ADB}">
              <a16:predDERef xmlns:a16="http://schemas.microsoft.com/office/drawing/2014/main" pred="{EA795B9A-5AA7-6264-7AC6-89FB309A5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480219</xdr:colOff>
      <xdr:row>2</xdr:row>
      <xdr:rowOff>391583</xdr:rowOff>
    </xdr:from>
    <xdr:to>
      <xdr:col>27</xdr:col>
      <xdr:colOff>190386</xdr:colOff>
      <xdr:row>30</xdr:row>
      <xdr:rowOff>10092</xdr:rowOff>
    </xdr:to>
    <xdr:graphicFrame macro="">
      <xdr:nvGraphicFramePr>
        <xdr:cNvPr id="3" name="Diagram 10">
          <a:extLst>
            <a:ext uri="{FF2B5EF4-FFF2-40B4-BE49-F238E27FC236}">
              <a16:creationId xmlns:a16="http://schemas.microsoft.com/office/drawing/2014/main" id="{84776DC2-DC65-4880-ADB9-AC04BE2A4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442232</xdr:colOff>
      <xdr:row>3</xdr:row>
      <xdr:rowOff>142873</xdr:rowOff>
    </xdr:from>
    <xdr:to>
      <xdr:col>35</xdr:col>
      <xdr:colOff>96158</xdr:colOff>
      <xdr:row>23</xdr:row>
      <xdr:rowOff>104321</xdr:rowOff>
    </xdr:to>
    <xdr:graphicFrame macro="">
      <xdr:nvGraphicFramePr>
        <xdr:cNvPr id="3" name="Diagram 1">
          <a:extLst>
            <a:ext uri="{FF2B5EF4-FFF2-40B4-BE49-F238E27FC236}">
              <a16:creationId xmlns:a16="http://schemas.microsoft.com/office/drawing/2014/main" id="{F37B92CD-C6A1-E98C-784E-6B1D136F7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531812</xdr:colOff>
      <xdr:row>24</xdr:row>
      <xdr:rowOff>57150</xdr:rowOff>
    </xdr:from>
    <xdr:to>
      <xdr:col>35</xdr:col>
      <xdr:colOff>25399</xdr:colOff>
      <xdr:row>38</xdr:row>
      <xdr:rowOff>133350</xdr:rowOff>
    </xdr:to>
    <xdr:graphicFrame macro="">
      <xdr:nvGraphicFramePr>
        <xdr:cNvPr id="7" name="Diagram 2">
          <a:extLst>
            <a:ext uri="{FF2B5EF4-FFF2-40B4-BE49-F238E27FC236}">
              <a16:creationId xmlns:a16="http://schemas.microsoft.com/office/drawing/2014/main" id="{2D43F282-2318-7870-4D10-431ECFCD1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1238250</xdr:colOff>
      <xdr:row>27</xdr:row>
      <xdr:rowOff>35719</xdr:rowOff>
    </xdr:from>
    <xdr:to>
      <xdr:col>22</xdr:col>
      <xdr:colOff>36171</xdr:colOff>
      <xdr:row>41</xdr:row>
      <xdr:rowOff>139133</xdr:rowOff>
    </xdr:to>
    <xdr:graphicFrame macro="">
      <xdr:nvGraphicFramePr>
        <xdr:cNvPr id="6" name="Diagram 3">
          <a:extLst>
            <a:ext uri="{FF2B5EF4-FFF2-40B4-BE49-F238E27FC236}">
              <a16:creationId xmlns:a16="http://schemas.microsoft.com/office/drawing/2014/main" id="{AB6BAF91-5376-410D-A22A-B6F989C2C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442232</xdr:colOff>
      <xdr:row>3</xdr:row>
      <xdr:rowOff>142873</xdr:rowOff>
    </xdr:from>
    <xdr:to>
      <xdr:col>32</xdr:col>
      <xdr:colOff>96158</xdr:colOff>
      <xdr:row>28</xdr:row>
      <xdr:rowOff>0</xdr:rowOff>
    </xdr:to>
    <xdr:graphicFrame macro="">
      <xdr:nvGraphicFramePr>
        <xdr:cNvPr id="6" name="Diagram 1">
          <a:extLst>
            <a:ext uri="{FF2B5EF4-FFF2-40B4-BE49-F238E27FC236}">
              <a16:creationId xmlns:a16="http://schemas.microsoft.com/office/drawing/2014/main" id="{35C4AC47-3F32-49BE-BA83-44F5F7CBD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531812</xdr:colOff>
      <xdr:row>28</xdr:row>
      <xdr:rowOff>57150</xdr:rowOff>
    </xdr:from>
    <xdr:to>
      <xdr:col>32</xdr:col>
      <xdr:colOff>25399</xdr:colOff>
      <xdr:row>42</xdr:row>
      <xdr:rowOff>133350</xdr:rowOff>
    </xdr:to>
    <xdr:graphicFrame macro="">
      <xdr:nvGraphicFramePr>
        <xdr:cNvPr id="4" name="Diagram 2">
          <a:extLst>
            <a:ext uri="{FF2B5EF4-FFF2-40B4-BE49-F238E27FC236}">
              <a16:creationId xmlns:a16="http://schemas.microsoft.com/office/drawing/2014/main" id="{D0921FE3-E084-40C0-9790-68DFFD8E5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249304</xdr:colOff>
      <xdr:row>3</xdr:row>
      <xdr:rowOff>92528</xdr:rowOff>
    </xdr:from>
    <xdr:to>
      <xdr:col>35</xdr:col>
      <xdr:colOff>141514</xdr:colOff>
      <xdr:row>24</xdr:row>
      <xdr:rowOff>65313</xdr:rowOff>
    </xdr:to>
    <xdr:graphicFrame macro="">
      <xdr:nvGraphicFramePr>
        <xdr:cNvPr id="9" name="Diagram 1">
          <a:extLst>
            <a:ext uri="{FF2B5EF4-FFF2-40B4-BE49-F238E27FC236}">
              <a16:creationId xmlns:a16="http://schemas.microsoft.com/office/drawing/2014/main" id="{856B98A2-44BC-4B5C-A162-64CDAF27C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67130</xdr:colOff>
      <xdr:row>24</xdr:row>
      <xdr:rowOff>160564</xdr:rowOff>
    </xdr:from>
    <xdr:to>
      <xdr:col>30</xdr:col>
      <xdr:colOff>370116</xdr:colOff>
      <xdr:row>39</xdr:row>
      <xdr:rowOff>51708</xdr:rowOff>
    </xdr:to>
    <xdr:graphicFrame macro="">
      <xdr:nvGraphicFramePr>
        <xdr:cNvPr id="8" name="Diagram 4">
          <a:extLst>
            <a:ext uri="{FF2B5EF4-FFF2-40B4-BE49-F238E27FC236}">
              <a16:creationId xmlns:a16="http://schemas.microsoft.com/office/drawing/2014/main" id="{394C7963-2E4A-181F-7C7C-3AE52486BF34}"/>
            </a:ext>
            <a:ext uri="{147F2762-F138-4A5C-976F-8EAC2B608ADB}">
              <a16:predDERef xmlns:a16="http://schemas.microsoft.com/office/drawing/2014/main" pred="{856B98A2-44BC-4B5C-A162-64CDAF27C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18</xdr:col>
      <xdr:colOff>524327</xdr:colOff>
      <xdr:row>46</xdr:row>
      <xdr:rowOff>103414</xdr:rowOff>
    </xdr:to>
    <xdr:graphicFrame macro="">
      <xdr:nvGraphicFramePr>
        <xdr:cNvPr id="7" name="Diagram 2">
          <a:extLst>
            <a:ext uri="{FF2B5EF4-FFF2-40B4-BE49-F238E27FC236}">
              <a16:creationId xmlns:a16="http://schemas.microsoft.com/office/drawing/2014/main" id="{6247CD59-26FF-4F21-B135-EE4E4BEB78BE}"/>
            </a:ext>
            <a:ext uri="{147F2762-F138-4A5C-976F-8EAC2B608ADB}">
              <a16:predDERef xmlns:a16="http://schemas.microsoft.com/office/drawing/2014/main" pred="{394C7963-2E4A-181F-7C7C-3AE52486B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332248</xdr:colOff>
      <xdr:row>4</xdr:row>
      <xdr:rowOff>87725</xdr:rowOff>
    </xdr:from>
    <xdr:to>
      <xdr:col>44</xdr:col>
      <xdr:colOff>469900</xdr:colOff>
      <xdr:row>28</xdr:row>
      <xdr:rowOff>0</xdr:rowOff>
    </xdr:to>
    <xdr:graphicFrame macro="">
      <xdr:nvGraphicFramePr>
        <xdr:cNvPr id="8" name="Diagram 1">
          <a:extLst>
            <a:ext uri="{FF2B5EF4-FFF2-40B4-BE49-F238E27FC236}">
              <a16:creationId xmlns:a16="http://schemas.microsoft.com/office/drawing/2014/main" id="{463A2A17-74D3-46BB-A8EB-7F8336913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324908</xdr:colOff>
      <xdr:row>35</xdr:row>
      <xdr:rowOff>22225</xdr:rowOff>
    </xdr:from>
    <xdr:to>
      <xdr:col>35</xdr:col>
      <xdr:colOff>279400</xdr:colOff>
      <xdr:row>50</xdr:row>
      <xdr:rowOff>77258</xdr:rowOff>
    </xdr:to>
    <xdr:graphicFrame macro="">
      <xdr:nvGraphicFramePr>
        <xdr:cNvPr id="7" name="Diagram 3">
          <a:extLst>
            <a:ext uri="{FF2B5EF4-FFF2-40B4-BE49-F238E27FC236}">
              <a16:creationId xmlns:a16="http://schemas.microsoft.com/office/drawing/2014/main" id="{BA4FA0DA-544F-A9D8-972F-D6D8138FAD76}"/>
            </a:ext>
            <a:ext uri="{147F2762-F138-4A5C-976F-8EAC2B608ADB}">
              <a16:predDERef xmlns:a16="http://schemas.microsoft.com/office/drawing/2014/main" pred="{463A2A17-74D3-46BB-A8EB-7F8336913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367393</xdr:colOff>
      <xdr:row>31</xdr:row>
      <xdr:rowOff>95249</xdr:rowOff>
    </xdr:from>
    <xdr:to>
      <xdr:col>24</xdr:col>
      <xdr:colOff>97403</xdr:colOff>
      <xdr:row>45</xdr:row>
      <xdr:rowOff>171449</xdr:rowOff>
    </xdr:to>
    <xdr:graphicFrame macro="">
      <xdr:nvGraphicFramePr>
        <xdr:cNvPr id="10" name="Diagram 2">
          <a:extLst>
            <a:ext uri="{FF2B5EF4-FFF2-40B4-BE49-F238E27FC236}">
              <a16:creationId xmlns:a16="http://schemas.microsoft.com/office/drawing/2014/main" id="{369E39D3-A47F-4805-9C39-1AE2F40AD596}"/>
            </a:ext>
            <a:ext uri="{147F2762-F138-4A5C-976F-8EAC2B608ADB}">
              <a16:predDERef xmlns:a16="http://schemas.microsoft.com/office/drawing/2014/main" pred="{BA4FA0DA-544F-A9D8-972F-D6D8138FA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7</xdr:row>
      <xdr:rowOff>383930</xdr:rowOff>
    </xdr:from>
    <xdr:to>
      <xdr:col>46</xdr:col>
      <xdr:colOff>406400</xdr:colOff>
      <xdr:row>29</xdr:row>
      <xdr:rowOff>137504</xdr:rowOff>
    </xdr:to>
    <xdr:graphicFrame macro="">
      <xdr:nvGraphicFramePr>
        <xdr:cNvPr id="6" name="Diagram 1">
          <a:extLst>
            <a:ext uri="{FF2B5EF4-FFF2-40B4-BE49-F238E27FC236}">
              <a16:creationId xmlns:a16="http://schemas.microsoft.com/office/drawing/2014/main" id="{AA368C88-8D2A-458B-BA05-6F0EDE5DF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241300</xdr:colOff>
      <xdr:row>30</xdr:row>
      <xdr:rowOff>19050</xdr:rowOff>
    </xdr:from>
    <xdr:to>
      <xdr:col>34</xdr:col>
      <xdr:colOff>546100</xdr:colOff>
      <xdr:row>44</xdr:row>
      <xdr:rowOff>95250</xdr:rowOff>
    </xdr:to>
    <xdr:graphicFrame macro="">
      <xdr:nvGraphicFramePr>
        <xdr:cNvPr id="7" name="Diagram 2">
          <a:extLst>
            <a:ext uri="{FF2B5EF4-FFF2-40B4-BE49-F238E27FC236}">
              <a16:creationId xmlns:a16="http://schemas.microsoft.com/office/drawing/2014/main" id="{F147E891-405B-3EAD-684A-5A00C4BBFBD7}"/>
            </a:ext>
            <a:ext uri="{147F2762-F138-4A5C-976F-8EAC2B608ADB}">
              <a16:predDERef xmlns:a16="http://schemas.microsoft.com/office/drawing/2014/main" pred="{AA368C88-8D2A-458B-BA05-6F0EDE5DF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1238249</xdr:colOff>
      <xdr:row>32</xdr:row>
      <xdr:rowOff>13607</xdr:rowOff>
    </xdr:from>
    <xdr:to>
      <xdr:col>26</xdr:col>
      <xdr:colOff>315117</xdr:colOff>
      <xdr:row>46</xdr:row>
      <xdr:rowOff>103414</xdr:rowOff>
    </xdr:to>
    <xdr:graphicFrame macro="">
      <xdr:nvGraphicFramePr>
        <xdr:cNvPr id="9" name="Diagram 3">
          <a:extLst>
            <a:ext uri="{FF2B5EF4-FFF2-40B4-BE49-F238E27FC236}">
              <a16:creationId xmlns:a16="http://schemas.microsoft.com/office/drawing/2014/main" id="{969F808A-27A6-41E1-A246-AD898429EEE1}"/>
            </a:ext>
            <a:ext uri="{147F2762-F138-4A5C-976F-8EAC2B608ADB}">
              <a16:predDERef xmlns:a16="http://schemas.microsoft.com/office/drawing/2014/main" pred="{F147E891-405B-3EAD-684A-5A00C4BBF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71438</xdr:colOff>
      <xdr:row>4</xdr:row>
      <xdr:rowOff>142875</xdr:rowOff>
    </xdr:from>
    <xdr:to>
      <xdr:col>35</xdr:col>
      <xdr:colOff>444670</xdr:colOff>
      <xdr:row>30</xdr:row>
      <xdr:rowOff>105616</xdr:rowOff>
    </xdr:to>
    <xdr:graphicFrame macro="">
      <xdr:nvGraphicFramePr>
        <xdr:cNvPr id="9" name="Diagram 1">
          <a:extLst>
            <a:ext uri="{FF2B5EF4-FFF2-40B4-BE49-F238E27FC236}">
              <a16:creationId xmlns:a16="http://schemas.microsoft.com/office/drawing/2014/main" id="{FE9FBC31-E465-4F56-AE06-535EBD78F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33</xdr:row>
      <xdr:rowOff>0</xdr:rowOff>
    </xdr:from>
    <xdr:to>
      <xdr:col>31</xdr:col>
      <xdr:colOff>363096</xdr:colOff>
      <xdr:row>48</xdr:row>
      <xdr:rowOff>5140</xdr:rowOff>
    </xdr:to>
    <xdr:graphicFrame macro="">
      <xdr:nvGraphicFramePr>
        <xdr:cNvPr id="11" name="Diagram 2">
          <a:extLst>
            <a:ext uri="{FF2B5EF4-FFF2-40B4-BE49-F238E27FC236}">
              <a16:creationId xmlns:a16="http://schemas.microsoft.com/office/drawing/2014/main" id="{5F6B6285-2A9D-40D8-9165-F99EFFECE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535781</xdr:colOff>
      <xdr:row>35</xdr:row>
      <xdr:rowOff>95250</xdr:rowOff>
    </xdr:from>
    <xdr:to>
      <xdr:col>20</xdr:col>
      <xdr:colOff>128587</xdr:colOff>
      <xdr:row>50</xdr:row>
      <xdr:rowOff>8164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C59E5586-3E34-4B8C-A2BC-DB18EBA5D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195943</xdr:colOff>
      <xdr:row>6</xdr:row>
      <xdr:rowOff>32657</xdr:rowOff>
    </xdr:from>
    <xdr:to>
      <xdr:col>33</xdr:col>
      <xdr:colOff>518148</xdr:colOff>
      <xdr:row>29</xdr:row>
      <xdr:rowOff>70237</xdr:rowOff>
    </xdr:to>
    <xdr:graphicFrame macro="">
      <xdr:nvGraphicFramePr>
        <xdr:cNvPr id="6" name="Diagram 1">
          <a:extLst>
            <a:ext uri="{FF2B5EF4-FFF2-40B4-BE49-F238E27FC236}">
              <a16:creationId xmlns:a16="http://schemas.microsoft.com/office/drawing/2014/main" id="{C7CE665E-B951-4E5C-843F-3F2B5596F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117123</xdr:colOff>
      <xdr:row>30</xdr:row>
      <xdr:rowOff>139700</xdr:rowOff>
    </xdr:from>
    <xdr:to>
      <xdr:col>28</xdr:col>
      <xdr:colOff>444500</xdr:colOff>
      <xdr:row>45</xdr:row>
      <xdr:rowOff>131233</xdr:rowOff>
    </xdr:to>
    <xdr:graphicFrame macro="">
      <xdr:nvGraphicFramePr>
        <xdr:cNvPr id="5" name="Diagram 2">
          <a:extLst>
            <a:ext uri="{FF2B5EF4-FFF2-40B4-BE49-F238E27FC236}">
              <a16:creationId xmlns:a16="http://schemas.microsoft.com/office/drawing/2014/main" id="{55946596-A88C-0C58-374C-C310395FD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328084</xdr:colOff>
      <xdr:row>31</xdr:row>
      <xdr:rowOff>179916</xdr:rowOff>
    </xdr:from>
    <xdr:to>
      <xdr:col>21</xdr:col>
      <xdr:colOff>189630</xdr:colOff>
      <xdr:row>46</xdr:row>
      <xdr:rowOff>92830</xdr:rowOff>
    </xdr:to>
    <xdr:graphicFrame macro="">
      <xdr:nvGraphicFramePr>
        <xdr:cNvPr id="3" name="Diagram 3">
          <a:extLst>
            <a:ext uri="{FF2B5EF4-FFF2-40B4-BE49-F238E27FC236}">
              <a16:creationId xmlns:a16="http://schemas.microsoft.com/office/drawing/2014/main" id="{B001C633-77FA-48B3-A28A-E25E3AABE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176103</xdr:colOff>
      <xdr:row>4</xdr:row>
      <xdr:rowOff>178257</xdr:rowOff>
    </xdr:from>
    <xdr:to>
      <xdr:col>21</xdr:col>
      <xdr:colOff>80575</xdr:colOff>
      <xdr:row>26</xdr:row>
      <xdr:rowOff>0</xdr:rowOff>
    </xdr:to>
    <xdr:graphicFrame macro="">
      <xdr:nvGraphicFramePr>
        <xdr:cNvPr id="7" name="グラフ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898366</xdr:colOff>
      <xdr:row>5</xdr:row>
      <xdr:rowOff>57646</xdr:rowOff>
    </xdr:from>
    <xdr:to>
      <xdr:col>21</xdr:col>
      <xdr:colOff>193238</xdr:colOff>
      <xdr:row>39</xdr:row>
      <xdr:rowOff>110066</xdr:rowOff>
    </xdr:to>
    <xdr:graphicFrame macro="">
      <xdr:nvGraphicFramePr>
        <xdr:cNvPr id="4" name="グラフ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525834</xdr:colOff>
      <xdr:row>4</xdr:row>
      <xdr:rowOff>52668</xdr:rowOff>
    </xdr:from>
    <xdr:to>
      <xdr:col>18</xdr:col>
      <xdr:colOff>741829</xdr:colOff>
      <xdr:row>26</xdr:row>
      <xdr:rowOff>112060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525834</xdr:colOff>
      <xdr:row>4</xdr:row>
      <xdr:rowOff>52668</xdr:rowOff>
    </xdr:from>
    <xdr:to>
      <xdr:col>18</xdr:col>
      <xdr:colOff>741829</xdr:colOff>
      <xdr:row>27</xdr:row>
      <xdr:rowOff>112060</xdr:rowOff>
    </xdr:to>
    <xdr:graphicFrame macro="">
      <xdr:nvGraphicFramePr>
        <xdr:cNvPr id="3" name="グラフ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757380</xdr:colOff>
      <xdr:row>42</xdr:row>
      <xdr:rowOff>27118</xdr:rowOff>
    </xdr:from>
    <xdr:to>
      <xdr:col>29</xdr:col>
      <xdr:colOff>424543</xdr:colOff>
      <xdr:row>56</xdr:row>
      <xdr:rowOff>79550</xdr:rowOff>
    </xdr:to>
    <xdr:graphicFrame macro="">
      <xdr:nvGraphicFramePr>
        <xdr:cNvPr id="9" name="Diagram 1">
          <a:extLst>
            <a:ext uri="{FF2B5EF4-FFF2-40B4-BE49-F238E27FC236}">
              <a16:creationId xmlns:a16="http://schemas.microsoft.com/office/drawing/2014/main" id="{BFA6B513-D85C-4562-8B2D-349C0E617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53</xdr:row>
      <xdr:rowOff>85725</xdr:rowOff>
    </xdr:from>
    <xdr:to>
      <xdr:col>5</xdr:col>
      <xdr:colOff>276225</xdr:colOff>
      <xdr:row>67</xdr:row>
      <xdr:rowOff>142875</xdr:rowOff>
    </xdr:to>
    <xdr:graphicFrame macro="">
      <xdr:nvGraphicFramePr>
        <xdr:cNvPr id="10" name="Diagram 2">
          <a:extLst>
            <a:ext uri="{FF2B5EF4-FFF2-40B4-BE49-F238E27FC236}">
              <a16:creationId xmlns:a16="http://schemas.microsoft.com/office/drawing/2014/main" id="{B060A726-9BA2-460E-9669-78794B5367ED}"/>
            </a:ext>
            <a:ext uri="{147F2762-F138-4A5C-976F-8EAC2B608ADB}">
              <a16:predDERef xmlns:a16="http://schemas.microsoft.com/office/drawing/2014/main" pred="{BFA6B513-D85C-4562-8B2D-349C0E617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</xdr:colOff>
      <xdr:row>53</xdr:row>
      <xdr:rowOff>114300</xdr:rowOff>
    </xdr:from>
    <xdr:to>
      <xdr:col>15</xdr:col>
      <xdr:colOff>438150</xdr:colOff>
      <xdr:row>72</xdr:row>
      <xdr:rowOff>180975</xdr:rowOff>
    </xdr:to>
    <xdr:graphicFrame macro="">
      <xdr:nvGraphicFramePr>
        <xdr:cNvPr id="12" name="Diagram 3">
          <a:extLst>
            <a:ext uri="{FF2B5EF4-FFF2-40B4-BE49-F238E27FC236}">
              <a16:creationId xmlns:a16="http://schemas.microsoft.com/office/drawing/2014/main" id="{794931B1-7FC8-4AFB-89DB-2A1991983D1D}"/>
            </a:ext>
            <a:ext uri="{147F2762-F138-4A5C-976F-8EAC2B608ADB}">
              <a16:predDERef xmlns:a16="http://schemas.microsoft.com/office/drawing/2014/main" pred="{B060A726-9BA2-460E-9669-78794B536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387803</xdr:colOff>
      <xdr:row>99</xdr:row>
      <xdr:rowOff>93134</xdr:rowOff>
    </xdr:from>
    <xdr:to>
      <xdr:col>18</xdr:col>
      <xdr:colOff>513518</xdr:colOff>
      <xdr:row>750</xdr:row>
      <xdr:rowOff>3245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E95DF36-9D7D-ABC7-1AC3-0094D7B75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3936" y="829734"/>
          <a:ext cx="6831315" cy="4920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FC%20Factory\Laci\!kalkul&#225;ci&#243;k\Operation%20hours\Keymachine%20operation%20hours.xlsx" TargetMode="External"/><Relationship Id="rId1" Type="http://schemas.openxmlformats.org/officeDocument/2006/relationships/externalLinkPath" Target="file:///Z:\FFC%20Factory\Laci\!kalkul&#225;ci&#243;k\Operation%20hours\Keymachine%20operation%20hou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FFC%20Factory\0_FFC\2022\12\output%20follow\PR-10-43-03%20Key%20machine%20output%20follow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nka3"/>
      <sheetName val="Munka1"/>
      <sheetName val="Munka5"/>
      <sheetName val="Munka2"/>
      <sheetName val="Munka6"/>
      <sheetName val="Munka4"/>
    </sheetNames>
    <sheetDataSet>
      <sheetData sheetId="0">
        <row r="5">
          <cell r="B5"/>
          <cell r="C5"/>
          <cell r="D5">
            <v>6</v>
          </cell>
          <cell r="E5"/>
          <cell r="G5">
            <v>8</v>
          </cell>
          <cell r="H5"/>
        </row>
        <row r="6">
          <cell r="B6"/>
          <cell r="C6"/>
          <cell r="D6"/>
          <cell r="E6"/>
          <cell r="G6"/>
          <cell r="H6"/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őlap"/>
      <sheetName val="Headcount"/>
      <sheetName val="ADAMI"/>
      <sheetName val="CAOI"/>
      <sheetName val="AD Auto PKY"/>
      <sheetName val="CYT"/>
      <sheetName val="Manual PKY"/>
      <sheetName val="Auto Bending"/>
      <sheetName val="SS Auto Bending"/>
      <sheetName val="APIM"/>
      <sheetName val="USB"/>
      <sheetName val="Visual Inspection"/>
      <sheetName val="Hot Stamp"/>
      <sheetName val="Shielding"/>
      <sheetName val="Bending"/>
      <sheetName val="Attach Tape"/>
      <sheetName val="Bending+ATT (Kombi sablon)"/>
      <sheetName val="Hand L.mark"/>
      <sheetName val="KFT Output_Bundling"/>
      <sheetName val="KFT Output packaging"/>
      <sheetName val="Sales Qty"/>
      <sheetName val="Sales Amount"/>
      <sheetName val="Sales_daily_plan_follow"/>
      <sheetName val="Sales_daily_plan_follow (2)"/>
      <sheetName val="Summarise"/>
      <sheetName val="Daily Production"/>
      <sheetName val="PlanFollow (Factory out)"/>
      <sheetName val="PlanFollow (Finished)"/>
      <sheetName val="Prod.Output Summ"/>
      <sheetName val="Prod.Output"/>
      <sheetName val="Utilization"/>
      <sheetName val="Sales_DC Price"/>
      <sheetName val="Munk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3">
          <cell r="D33">
            <v>1.0925777777777779</v>
          </cell>
        </row>
        <row r="34">
          <cell r="D34">
            <v>1.1520172043010752</v>
          </cell>
        </row>
        <row r="35">
          <cell r="D35">
            <v>1.0188390476190476</v>
          </cell>
        </row>
        <row r="36">
          <cell r="D36">
            <v>1.0557708333333333</v>
          </cell>
        </row>
        <row r="37">
          <cell r="D37">
            <v>1.0589583333333334</v>
          </cell>
        </row>
        <row r="38">
          <cell r="D38">
            <v>0.98637567567567563</v>
          </cell>
        </row>
        <row r="39">
          <cell r="D39">
            <v>1.0082133333333334</v>
          </cell>
        </row>
        <row r="40">
          <cell r="D40">
            <v>1.0242686868686868</v>
          </cell>
        </row>
        <row r="41">
          <cell r="D41">
            <v>1.0390364583333331</v>
          </cell>
        </row>
        <row r="42">
          <cell r="D42">
            <v>1.0198967741935483</v>
          </cell>
        </row>
        <row r="43">
          <cell r="D43">
            <v>1.8087096774193547</v>
          </cell>
        </row>
        <row r="44">
          <cell r="D44">
            <v>2.0361206896551729</v>
          </cell>
        </row>
        <row r="45">
          <cell r="D45">
            <v>1.2060828828828829</v>
          </cell>
        </row>
        <row r="46">
          <cell r="D46" t="e">
            <v>#DIV/0!</v>
          </cell>
        </row>
      </sheetData>
      <sheetData sheetId="29"/>
      <sheetData sheetId="30"/>
      <sheetData sheetId="31"/>
      <sheetData sheetId="3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orics Krisztián" refreshedDate="45873.560744097224" createdVersion="8" refreshedVersion="8" minRefreshableVersion="3" recordCount="1520" xr:uid="{07031A13-F93A-4C3A-B806-1901E6F2C3F2}">
  <cacheSource type="worksheet">
    <worksheetSource ref="B1:H1048576" sheet="Sales_DC Price"/>
  </cacheSource>
  <cacheFields count="7">
    <cacheField name="Product No_" numFmtId="0">
      <sharedItems containsBlank="1" count="760">
        <s v="06-ASS1-O040"/>
        <s v="06-ASS1-O025"/>
        <s v="06-ASSY-O066"/>
        <s v="06-ASS1-O038"/>
        <s v="06-ASS1-O057"/>
        <s v="06-ASSY-O067"/>
        <s v="06-ASS1-O030"/>
        <s v="06-ASSY-O062"/>
        <s v="06-ASSY-O065"/>
        <s v="06-ASS2-O040"/>
        <s v="06-ASS2-O057"/>
        <s v="06-ASS1-O015"/>
        <s v="06-ASSY-V081"/>
        <s v="06-ASSY-O063"/>
        <s v="06-ASSY-O064"/>
        <s v="07-2700-0229H"/>
        <s v="07-1200-1426H"/>
        <s v="07-1200-1425H"/>
        <s v="07-1200-1424H"/>
        <s v="07-1200-1423H"/>
        <s v="07-2800-0507H"/>
        <s v="07-2000-0723H"/>
        <s v="07-2100-0173H"/>
        <s v="06-ASS1-B021"/>
        <s v="07-2700-0450H"/>
        <s v="06-ASS2-B017"/>
        <s v="07-2702-0327H"/>
        <s v="07-1200-1100H"/>
        <s v="07-2700-0449H"/>
        <s v="07-2700-0439H"/>
        <s v="07-1200-1418H"/>
        <s v="07-2000-0725H"/>
        <s v="07-2000-0724H"/>
        <s v="07-2100-0098H"/>
        <s v="06-ASS1-O004"/>
        <s v="06-ASS1-B017"/>
        <s v="06-ASSY-O068"/>
        <s v="04-HETH-0001"/>
        <s v="07-2100-0097H"/>
        <s v="07-2700-0328H"/>
        <s v="07-2700-0447H"/>
        <s v="06-ASSY-B021"/>
        <s v="07-1200-1417H"/>
        <s v="07-2701-0425H"/>
        <s v="07-1200-1029H"/>
        <s v="06-ASS1-O060"/>
        <s v="06-ASS2-O025"/>
        <s v="06-ASSY-V083"/>
        <s v="06-ASSY-V084"/>
        <s v="07-1200-1312H"/>
        <s v="06-ASS1-O055"/>
        <s v="07-1200-1395H"/>
        <s v="07-1200-1397H"/>
        <s v="06-ASSY-V085"/>
        <s v="07-2700-0440H"/>
        <s v="06-ASS2-B018"/>
        <s v="04-HETH-0006"/>
        <s v="06-ASS1-O037"/>
        <s v="04-HETH-0013"/>
        <s v="06-ASS1-O053"/>
        <s v="06-ASSY-B001"/>
        <s v="06-ASSY-V082"/>
        <s v="06-ASSY-B007"/>
        <s v="06-ASSY-B012"/>
        <s v="06-ASSY-B013"/>
        <s v="06-ASSY-B014"/>
        <s v="06-ASSY-B015"/>
        <s v="06-ASSY-B017"/>
        <s v="06-ASSY-B018"/>
        <s v="06-ASSY-I002"/>
        <s v="06-ASSY-O003"/>
        <s v="06-ASSY-O004"/>
        <s v="06-ASSY-O006"/>
        <s v="06-ASSY-O009"/>
        <s v="06-ASSY-O014"/>
        <s v="06-ASS1-O061"/>
        <s v="06-ASSY-O015"/>
        <s v="06-ASSY-O017"/>
        <s v="06-ASSY-V003"/>
        <s v="06-ASSY-O018"/>
        <s v="06-ASSY-O019"/>
        <s v="06-ASSY-O025"/>
        <s v="06-ASSY-O026"/>
        <s v="06-ASSY-O030"/>
        <s v="06-ASSY-O037"/>
        <s v="06-ASSY-O038"/>
        <s v="06-ASSY-O040"/>
        <s v="06-ASSY-O053"/>
        <s v="06-ASSY-O054"/>
        <s v="06-ASSY-O055"/>
        <s v="06-ASSY-O056"/>
        <s v="06-ASSY-O057"/>
        <s v="06-ASSY-O058"/>
        <s v="06-ASSY-O059"/>
        <s v="06-ASSY-O060"/>
        <s v="06-ASSY-O061"/>
        <s v="06-ASSY-S015"/>
        <s v="06-ASSY-S018"/>
        <s v="06-ASSY-V006"/>
        <s v="06-ASSY-V010"/>
        <s v="06-ASSY-V015"/>
        <s v="06-ASSY-V023"/>
        <s v="06-ASSY-V028"/>
        <s v="06-ASSY-V029"/>
        <s v="06-ASSY-V035"/>
        <s v="06-ASSY-V041"/>
        <s v="06-ASSY-V042"/>
        <s v="06-ASSY-V050"/>
        <s v="06-ASSY-V053"/>
        <s v="06-ASSY-V056"/>
        <s v="06-ASSY-V069"/>
        <s v="06-ASSY-V070"/>
        <s v="06-ASSY-V072"/>
        <s v="06-ASSY-V073"/>
        <s v="06-ASSY-V074"/>
        <s v="06-ASSY-V075"/>
        <s v="06-ASSY-V076"/>
        <s v="06-ASSY-V077"/>
        <s v="06-ASSY-V078"/>
        <s v="06-ASSY-V079"/>
        <s v="06-ASSY-V080"/>
        <s v="06-ASSY-Z002"/>
        <s v="07-1200-0107H"/>
        <s v="07-1200-0152H"/>
        <s v="07-1200-0154H"/>
        <s v="07-1200-0181H"/>
        <s v="07-1200-0183H"/>
        <s v="07-1200-0186H"/>
        <s v="07-1200-0187H"/>
        <s v="07-1200-0190H"/>
        <s v="07-1200-0204H"/>
        <s v="07-1200-0225H"/>
        <s v="07-1200-0249H"/>
        <s v="07-1200-0352H"/>
        <s v="07-1200-0401H"/>
        <s v="07-1200-0416H"/>
        <s v="07-1200-0417H"/>
        <s v="07-1200-0436H"/>
        <s v="07-1200-0438H"/>
        <s v="07-1200-0440H"/>
        <s v="07-1200-0472H"/>
        <s v="07-1200-0481H"/>
        <s v="07-1200-0508H"/>
        <s v="07-1200-0510H"/>
        <s v="07-1200-0534H"/>
        <s v="07-1200-0550H"/>
        <s v="07-1200-0551H"/>
        <s v="07-1200-0559H"/>
        <s v="07-1200-0560H"/>
        <s v="07-1200-0561H"/>
        <s v="07-1200-0564H"/>
        <s v="07-1200-0594H"/>
        <s v="07-1200-0601H"/>
        <s v="07-1200-0696H"/>
        <s v="07-1200-0713H"/>
        <s v="07-1200-0719H"/>
        <s v="07-1200-0720H"/>
        <s v="07-1200-0724H"/>
        <s v="06-ASS1-B018"/>
        <s v="07-1200-0726H"/>
        <s v="07-1200-0748H"/>
        <s v="07-1200-0802H"/>
        <s v="07-1200-0813H"/>
        <s v="07-1200-0817H"/>
        <s v="07-1200-0818H"/>
        <s v="07-1200-0826H"/>
        <s v="07-1200-1420H"/>
        <s v="07-1200-0835H"/>
        <s v="07-1200-0850H"/>
        <s v="07-1200-0852H"/>
        <s v="07-1200-0856H"/>
        <s v="07-1200-0857H"/>
        <s v="07-1200-0877H"/>
        <s v="07-1200-0886H"/>
        <s v="07-1200-0888H"/>
        <s v="07-1200-0907H"/>
        <s v="07-1200-0910H"/>
        <s v="07-1200-0912H"/>
        <s v="07-1200-0915H"/>
        <s v="07-1200-0921H"/>
        <s v="07-1200-0925H"/>
        <s v="07-1200-0926H"/>
        <s v="07-1200-0928H"/>
        <s v="07-1200-0929H"/>
        <s v="07-1200-0937H"/>
        <s v="07-1200-0949H"/>
        <s v="07-1200-0951H"/>
        <s v="07-1200-0953H"/>
        <s v="07-1200-0954H"/>
        <s v="07-1200-0962H"/>
        <s v="07-1200-0968H"/>
        <s v="07-1200-0985H"/>
        <s v="07-1200-0986H"/>
        <s v="07-1200-0999H"/>
        <s v="07-1200-1002H"/>
        <s v="07-1200-1007H"/>
        <s v="07-1200-1014H"/>
        <s v="07-1200-1021H"/>
        <s v="07-1200-1032H"/>
        <s v="07-1200-1034H"/>
        <s v="07-1200-1036H"/>
        <s v="07-1200-1037H"/>
        <s v="07-1200-1038H"/>
        <s v="07-1200-1039H"/>
        <s v="07-1200-1040H"/>
        <s v="07-1200-1041H"/>
        <s v="07-1200-1054H"/>
        <s v="07-1200-1056H"/>
        <s v="07-1200-1057H"/>
        <s v="07-1200-1059H"/>
        <s v="07-1200-1060H"/>
        <s v="07-1200-1072H"/>
        <s v="07-1200-1074H"/>
        <s v="07-1200-1075H"/>
        <s v="07-1200-1083H"/>
        <s v="07-1200-1084H"/>
        <s v="07-1200-1091H"/>
        <s v="07-1200-1093H"/>
        <s v="07-1200-1098H"/>
        <s v="07-1200-1123H"/>
        <s v="07-1200-1124H"/>
        <s v="07-1200-1125H"/>
        <s v="07-1200-1127H"/>
        <s v="07-1200-1128H"/>
        <s v="07-1200-1136H"/>
        <s v="07-1200-1139H"/>
        <s v="07-1200-1140H"/>
        <s v="07-1200-1145H"/>
        <s v="07-1200-1148H"/>
        <s v="07-1200-1156H"/>
        <s v="07-1200-1157H"/>
        <s v="07-1200-1158H"/>
        <s v="07-1200-1162H"/>
        <s v="07-1200-1166H"/>
        <s v="07-1200-1172H"/>
        <s v="07-1200-1175H"/>
        <s v="07-1200-1176H"/>
        <s v="07-1200-1177H"/>
        <s v="07-1200-1183H"/>
        <s v="07-2701-0229H"/>
        <s v="07-1200-1184H"/>
        <s v="07-1200-1189H"/>
        <s v="07-1200-1190H"/>
        <s v="07-1200-1192H"/>
        <s v="07-1200-1197H"/>
        <s v="07-1200-1199H"/>
        <s v="07-1200-1200H"/>
        <s v="07-1200-1204H"/>
        <s v="07-1200-1206H"/>
        <s v="07-1200-1208H"/>
        <s v="07-1200-1210H"/>
        <s v="07-1200-1211H"/>
        <s v="07-1200-1212H"/>
        <s v="07-1200-1213H"/>
        <s v="07-1200-1215H"/>
        <s v="07-1200-1216H"/>
        <s v="07-1200-1221H"/>
        <s v="07-1200-1222H"/>
        <s v="07-1200-1223H"/>
        <s v="07-1200-1224H"/>
        <s v="07-1200-1226H"/>
        <s v="07-1200-1227H"/>
        <s v="07-1200-1229H"/>
        <s v="07-1200-1233H"/>
        <s v="07-1200-1234H"/>
        <s v="07-1200-1237H"/>
        <s v="07-1200-1238H"/>
        <s v="07-1200-1241H"/>
        <s v="07-1200-1243H"/>
        <s v="07-1200-1244H"/>
        <s v="07-1200-1245H"/>
        <s v="07-1200-1246H"/>
        <s v="07-1200-1247H"/>
        <s v="07-1200-1248H"/>
        <s v="07-1200-1249H"/>
        <s v="07-1200-1258H"/>
        <s v="07-1200-1261H"/>
        <s v="07-1200-1262H"/>
        <s v="07-1200-1265H"/>
        <s v="07-1200-1272H"/>
        <s v="07-1200-1273H"/>
        <s v="07-1200-1275H"/>
        <s v="07-1200-1280H"/>
        <s v="07-1200-1282H"/>
        <s v="07-1200-1283H"/>
        <s v="07-1200-1288H"/>
        <s v="07-1200-1290H"/>
        <s v="07-1200-1291H"/>
        <s v="07-1200-1296H"/>
        <s v="07-1200-1297H"/>
        <s v="07-1200-1298H"/>
        <s v="07-1200-1299H"/>
        <s v="07-1200-1300H"/>
        <s v="07-1200-1301H"/>
        <s v="07-1200-1303H"/>
        <s v="07-1200-1304H"/>
        <s v="07-1200-1305H"/>
        <s v="07-1200-1306H"/>
        <s v="07-1200-1307H"/>
        <s v="07-1200-1308H"/>
        <s v="07-1200-1309H"/>
        <s v="07-1200-1310H"/>
        <s v="07-1200-1311H"/>
        <s v="07-1200-1314H"/>
        <s v="07-1200-1315H"/>
        <s v="07-1200-1316H"/>
        <s v="07-1200-1317H"/>
        <s v="07-1200-1318H"/>
        <s v="07-1200-1319H"/>
        <s v="07-1200-1320H"/>
        <s v="07-1200-1321H"/>
        <s v="07-1200-1322H"/>
        <s v="07-1200-1323H"/>
        <s v="07-1200-1324H"/>
        <s v="07-1200-1328H"/>
        <s v="07-1200-1329H"/>
        <s v="07-1200-1330H"/>
        <s v="07-1200-1331H"/>
        <s v="07-1200-1332H"/>
        <s v="07-1200-1333H"/>
        <s v="07-1200-1334H"/>
        <s v="07-1200-1335H"/>
        <s v="07-1200-1336H"/>
        <s v="07-1200-1337H"/>
        <s v="07-1200-1338H"/>
        <s v="07-1200-1339H"/>
        <s v="07-1200-1341H"/>
        <s v="07-1200-1342H"/>
        <s v="07-1200-1344H"/>
        <s v="07-1200-1345H"/>
        <s v="07-1200-1346H"/>
        <s v="07-1200-1347H"/>
        <s v="07-1200-1348H"/>
        <s v="07-1200-1349H"/>
        <s v="07-1200-1361H"/>
        <s v="07-1200-1362H"/>
        <s v="07-1200-1363H"/>
        <s v="07-1200-1364H"/>
        <s v="07-1200-1365H"/>
        <s v="07-1200-1366H"/>
        <s v="07-1200-1367H"/>
        <s v="07-1200-1368H"/>
        <s v="07-1200-1369H"/>
        <s v="07-1200-1371H"/>
        <s v="07-1200-1372H"/>
        <s v="07-1200-1373H"/>
        <s v="07-1200-1374H"/>
        <s v="07-1200-1375H"/>
        <s v="07-1200-1376H"/>
        <s v="07-1200-1377H"/>
        <s v="07-1200-1378H"/>
        <s v="07-1200-1379H"/>
        <s v="07-1200-1380H"/>
        <s v="07-1200-1381H"/>
        <s v="07-1200-1382H"/>
        <s v="07-1200-1383H"/>
        <s v="07-1200-1384H"/>
        <s v="07-1200-1385H"/>
        <s v="07-1200-1386H"/>
        <s v="07-1200-1387H"/>
        <s v="07-1200-1388H"/>
        <s v="07-1200-1389H"/>
        <s v="07-1200-1390H"/>
        <s v="07-1200-1391H"/>
        <s v="07-1200-1392H"/>
        <s v="07-1200-1393H"/>
        <s v="07-1201-0612H"/>
        <s v="07-1201-0613H"/>
        <s v="07-1201-1083H"/>
        <s v="07-1201-1084H"/>
        <s v="07-1201-1171H"/>
        <s v="07-1201-1172H"/>
        <s v="07-1201-1196H"/>
        <s v="07-1201-1197H"/>
        <s v="07-1201-1199H"/>
        <s v="07-1201-1200H"/>
        <s v="07-1201-1204H"/>
        <s v="07-1201-1217H"/>
        <s v="07-1201-1221H"/>
        <s v="07-1201-1222H"/>
        <s v="07-1201-1238H"/>
        <s v="07-1201-1294H"/>
        <s v="07-1201-1295H"/>
        <s v="07-1201-1302H"/>
        <s v="07-2000-0120H"/>
        <s v="07-2000-0226H"/>
        <s v="07-2000-0262H"/>
        <s v="07-2000-0306H"/>
        <s v="07-2000-0313H"/>
        <s v="07-2000-0344H"/>
        <s v="07-2000-0346H"/>
        <s v="07-2000-0366H"/>
        <s v="07-2000-0385H"/>
        <s v="07-2000-0386H"/>
        <s v="07-2000-0387H"/>
        <s v="07-2000-0406H"/>
        <s v="07-2000-0415H"/>
        <s v="07-2000-0419H"/>
        <s v="07-2000-0451H"/>
        <s v="07-2000-0461H"/>
        <s v="07-2000-0462H"/>
        <s v="07-2000-0465H"/>
        <s v="07-2000-0483H"/>
        <s v="07-2000-0493H"/>
        <s v="07-2000-0494H"/>
        <s v="07-2000-0495H"/>
        <s v="07-2000-0503H"/>
        <s v="07-2000-0507H"/>
        <s v="07-2000-0513H"/>
        <s v="07-2000-0518H"/>
        <s v="07-2000-0531H"/>
        <s v="07-2000-0535H"/>
        <s v="07-2000-0536H"/>
        <s v="07-2000-0537H"/>
        <s v="07-2000-0538H"/>
        <s v="07-2000-0544H"/>
        <s v="07-2000-0546H"/>
        <s v="07-2000-0556H"/>
        <s v="07-2000-0561H"/>
        <s v="07-2000-0563H"/>
        <s v="07-2000-0579H"/>
        <s v="07-2000-0581H"/>
        <s v="07-2000-0584H"/>
        <s v="07-2000-0585H"/>
        <s v="07-2000-0586H"/>
        <s v="07-2000-0592H"/>
        <s v="07-2000-0594H"/>
        <s v="07-2000-0595H"/>
        <s v="07-2000-0598H"/>
        <s v="07-2000-0602H"/>
        <s v="07-2000-0604H"/>
        <s v="07-2000-0605H"/>
        <s v="07-2000-0608H"/>
        <s v="07-2000-0609H"/>
        <s v="07-2000-0610H"/>
        <s v="07-2000-0613H"/>
        <s v="07-2000-0618H"/>
        <s v="07-2000-0619H"/>
        <s v="07-2000-0626H"/>
        <s v="07-2000-0632H"/>
        <s v="07-2000-0635H"/>
        <s v="07-2000-0636H"/>
        <s v="07-2000-0637H"/>
        <s v="07-2000-0638H"/>
        <s v="07-2000-0640H"/>
        <s v="07-2000-0641H"/>
        <s v="07-2000-0644H"/>
        <s v="07-2000-0645H"/>
        <s v="07-2000-0647H"/>
        <s v="07-2000-0648H"/>
        <s v="07-2000-0650H"/>
        <s v="07-2000-0652H"/>
        <s v="07-2000-0658H"/>
        <s v="07-2000-0661H"/>
        <s v="07-2000-0666H"/>
        <s v="07-2000-0669H"/>
        <s v="07-2000-0681H"/>
        <s v="07-2000-0683H"/>
        <s v="07-2000-0684H"/>
        <s v="07-2000-0685H"/>
        <s v="07-2000-0686H"/>
        <s v="07-2000-0692H"/>
        <s v="07-2000-0693H"/>
        <s v="07-2000-0694H"/>
        <s v="07-2000-0698H"/>
        <s v="07-2000-0701H"/>
        <s v="07-2000-0707H"/>
        <s v="07-2000-0708H"/>
        <s v="07-2000-0712H"/>
        <s v="07-2000-0713H"/>
        <s v="07-2000-0714H"/>
        <s v="07-2000-0715H"/>
        <s v="07-2000-0717H"/>
        <s v="07-2000-0718H"/>
        <s v="07-2000-0719H"/>
        <s v="07-2000-0720H"/>
        <s v="07-2000-0721H"/>
        <s v="07-2100-0064H"/>
        <s v="07-2100-0066H"/>
        <s v="07-2100-0122H"/>
        <s v="07-2100-0123H"/>
        <s v="07-2100-0126H"/>
        <s v="07-2100-0139H"/>
        <s v="07-2100-0145H"/>
        <s v="07-2100-0146H"/>
        <s v="07-2100-0148H"/>
        <s v="07-2100-0150H"/>
        <s v="07-2100-0151H"/>
        <s v="07-2100-0171H"/>
        <s v="07-2700-0049H"/>
        <s v="07-2700-0068H"/>
        <s v="07-2700-0113H"/>
        <s v="07-2700-0117H"/>
        <s v="07-2700-0125H"/>
        <s v="07-2700-0129H"/>
        <s v="07-2700-0150H"/>
        <s v="07-2700-0151H"/>
        <s v="07-2700-0152H"/>
        <s v="07-2700-0163H"/>
        <s v="07-2700-0200H"/>
        <s v="07-2700-0216H"/>
        <s v="07-2700-0218H"/>
        <s v="07-2700-0219H"/>
        <s v="07-2700-0228H"/>
        <s v="07-2700-0230H"/>
        <s v="07-2700-0237H"/>
        <s v="07-2700-0238H"/>
        <s v="07-2700-0242H"/>
        <s v="07-2700-0244H"/>
        <s v="07-2700-0245H"/>
        <s v="07-2700-0246H"/>
        <s v="07-2700-0253H"/>
        <s v="07-2700-0254H"/>
        <s v="07-2700-0256H"/>
        <s v="07-2700-0257H"/>
        <s v="07-2700-0258H"/>
        <s v="07-2700-0259H"/>
        <s v="07-2700-0260H"/>
        <s v="07-2700-0261H"/>
        <s v="07-2700-0262H"/>
        <s v="07-2700-0263H"/>
        <s v="07-2700-0264H"/>
        <s v="07-2700-0265H"/>
        <s v="07-2700-0266H"/>
        <s v="07-2700-0268H"/>
        <s v="07-2700-0271H"/>
        <s v="07-2700-0275H"/>
        <s v="07-2700-0276H"/>
        <s v="07-2700-0282H"/>
        <s v="07-2700-0283H"/>
        <s v="07-2700-0284H"/>
        <s v="07-2700-0285H"/>
        <s v="07-2700-0287H"/>
        <s v="07-2700-0290H"/>
        <s v="07-2700-0302H"/>
        <s v="07-2700-0303H"/>
        <s v="07-2700-0304H"/>
        <s v="07-2700-0306H"/>
        <s v="07-2700-0307H"/>
        <s v="07-2700-0311H"/>
        <s v="07-2700-0313H"/>
        <s v="07-2700-0315H"/>
        <s v="07-2700-0319H"/>
        <s v="07-2700-0320H"/>
        <s v="07-2700-0325H"/>
        <s v="07-2700-0327H"/>
        <s v="07-2700-0329H"/>
        <s v="07-2700-0330H"/>
        <s v="07-2700-0335H"/>
        <s v="07-2700-0336H"/>
        <s v="07-2700-0337H"/>
        <s v="07-2700-0338H"/>
        <s v="07-2700-0340H"/>
        <s v="07-2700-0341H"/>
        <s v="07-2700-0342H"/>
        <s v="07-2700-0344H"/>
        <s v="07-2700-0345H"/>
        <s v="07-2700-0346H"/>
        <s v="07-2700-0347H"/>
        <s v="07-2700-0348H"/>
        <s v="07-2700-0356H"/>
        <s v="07-2700-0357H"/>
        <s v="07-2700-0360H"/>
        <s v="07-2700-0361H"/>
        <s v="07-2700-0362H"/>
        <s v="07-2700-0363H"/>
        <s v="07-2700-0364H"/>
        <s v="07-2700-0365H"/>
        <s v="07-2700-0366H"/>
        <s v="07-2700-0367H"/>
        <s v="07-2700-0368H"/>
        <s v="07-2700-0369H"/>
        <s v="07-2700-0370H"/>
        <s v="07-2700-0374H"/>
        <s v="07-2700-0375H"/>
        <s v="07-2700-0376H"/>
        <s v="07-2700-0377H"/>
        <s v="07-2700-0381H"/>
        <s v="07-2700-0383H"/>
        <s v="07-2700-0386H"/>
        <s v="07-2700-0387H"/>
        <s v="07-2700-0389H"/>
        <s v="07-2700-0390H"/>
        <s v="07-2700-0391H"/>
        <s v="07-2700-0392H"/>
        <s v="07-2700-0393H"/>
        <s v="07-2700-0394H"/>
        <s v="07-2700-0395H"/>
        <s v="07-2700-0396H"/>
        <s v="07-2700-0397H"/>
        <s v="07-2701-0396H"/>
        <s v="07-2700-0398H"/>
        <s v="07-2701-0398H"/>
        <s v="07-2700-0399H"/>
        <s v="07-2700-0400H"/>
        <s v="07-2700-0401H"/>
        <s v="07-2700-0403H"/>
        <s v="07-2700-0404H"/>
        <s v="07-2700-0405H"/>
        <s v="07-2700-0410H"/>
        <s v="07-2700-0411H"/>
        <s v="07-2700-0412H"/>
        <s v="07-2700-0413H"/>
        <s v="07-2700-0414H"/>
        <s v="07-2700-0415H"/>
        <s v="07-2700-0416H"/>
        <s v="07-2700-0417H"/>
        <s v="07-2700-0420H"/>
        <s v="07-2700-0421H"/>
        <s v="07-2700-0422H"/>
        <s v="07-2700-0423H"/>
        <s v="07-2700-0424H"/>
        <s v="07-2700-0425H"/>
        <s v="07-2700-0426H"/>
        <s v="07-2700-0427H"/>
        <s v="07-2700-0428H"/>
        <s v="07-2700-0429H"/>
        <s v="07-2700-0430H"/>
        <s v="07-2700-0431H"/>
        <s v="07-2700-0432H"/>
        <s v="07-2700-0433H"/>
        <s v="07-2700-0434H"/>
        <s v="07-2700-0435H"/>
        <s v="07-2700-0436H"/>
        <s v="07-2701-0295H"/>
        <s v="07-2701-0327H"/>
        <s v="07-2701-0329H"/>
        <s v="07-2701-0339H"/>
        <s v="07-2701-0374H"/>
        <s v="07-2702-0287H"/>
        <s v="07-2702-0329H"/>
        <s v="07-2800-0349H"/>
        <s v="07-2800-0425H"/>
        <s v="07-2800-0437H"/>
        <s v="07-2800-0449H"/>
        <s v="07-2800-0490H"/>
        <s v="07-2800-0502H"/>
        <s v="07-2800-0510H"/>
        <s v="07-2800-0526H"/>
        <s v="07-2800-0542H"/>
        <s v="07-2800-0543H"/>
        <s v="07-2800-0545H"/>
        <s v="07-2800-0546H"/>
        <s v="07-2800-0548H"/>
        <s v="07-2800-0549H"/>
        <s v="07-2800-0552H"/>
        <s v="07-2800-0553H"/>
        <s v="07-2800-0563H"/>
        <s v="07-2800-0565H"/>
        <s v="07-2800-0566H"/>
        <s v="07-2800-0570H"/>
        <s v="07-2800-0571H"/>
        <s v="07-2800-0574H"/>
        <s v="07-2800-0583H"/>
        <s v="07-2800-0584H"/>
        <s v="07-9000-0458H"/>
        <s v="07-9000-0459H"/>
        <s v="07-9000-0460H"/>
        <s v="07-9000-0461H"/>
        <s v="07-9000-0462H"/>
        <s v="07-9300-0056"/>
        <s v="0F-1200-1190"/>
        <s v="07-1200-1399H"/>
        <s v="07-1200-0182H"/>
        <s v="07-2700-0437H"/>
        <s v="07-1200-1343H"/>
        <s v="07-1200-1354H"/>
        <s v="07-1200-1394H"/>
        <s v="07-1200-1396H"/>
        <s v="07-1200-1398H"/>
        <s v="07-1201-1250H"/>
        <s v="07-1201-1251H"/>
        <s v="07-2000-0459H"/>
        <s v="07-2000-0460H"/>
        <s v="07-2700-0406H"/>
        <s v="07-2700-0407H"/>
        <s v="07-2701-0228H"/>
        <s v="07-2700-0441H"/>
        <s v="07-2700-0442H"/>
        <s v="06-ASS1-O019"/>
        <s v="07-1200-1402H"/>
        <s v="07-1200-1403H"/>
        <s v="07-1200-1404H"/>
        <s v="07-1200-1405H"/>
        <s v="07-2700-0351H"/>
        <s v="07-2700-0314H"/>
        <s v="06-ASS1-O063"/>
        <s v="07-2000-0667H"/>
        <s v="07-2701-0363H"/>
        <s v="07-1200-1278H"/>
        <s v="07-1200-1406H"/>
        <s v="07-2700-0226H"/>
        <s v="07-1200-1407H"/>
        <s v="07-2000-0534H"/>
        <s v="07-1200-1408H"/>
        <s v="07-1200-1409H"/>
        <s v="07-2701-0390H"/>
        <s v="07-2701-0389H"/>
        <s v="07-1201-1296H"/>
        <s v="07-1201-1265H"/>
        <s v="07-2701-0319H"/>
        <s v="07-1200-0354H"/>
        <s v="07-1200-1142H"/>
        <s v="07-2801-0572H"/>
        <s v="07-2701-0420H"/>
        <s v="0M-MB01-0002"/>
        <s v="07-2701-0413H"/>
        <s v="07-2700-0443H"/>
        <s v="07-1200-1412H"/>
        <s v="07-1200-1413H"/>
        <s v="07-2000-0722H"/>
        <s v="07-1200-1410H"/>
        <s v="07-1200-1411H"/>
        <s v="07-1201-1282H"/>
        <s v="07-1200-1414H"/>
        <s v="07-1200-1097H"/>
        <s v="07-1200-1415H"/>
        <s v="07-2700-0444H"/>
        <s v="07-2700-0445H"/>
        <s v="07-2700-0446H"/>
        <s v="07-1200-1416H"/>
        <s v="07-1201-1341H"/>
        <s v="07-2702-0413H"/>
        <s v="07-2701-0414H"/>
        <s v="07-2701-0429H"/>
        <s v="07-2700-0448H"/>
        <s v="07-2701-0430H"/>
        <s v="07-1202-1296H"/>
        <s v="07-2701-0431H"/>
        <s v="07-1200-1078H"/>
        <s v="07-2701-0432H"/>
        <s v="06-ASSY-V017"/>
        <s v="TOOL"/>
        <s v="07-2700-0225H"/>
        <s v="07-2702-0396H"/>
        <s v="07-2701-0397H"/>
        <s v="07-2702-0398H"/>
        <s v="07-2701-0399H"/>
        <s v="07-2701-0400H"/>
        <s v="07-2701-0401H"/>
        <s v="07-1201-0225H"/>
        <s v="07-1200-1421H"/>
        <s v="07-1200-1422H"/>
        <s v="07-2700-0455H"/>
        <s v="07-2701-0447H"/>
        <s v="0M-1200-1344"/>
        <s v="07-2800-0587H"/>
        <s v="07-2000-0657H"/>
        <s v="07-2701-0434H"/>
        <s v="07-2000-0726H"/>
        <s v="07-2701-0328H"/>
        <s v="07-2000-0727H"/>
        <s v="07-1200-1427H"/>
        <s v="07-1200-1355H"/>
        <s v="07-1200-1428H"/>
        <s v="07-2100-0067H"/>
        <s v="07-1201-1029H"/>
        <m/>
        <s v="07-2100-0172H" u="1"/>
        <s v="" u="1"/>
      </sharedItems>
    </cacheField>
    <cacheField name="Currency Code" numFmtId="0">
      <sharedItems containsBlank="1"/>
    </cacheField>
    <cacheField name="Unit Price" numFmtId="0">
      <sharedItems containsString="0" containsBlank="1" containsNumber="1" minValue="1" maxValue="105000"/>
    </cacheField>
    <cacheField name="Starting Date" numFmtId="0">
      <sharedItems containsDate="1" containsString="0" containsBlank="1" containsMixedTypes="1" minDate="1900-01-02T10:57:12" maxDate="2033-06-09T00:00:00"/>
    </cacheField>
    <cacheField name="Ending Date" numFmtId="0">
      <sharedItems containsDate="1" containsString="0" containsBlank="1" containsMixedTypes="1" minDate="1900-01-02T10:57:12" maxDate="2099-01-02T00:00:00"/>
    </cacheField>
    <cacheField name="Price" numFmtId="2">
      <sharedItems containsString="0" containsBlank="1" containsNumber="1" minValue="1" maxValue="105000"/>
    </cacheField>
    <cacheField name="Valid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0">
  <r>
    <x v="0"/>
    <s v=""/>
    <n v="325.32499999999999"/>
    <d v="2023-06-15T00:00:00"/>
    <d v="2029-12-31T00:00:00"/>
    <n v="325.32499999999999"/>
    <x v="0"/>
  </r>
  <r>
    <x v="1"/>
    <s v=""/>
    <n v="313.32499999999999"/>
    <d v="2023-06-15T00:00:00"/>
    <d v="2029-12-31T00:00:00"/>
    <n v="313.32499999999999"/>
    <x v="0"/>
  </r>
  <r>
    <x v="2"/>
    <s v=""/>
    <n v="174"/>
    <d v="2023-08-11T00:00:00"/>
    <d v="2029-08-31T00:00:00"/>
    <n v="174"/>
    <x v="0"/>
  </r>
  <r>
    <x v="3"/>
    <s v=""/>
    <n v="350"/>
    <d v="2023-06-15T00:00:00"/>
    <d v="2024-05-03T00:00:00"/>
    <n v="350"/>
    <x v="1"/>
  </r>
  <r>
    <x v="4"/>
    <s v=""/>
    <n v="426.93"/>
    <d v="2023-08-17T00:00:00"/>
    <d v="2029-12-31T00:00:00"/>
    <n v="426.93"/>
    <x v="0"/>
  </r>
  <r>
    <x v="5"/>
    <s v=""/>
    <n v="101.97000000000001"/>
    <d v="2023-08-11T00:00:00"/>
    <d v="2029-12-31T00:00:00"/>
    <n v="101.97000000000001"/>
    <x v="0"/>
  </r>
  <r>
    <x v="6"/>
    <s v=""/>
    <n v="419.99999999999994"/>
    <d v="2023-06-15T00:00:00"/>
    <d v="2024-05-03T00:00:00"/>
    <n v="419.99999999999994"/>
    <x v="1"/>
  </r>
  <r>
    <x v="7"/>
    <s v=""/>
    <n v="202.11999999999998"/>
    <d v="2023-06-02T00:00:00"/>
    <d v="2029-12-31T00:00:00"/>
    <n v="202.11999999999998"/>
    <x v="0"/>
  </r>
  <r>
    <x v="8"/>
    <s v=""/>
    <n v="174"/>
    <d v="2023-08-11T00:00:00"/>
    <d v="2029-08-11T00:00:00"/>
    <n v="174"/>
    <x v="0"/>
  </r>
  <r>
    <x v="9"/>
    <s v=""/>
    <n v="431.84999999999997"/>
    <d v="2023-09-13T00:00:00"/>
    <d v="2024-05-28T00:00:00"/>
    <n v="431.84999999999997"/>
    <x v="1"/>
  </r>
  <r>
    <x v="10"/>
    <s v=""/>
    <n v="378.62999999999994"/>
    <d v="2023-08-29T00:00:00"/>
    <d v="2024-05-03T00:00:00"/>
    <n v="378.62999999999994"/>
    <x v="1"/>
  </r>
  <r>
    <x v="11"/>
    <s v=""/>
    <n v="350"/>
    <d v="2023-06-01T00:00:00"/>
    <d v="2024-05-03T00:00:00"/>
    <n v="350"/>
    <x v="1"/>
  </r>
  <r>
    <x v="12"/>
    <s v=""/>
    <n v="475.39"/>
    <d v="2023-06-01T00:00:00"/>
    <d v="2024-05-15T00:00:00"/>
    <n v="475.39"/>
    <x v="1"/>
  </r>
  <r>
    <x v="13"/>
    <s v=""/>
    <n v="277.58999999999997"/>
    <d v="2023-06-01T00:00:00"/>
    <d v="2029-12-31T00:00:00"/>
    <n v="277.58999999999997"/>
    <x v="0"/>
  </r>
  <r>
    <x v="14"/>
    <s v=""/>
    <n v="369.95"/>
    <d v="2023-06-01T00:00:00"/>
    <d v="2024-05-03T00:00:00"/>
    <n v="369.95"/>
    <x v="1"/>
  </r>
  <r>
    <x v="15"/>
    <s v=""/>
    <n v="710"/>
    <d v="2023-05-01T00:00:00"/>
    <d v="2029-12-31T00:00:00"/>
    <n v="710"/>
    <x v="0"/>
  </r>
  <r>
    <x v="16"/>
    <s v=""/>
    <n v="114.5"/>
    <d v="2024-07-24T00:00:00"/>
    <d v="2029-12-31T00:00:00"/>
    <n v="114.5"/>
    <x v="0"/>
  </r>
  <r>
    <x v="17"/>
    <s v=""/>
    <n v="175.1"/>
    <d v="2024-07-24T00:00:00"/>
    <d v="2029-12-31T00:00:00"/>
    <n v="175.1"/>
    <x v="0"/>
  </r>
  <r>
    <x v="18"/>
    <s v=""/>
    <n v="203.89999999999998"/>
    <d v="2024-07-24T00:00:00"/>
    <d v="2029-12-31T00:00:00"/>
    <n v="203.89999999999998"/>
    <x v="0"/>
  </r>
  <r>
    <x v="19"/>
    <s v=""/>
    <n v="243.2"/>
    <d v="2024-07-24T00:00:00"/>
    <d v="2029-12-31T00:00:00"/>
    <n v="243.2"/>
    <x v="0"/>
  </r>
  <r>
    <x v="20"/>
    <s v=""/>
    <n v="142.30000000000001"/>
    <d v="2023-01-04T00:00:00"/>
    <d v="2023-01-04T00:00:00"/>
    <n v="142.30000000000001"/>
    <x v="1"/>
  </r>
  <r>
    <x v="21"/>
    <s v=""/>
    <n v="284"/>
    <d v="2024-07-15T00:00:00"/>
    <d v="2029-12-31T00:00:00"/>
    <n v="284"/>
    <x v="0"/>
  </r>
  <r>
    <x v="22"/>
    <s v=""/>
    <n v="473"/>
    <d v="2024-07-15T00:00:00"/>
    <d v="2029-12-31T00:00:00"/>
    <n v="473"/>
    <x v="0"/>
  </r>
  <r>
    <x v="23"/>
    <s v=""/>
    <n v="418.46"/>
    <d v="2024-11-04T00:00:00"/>
    <d v="2025-12-31T00:00:00"/>
    <n v="418.46"/>
    <x v="0"/>
  </r>
  <r>
    <x v="24"/>
    <s v=""/>
    <n v="1320"/>
    <d v="2024-01-01T00:00:00"/>
    <d v="2024-12-31T00:00:00"/>
    <n v="1320"/>
    <x v="1"/>
  </r>
  <r>
    <x v="25"/>
    <s v=""/>
    <n v="419.86999999999995"/>
    <d v="2024-11-04T00:00:00"/>
    <d v="2025-12-31T00:00:00"/>
    <n v="419.86999999999995"/>
    <x v="0"/>
  </r>
  <r>
    <x v="26"/>
    <s v=""/>
    <n v="1760.6000000000001"/>
    <d v="2024-05-01T00:00:00"/>
    <d v="2024-12-31T00:00:00"/>
    <n v="1760.6000000000001"/>
    <x v="1"/>
  </r>
  <r>
    <x v="27"/>
    <s v=""/>
    <n v="210.29999999999998"/>
    <d v="2024-05-01T00:00:00"/>
    <d v="2024-12-31T00:00:00"/>
    <n v="210.29999999999998"/>
    <x v="1"/>
  </r>
  <r>
    <x v="28"/>
    <s v=""/>
    <n v="1183"/>
    <d v="2024-01-01T00:00:00"/>
    <d v="2024-12-31T00:00:00"/>
    <n v="1183"/>
    <x v="1"/>
  </r>
  <r>
    <x v="29"/>
    <s v=""/>
    <n v="1408"/>
    <d v="2024-01-01T00:00:00"/>
    <d v="2024-12-31T00:00:00"/>
    <n v="1408"/>
    <x v="1"/>
  </r>
  <r>
    <x v="30"/>
    <s v=""/>
    <n v="287"/>
    <d v="2024-01-01T00:00:00"/>
    <d v="2029-12-31T00:00:00"/>
    <n v="287"/>
    <x v="0"/>
  </r>
  <r>
    <x v="31"/>
    <s v=""/>
    <n v="387.90000000000003"/>
    <d v="2024-09-03T00:00:00"/>
    <d v="2029-12-31T00:00:00"/>
    <n v="387.90000000000003"/>
    <x v="0"/>
  </r>
  <r>
    <x v="32"/>
    <s v=""/>
    <n v="295"/>
    <d v="2024-07-26T00:00:00"/>
    <d v="2029-12-31T00:00:00"/>
    <n v="295"/>
    <x v="0"/>
  </r>
  <r>
    <x v="32"/>
    <s v=""/>
    <n v="371"/>
    <d v="2024-07-26T00:00:00"/>
    <d v="2029-12-31T00:00:00"/>
    <n v="371"/>
    <x v="0"/>
  </r>
  <r>
    <x v="33"/>
    <s v=""/>
    <n v="6500"/>
    <d v="2024-07-26T00:00:00"/>
    <d v="2029-12-31T00:00:00"/>
    <n v="6500"/>
    <x v="0"/>
  </r>
  <r>
    <x v="16"/>
    <s v=""/>
    <n v="156.60000000000002"/>
    <d v="2024-07-24T00:00:00"/>
    <d v="2029-12-31T00:00:00"/>
    <n v="156.60000000000002"/>
    <x v="0"/>
  </r>
  <r>
    <x v="17"/>
    <s v=""/>
    <n v="217.20000000000002"/>
    <d v="2024-07-24T00:00:00"/>
    <d v="2029-12-31T00:00:00"/>
    <n v="217.20000000000002"/>
    <x v="0"/>
  </r>
  <r>
    <x v="18"/>
    <s v=""/>
    <n v="243.5"/>
    <d v="2024-07-24T00:00:00"/>
    <d v="2029-12-31T00:00:00"/>
    <n v="243.5"/>
    <x v="0"/>
  </r>
  <r>
    <x v="19"/>
    <s v=""/>
    <n v="287.39999999999998"/>
    <d v="2024-07-24T00:00:00"/>
    <d v="2029-12-31T00:00:00"/>
    <n v="287.39999999999998"/>
    <x v="0"/>
  </r>
  <r>
    <x v="34"/>
    <s v=""/>
    <n v="280"/>
    <d v="2024-03-12T00:00:00"/>
    <d v="2024-05-03T00:00:00"/>
    <n v="280"/>
    <x v="1"/>
  </r>
  <r>
    <x v="35"/>
    <s v=""/>
    <n v="410.65"/>
    <d v="2023-09-26T00:00:00"/>
    <d v="2029-12-31T00:00:00"/>
    <n v="410.65"/>
    <x v="0"/>
  </r>
  <r>
    <x v="36"/>
    <s v=""/>
    <n v="344.87"/>
    <d v="2023-08-31T00:00:00"/>
    <d v="2024-05-03T00:00:00"/>
    <n v="344.87"/>
    <x v="1"/>
  </r>
  <r>
    <x v="37"/>
    <s v="USD"/>
    <n v="8.9071999999999996"/>
    <d v="2000-01-01T00:00:00"/>
    <d v="2022-10-31T00:00:00"/>
    <n v="7.838336"/>
    <x v="1"/>
  </r>
  <r>
    <x v="33"/>
    <s v=""/>
    <n v="4788.2"/>
    <d v="2024-07-26T00:00:00"/>
    <d v="2029-12-31T00:00:00"/>
    <n v="4788.2"/>
    <x v="0"/>
  </r>
  <r>
    <x v="38"/>
    <s v=""/>
    <n v="6161.9000000000005"/>
    <d v="2024-07-26T00:00:00"/>
    <d v="2029-12-31T00:00:00"/>
    <n v="6161.9000000000005"/>
    <x v="0"/>
  </r>
  <r>
    <x v="3"/>
    <s v=""/>
    <n v="355.34999999999997"/>
    <d v="2024-05-03T00:00:00"/>
    <d v="2025-12-31T00:00:00"/>
    <n v="355.34999999999997"/>
    <x v="0"/>
  </r>
  <r>
    <x v="39"/>
    <s v=""/>
    <n v="1940.0000000000002"/>
    <d v="2024-05-01T00:00:00"/>
    <d v="2029-12-31T00:00:00"/>
    <n v="1940.0000000000002"/>
    <x v="0"/>
  </r>
  <r>
    <x v="6"/>
    <s v=""/>
    <n v="355.34000000000003"/>
    <d v="2024-05-03T00:00:00"/>
    <d v="2025-12-31T00:00:00"/>
    <n v="355.34000000000003"/>
    <x v="0"/>
  </r>
  <r>
    <x v="30"/>
    <s v=""/>
    <n v="243"/>
    <d v="2024-01-01T00:00:00"/>
    <d v="2029-12-31T00:00:00"/>
    <n v="243"/>
    <x v="0"/>
  </r>
  <r>
    <x v="40"/>
    <s v=""/>
    <n v="760.00000000000011"/>
    <d v="2024-02-20T00:00:00"/>
    <d v="2050-12-31T00:00:00"/>
    <n v="760.00000000000011"/>
    <x v="0"/>
  </r>
  <r>
    <x v="41"/>
    <s v=""/>
    <n v="502.15"/>
    <d v="2024-06-18T00:00:00"/>
    <d v="2024-12-31T00:00:00"/>
    <n v="502.15"/>
    <x v="1"/>
  </r>
  <r>
    <x v="42"/>
    <s v=""/>
    <n v="132"/>
    <d v="2024-02-14T00:00:00"/>
    <d v="2050-12-31T00:00:00"/>
    <n v="132"/>
    <x v="0"/>
  </r>
  <r>
    <x v="10"/>
    <s v=""/>
    <n v="384.57000000000005"/>
    <d v="2024-05-03T00:00:00"/>
    <d v="2025-12-31T00:00:00"/>
    <n v="384.57000000000005"/>
    <x v="0"/>
  </r>
  <r>
    <x v="43"/>
    <s v=""/>
    <n v="850"/>
    <d v="2023-06-08T00:00:00"/>
    <d v="2023-12-31T00:00:00"/>
    <n v="850"/>
    <x v="1"/>
  </r>
  <r>
    <x v="11"/>
    <s v=""/>
    <n v="355.34000000000003"/>
    <d v="2024-05-03T00:00:00"/>
    <d v="2025-12-31T00:00:00"/>
    <n v="355.34000000000003"/>
    <x v="0"/>
  </r>
  <r>
    <x v="44"/>
    <s v=""/>
    <n v="1350"/>
    <d v="2023-06-08T00:00:00"/>
    <d v="2050-01-01T00:00:00"/>
    <n v="1350"/>
    <x v="0"/>
  </r>
  <r>
    <x v="12"/>
    <s v=""/>
    <n v="512.09"/>
    <d v="2024-05-15T00:00:00"/>
    <d v="2029-12-31T00:00:00"/>
    <n v="512.09"/>
    <x v="0"/>
  </r>
  <r>
    <x v="45"/>
    <s v=""/>
    <n v="844.01"/>
    <d v="2023-09-08T00:00:00"/>
    <d v="2024-05-03T00:00:00"/>
    <n v="844.01"/>
    <x v="1"/>
  </r>
  <r>
    <x v="46"/>
    <s v=""/>
    <n v="347.88"/>
    <d v="2023-09-13T00:00:00"/>
    <d v="2024-05-03T00:00:00"/>
    <n v="347.88"/>
    <x v="1"/>
  </r>
  <r>
    <x v="47"/>
    <s v=""/>
    <n v="1191"/>
    <d v="2023-11-13T00:00:00"/>
    <d v="2024-05-15T00:00:00"/>
    <n v="1191"/>
    <x v="1"/>
  </r>
  <r>
    <x v="48"/>
    <s v=""/>
    <n v="446.28000000000003"/>
    <d v="2024-03-04T00:00:00"/>
    <d v="2029-12-31T00:00:00"/>
    <n v="446.28000000000003"/>
    <x v="0"/>
  </r>
  <r>
    <x v="49"/>
    <s v=""/>
    <n v="171"/>
    <n v="-53688"/>
    <n v="-53688"/>
    <n v="171"/>
    <x v="1"/>
  </r>
  <r>
    <x v="49"/>
    <s v=""/>
    <n v="201.99999999999997"/>
    <d v="2023-05-01T00:00:00"/>
    <d v="2028-01-01T00:00:00"/>
    <n v="201.99999999999997"/>
    <x v="0"/>
  </r>
  <r>
    <x v="14"/>
    <s v=""/>
    <n v="377.05"/>
    <d v="2024-05-03T00:00:00"/>
    <d v="2025-12-31T00:00:00"/>
    <n v="377.05"/>
    <x v="0"/>
  </r>
  <r>
    <x v="50"/>
    <s v=""/>
    <n v="503.19999999999993"/>
    <d v="2023-10-06T00:00:00"/>
    <d v="2024-05-03T00:00:00"/>
    <n v="503.19999999999993"/>
    <x v="1"/>
  </r>
  <r>
    <x v="51"/>
    <s v=""/>
    <n v="662"/>
    <d v="2024-01-01T00:00:00"/>
    <d v="2024-12-31T00:00:00"/>
    <n v="662"/>
    <x v="1"/>
  </r>
  <r>
    <x v="52"/>
    <s v=""/>
    <n v="300"/>
    <d v="2023-04-01T00:00:00"/>
    <d v="2027-01-01T00:00:00"/>
    <n v="300"/>
    <x v="0"/>
  </r>
  <r>
    <x v="34"/>
    <s v=""/>
    <n v="281.64"/>
    <d v="2024-05-03T00:00:00"/>
    <d v="2025-12-31T00:00:00"/>
    <n v="281.64"/>
    <x v="0"/>
  </r>
  <r>
    <x v="20"/>
    <s v=""/>
    <n v="136.60000000000002"/>
    <d v="2023-04-01T00:00:00"/>
    <d v="2030-04-01T00:00:00"/>
    <n v="136.60000000000002"/>
    <x v="0"/>
  </r>
  <r>
    <x v="36"/>
    <s v=""/>
    <n v="350.82"/>
    <d v="2024-05-03T00:00:00"/>
    <d v="2025-12-31T00:00:00"/>
    <n v="350.82"/>
    <x v="0"/>
  </r>
  <r>
    <x v="37"/>
    <s v=""/>
    <n v="8.9437999999999995"/>
    <d v="2022-11-01T00:00:00"/>
    <d v="2029-12-31T00:00:00"/>
    <n v="8.9437999999999995"/>
    <x v="0"/>
  </r>
  <r>
    <x v="53"/>
    <s v=""/>
    <n v="8480.0999999999985"/>
    <d v="2024-04-25T00:00:00"/>
    <d v="2029-12-31T00:00:00"/>
    <n v="8480.0999999999985"/>
    <x v="0"/>
  </r>
  <r>
    <x v="40"/>
    <s v=""/>
    <n v="720"/>
    <d v="2024-02-20T00:00:00"/>
    <d v="2050-12-31T00:00:00"/>
    <n v="720"/>
    <x v="0"/>
  </r>
  <r>
    <x v="54"/>
    <s v=""/>
    <n v="1050"/>
    <d v="2024-04-01T00:00:00"/>
    <d v="2024-12-31T00:00:00"/>
    <n v="1050"/>
    <x v="1"/>
  </r>
  <r>
    <x v="42"/>
    <s v=""/>
    <n v="89"/>
    <d v="2024-02-14T00:00:00"/>
    <d v="2050-12-31T00:00:00"/>
    <n v="89"/>
    <x v="0"/>
  </r>
  <r>
    <x v="43"/>
    <s v=""/>
    <n v="830"/>
    <d v="2024-01-01T00:00:00"/>
    <d v="2024-05-31T00:00:00"/>
    <n v="830"/>
    <x v="1"/>
  </r>
  <r>
    <x v="45"/>
    <s v=""/>
    <n v="854.99"/>
    <d v="2024-05-03T00:00:00"/>
    <d v="2025-12-31T00:00:00"/>
    <n v="854.99"/>
    <x v="0"/>
  </r>
  <r>
    <x v="46"/>
    <s v=""/>
    <n v="354.37"/>
    <d v="2024-05-03T00:00:00"/>
    <d v="2025-12-31T00:00:00"/>
    <n v="354.37"/>
    <x v="0"/>
  </r>
  <r>
    <x v="47"/>
    <s v=""/>
    <n v="1003.7700000000001"/>
    <d v="2024-05-15T00:00:00"/>
    <d v="2029-12-31T00:00:00"/>
    <n v="1003.7700000000001"/>
    <x v="0"/>
  </r>
  <r>
    <x v="50"/>
    <s v=""/>
    <n v="513.16000000000008"/>
    <d v="2024-05-03T00:00:00"/>
    <d v="2025-12-31T00:00:00"/>
    <n v="513.16000000000008"/>
    <x v="0"/>
  </r>
  <r>
    <x v="37"/>
    <s v="USD"/>
    <n v="8.9437999999999995"/>
    <d v="2022-11-01T00:00:00"/>
    <d v="2029-12-31T00:00:00"/>
    <n v="7.8705439999999998"/>
    <x v="0"/>
  </r>
  <r>
    <x v="54"/>
    <s v=""/>
    <n v="1019"/>
    <d v="2025-01-01T00:00:00"/>
    <d v="2025-12-31T00:00:00"/>
    <n v="1019"/>
    <x v="0"/>
  </r>
  <r>
    <x v="43"/>
    <s v=""/>
    <n v="791.7"/>
    <d v="2025-01-01T00:00:00"/>
    <d v="2025-12-31T00:00:00"/>
    <n v="791.7"/>
    <x v="0"/>
  </r>
  <r>
    <x v="55"/>
    <s v=""/>
    <n v="215.27"/>
    <d v="2024-01-26T00:00:00"/>
    <d v="2029-12-31T00:00:00"/>
    <n v="215.27"/>
    <x v="0"/>
  </r>
  <r>
    <x v="43"/>
    <s v=""/>
    <n v="760.19999999999993"/>
    <d v="2026-01-01T00:00:00"/>
    <d v="2026-12-31T00:00:00"/>
    <n v="760.19999999999993"/>
    <x v="0"/>
  </r>
  <r>
    <x v="43"/>
    <s v=""/>
    <n v="824.5"/>
    <d v="2024-06-01T00:00:00"/>
    <d v="2024-12-31T00:00:00"/>
    <n v="824.5"/>
    <x v="1"/>
  </r>
  <r>
    <x v="56"/>
    <s v="USD"/>
    <n v="7.9686000000000003"/>
    <d v="2000-01-01T00:00:00"/>
    <d v="2022-10-31T00:00:00"/>
    <n v="7.0123680000000004"/>
    <x v="1"/>
  </r>
  <r>
    <x v="56"/>
    <s v=""/>
    <n v="7.960700000000001"/>
    <d v="2022-11-01T00:00:00"/>
    <d v="2029-12-31T00:00:00"/>
    <n v="7.960700000000001"/>
    <x v="0"/>
  </r>
  <r>
    <x v="57"/>
    <s v=""/>
    <n v="433.76000000000005"/>
    <d v="2023-07-06T00:00:00"/>
    <d v="2024-05-03T00:00:00"/>
    <n v="433.76000000000005"/>
    <x v="1"/>
  </r>
  <r>
    <x v="56"/>
    <s v="USD"/>
    <n v="7.960700000000001"/>
    <d v="2022-11-01T00:00:00"/>
    <d v="2029-12-31T00:00:00"/>
    <n v="7.0054160000000012"/>
    <x v="0"/>
  </r>
  <r>
    <x v="57"/>
    <s v=""/>
    <n v="441.34999999999997"/>
    <d v="2024-05-03T00:00:00"/>
    <d v="2025-12-31T00:00:00"/>
    <n v="441.34999999999997"/>
    <x v="0"/>
  </r>
  <r>
    <x v="58"/>
    <s v="USD"/>
    <n v="4.7278000000000002"/>
    <d v="2000-01-01T00:00:00"/>
    <d v="2022-10-31T00:00:00"/>
    <n v="4.1604640000000002"/>
    <x v="1"/>
  </r>
  <r>
    <x v="59"/>
    <s v=""/>
    <n v="433.76000000000005"/>
    <d v="2023-10-18T00:00:00"/>
    <d v="2024-05-03T00:00:00"/>
    <n v="433.76000000000005"/>
    <x v="1"/>
  </r>
  <r>
    <x v="60"/>
    <s v=""/>
    <n v="309.81"/>
    <d v="2023-05-01T00:00:00"/>
    <d v="2029-12-31T00:00:00"/>
    <n v="309.81"/>
    <x v="0"/>
  </r>
  <r>
    <x v="59"/>
    <s v=""/>
    <n v="441.34999999999997"/>
    <d v="2024-05-03T00:00:00"/>
    <d v="2025-12-31T00:00:00"/>
    <n v="441.34999999999997"/>
    <x v="0"/>
  </r>
  <r>
    <x v="60"/>
    <s v=""/>
    <n v="309.81"/>
    <d v="2000-01-01T00:00:00"/>
    <d v="2022-09-22T00:00:00"/>
    <n v="309.81"/>
    <x v="1"/>
  </r>
  <r>
    <x v="60"/>
    <s v=""/>
    <n v="325.3"/>
    <d v="2022-09-23T00:00:00"/>
    <d v="2023-04-30T00:00:00"/>
    <n v="325.3"/>
    <x v="1"/>
  </r>
  <r>
    <x v="61"/>
    <s v=""/>
    <n v="355.41999999999996"/>
    <d v="2023-07-12T00:00:00"/>
    <d v="2024-05-15T00:00:00"/>
    <n v="355.41999999999996"/>
    <x v="1"/>
  </r>
  <r>
    <x v="62"/>
    <s v=""/>
    <n v="315.04000000000002"/>
    <d v="2000-01-01T00:00:00"/>
    <d v="2029-12-31T00:00:00"/>
    <n v="315.04000000000002"/>
    <x v="0"/>
  </r>
  <r>
    <x v="61"/>
    <s v=""/>
    <n v="362.21"/>
    <d v="2024-05-15T00:00:00"/>
    <d v="2029-12-31T00:00:00"/>
    <n v="362.21"/>
    <x v="0"/>
  </r>
  <r>
    <x v="63"/>
    <s v=""/>
    <n v="222.10799999999998"/>
    <d v="2000-01-01T00:00:00"/>
    <d v="2029-12-31T00:00:00"/>
    <n v="222.10799999999998"/>
    <x v="0"/>
  </r>
  <r>
    <x v="64"/>
    <s v=""/>
    <n v="95.772000000000006"/>
    <d v="2000-01-01T00:00:00"/>
    <d v="2029-12-31T00:00:00"/>
    <n v="95.772000000000006"/>
    <x v="0"/>
  </r>
  <r>
    <x v="65"/>
    <s v=""/>
    <n v="156.91"/>
    <d v="2000-01-01T00:00:00"/>
    <d v="2029-12-31T00:00:00"/>
    <n v="156.91"/>
    <x v="0"/>
  </r>
  <r>
    <x v="66"/>
    <s v=""/>
    <n v="208.21999999999997"/>
    <d v="2000-01-01T00:00:00"/>
    <d v="2029-12-31T00:00:00"/>
    <n v="208.21999999999997"/>
    <x v="0"/>
  </r>
  <r>
    <x v="67"/>
    <s v=""/>
    <n v="416.79"/>
    <d v="2000-01-01T00:00:00"/>
    <d v="2029-12-31T00:00:00"/>
    <n v="416.79"/>
    <x v="0"/>
  </r>
  <r>
    <x v="68"/>
    <s v=""/>
    <n v="179.37"/>
    <d v="2000-01-01T00:00:00"/>
    <d v="2029-12-31T00:00:00"/>
    <n v="179.37"/>
    <x v="0"/>
  </r>
  <r>
    <x v="69"/>
    <s v=""/>
    <n v="6.83"/>
    <d v="2000-01-01T00:00:00"/>
    <d v="2029-12-31T00:00:00"/>
    <n v="6.83"/>
    <x v="0"/>
  </r>
  <r>
    <x v="70"/>
    <s v=""/>
    <n v="150.93"/>
    <d v="2000-01-01T00:00:00"/>
    <d v="2024-05-03T00:00:00"/>
    <n v="150.93"/>
    <x v="1"/>
  </r>
  <r>
    <x v="71"/>
    <s v=""/>
    <n v="280"/>
    <d v="2000-01-01T00:00:00"/>
    <d v="2024-05-03T00:00:00"/>
    <n v="280"/>
    <x v="1"/>
  </r>
  <r>
    <x v="70"/>
    <s v=""/>
    <n v="153.59"/>
    <d v="2024-05-03T00:00:00"/>
    <d v="2025-12-31T00:00:00"/>
    <n v="153.59"/>
    <x v="0"/>
  </r>
  <r>
    <x v="72"/>
    <s v=""/>
    <n v="300"/>
    <d v="2000-01-01T00:00:00"/>
    <d v="2024-05-03T00:00:00"/>
    <n v="300"/>
    <x v="1"/>
  </r>
  <r>
    <x v="71"/>
    <s v=""/>
    <n v="281.64"/>
    <d v="2024-05-03T00:00:00"/>
    <d v="2025-12-31T00:00:00"/>
    <n v="281.64"/>
    <x v="0"/>
  </r>
  <r>
    <x v="73"/>
    <s v=""/>
    <n v="171.67000000000002"/>
    <d v="2000-01-01T00:00:00"/>
    <d v="2029-12-31T00:00:00"/>
    <n v="171.67000000000002"/>
    <x v="0"/>
  </r>
  <r>
    <x v="72"/>
    <s v=""/>
    <n v="302.27999999999997"/>
    <d v="2024-05-03T00:00:00"/>
    <d v="2025-12-31T00:00:00"/>
    <n v="302.27999999999997"/>
    <x v="0"/>
  </r>
  <r>
    <x v="74"/>
    <s v=""/>
    <n v="249.86"/>
    <d v="2000-01-01T00:00:00"/>
    <d v="2029-12-31T00:00:00"/>
    <n v="249.86"/>
    <x v="0"/>
  </r>
  <r>
    <x v="75"/>
    <s v=""/>
    <n v="2109.6"/>
    <d v="2023-10-18T00:00:00"/>
    <d v="2024-05-03T00:00:00"/>
    <n v="2109.6"/>
    <x v="1"/>
  </r>
  <r>
    <x v="76"/>
    <s v=""/>
    <n v="209.99999999999997"/>
    <d v="2000-01-01T00:00:00"/>
    <d v="2029-12-31T00:00:00"/>
    <n v="209.99999999999997"/>
    <x v="0"/>
  </r>
  <r>
    <x v="75"/>
    <s v=""/>
    <n v="2116"/>
    <d v="2024-05-03T00:00:00"/>
    <d v="2025-12-31T00:00:00"/>
    <n v="2116"/>
    <x v="0"/>
  </r>
  <r>
    <x v="77"/>
    <s v=""/>
    <n v="152"/>
    <d v="2000-01-01T00:00:00"/>
    <d v="2022-01-01T00:00:00"/>
    <n v="152"/>
    <x v="1"/>
  </r>
  <r>
    <x v="78"/>
    <s v=""/>
    <n v="85"/>
    <d v="2023-12-12T00:00:00"/>
    <d v="2029-12-31T00:00:00"/>
    <n v="85"/>
    <x v="0"/>
  </r>
  <r>
    <x v="77"/>
    <s v=""/>
    <n v="165"/>
    <d v="2022-01-02T00:00:00"/>
    <d v="2029-12-31T00:00:00"/>
    <n v="165"/>
    <x v="0"/>
  </r>
  <r>
    <x v="79"/>
    <s v=""/>
    <n v="193.99999999999997"/>
    <d v="2000-01-01T00:00:00"/>
    <d v="2022-01-01T00:00:00"/>
    <n v="193.99999999999997"/>
    <x v="1"/>
  </r>
  <r>
    <x v="79"/>
    <s v=""/>
    <n v="276"/>
    <d v="2022-01-02T00:00:00"/>
    <d v="2029-12-31T00:00:00"/>
    <n v="276"/>
    <x v="0"/>
  </r>
  <r>
    <x v="80"/>
    <s v=""/>
    <n v="230.00000000000003"/>
    <d v="2000-01-01T00:00:00"/>
    <d v="2024-05-03T00:00:00"/>
    <n v="230.00000000000003"/>
    <x v="1"/>
  </r>
  <r>
    <x v="81"/>
    <s v=""/>
    <n v="237.86"/>
    <d v="2000-01-01T00:00:00"/>
    <d v="2029-12-31T00:00:00"/>
    <n v="237.86"/>
    <x v="0"/>
  </r>
  <r>
    <x v="80"/>
    <s v=""/>
    <n v="234.85"/>
    <d v="2024-05-03T00:00:00"/>
    <d v="2025-12-31T00:00:00"/>
    <n v="234.85"/>
    <x v="0"/>
  </r>
  <r>
    <x v="82"/>
    <s v=""/>
    <n v="47.900000000000006"/>
    <d v="2000-01-01T00:00:00"/>
    <d v="2024-05-03T00:00:00"/>
    <n v="47.900000000000006"/>
    <x v="1"/>
  </r>
  <r>
    <x v="83"/>
    <s v=""/>
    <n v="209.99999999999997"/>
    <d v="2000-01-01T00:00:00"/>
    <d v="2029-12-31T00:00:00"/>
    <n v="209.99999999999997"/>
    <x v="0"/>
  </r>
  <r>
    <x v="82"/>
    <s v=""/>
    <n v="48.940000000000005"/>
    <d v="2024-05-03T00:00:00"/>
    <d v="2025-12-31T00:00:00"/>
    <n v="48.940000000000005"/>
    <x v="0"/>
  </r>
  <r>
    <x v="84"/>
    <s v=""/>
    <n v="247.82"/>
    <d v="2000-01-01T00:00:00"/>
    <d v="2029-12-31T00:00:00"/>
    <n v="247.82"/>
    <x v="0"/>
  </r>
  <r>
    <x v="85"/>
    <s v=""/>
    <n v="209.99999999999997"/>
    <d v="2000-01-01T00:00:00"/>
    <d v="2029-12-31T00:00:00"/>
    <n v="209.99999999999997"/>
    <x v="0"/>
  </r>
  <r>
    <x v="86"/>
    <s v=""/>
    <n v="249.86"/>
    <d v="2000-01-01T00:00:00"/>
    <d v="2029-12-31T00:00:00"/>
    <n v="249.86"/>
    <x v="0"/>
  </r>
  <r>
    <x v="87"/>
    <s v=""/>
    <n v="247.82"/>
    <d v="2000-01-01T00:00:00"/>
    <d v="2024-05-03T00:00:00"/>
    <n v="247.82"/>
    <x v="1"/>
  </r>
  <r>
    <x v="9"/>
    <s v=""/>
    <n v="365.37"/>
    <d v="2024-05-28T00:00:00"/>
    <d v="2024-12-31T00:00:00"/>
    <n v="365.37"/>
    <x v="1"/>
  </r>
  <r>
    <x v="88"/>
    <s v=""/>
    <n v="763.7"/>
    <d v="2000-01-01T00:00:00"/>
    <d v="2029-12-31T00:00:00"/>
    <n v="763.7"/>
    <x v="0"/>
  </r>
  <r>
    <x v="87"/>
    <s v=""/>
    <n v="254.36999999999998"/>
    <d v="2024-05-03T00:00:00"/>
    <d v="2025-12-31T00:00:00"/>
    <n v="254.36999999999998"/>
    <x v="0"/>
  </r>
  <r>
    <x v="88"/>
    <s v=""/>
    <n v="734.3"/>
    <d v="2000-01-01T00:00:00"/>
    <d v="2029-12-31T00:00:00"/>
    <n v="734.3"/>
    <x v="0"/>
  </r>
  <r>
    <x v="89"/>
    <s v=""/>
    <n v="429.62"/>
    <d v="2000-01-01T00:00:00"/>
    <d v="2029-12-31T00:00:00"/>
    <n v="429.62"/>
    <x v="0"/>
  </r>
  <r>
    <x v="90"/>
    <s v=""/>
    <n v="48.300000000000004"/>
    <d v="2000-01-01T00:00:00"/>
    <d v="2029-12-31T00:00:00"/>
    <n v="48.300000000000004"/>
    <x v="0"/>
  </r>
  <r>
    <x v="91"/>
    <s v=""/>
    <n v="250.52"/>
    <d v="2000-01-01T00:00:00"/>
    <d v="2029-12-31T00:00:00"/>
    <n v="250.52"/>
    <x v="0"/>
  </r>
  <r>
    <x v="92"/>
    <s v=""/>
    <n v="578.99"/>
    <d v="2022-01-01T00:00:00"/>
    <d v="2024-05-03T00:00:00"/>
    <n v="578.99"/>
    <x v="1"/>
  </r>
  <r>
    <x v="93"/>
    <s v=""/>
    <n v="866.96"/>
    <d v="2000-01-01T00:00:00"/>
    <d v="2029-12-31T00:00:00"/>
    <n v="866.96"/>
    <x v="0"/>
  </r>
  <r>
    <x v="92"/>
    <s v=""/>
    <n v="588.78"/>
    <d v="2024-05-03T00:00:00"/>
    <d v="2025-12-31T00:00:00"/>
    <n v="588.78"/>
    <x v="0"/>
  </r>
  <r>
    <x v="93"/>
    <s v=""/>
    <n v="841.79"/>
    <d v="2000-01-01T00:00:00"/>
    <d v="2029-12-31T00:00:00"/>
    <n v="841.79"/>
    <x v="0"/>
  </r>
  <r>
    <x v="94"/>
    <s v=""/>
    <n v="550.66"/>
    <d v="2000-01-01T00:00:00"/>
    <d v="2029-12-31T00:00:00"/>
    <n v="550.66"/>
    <x v="0"/>
  </r>
  <r>
    <x v="93"/>
    <s v=""/>
    <n v="871.19999999999993"/>
    <d v="2024-05-03T00:00:00"/>
    <d v="2025-12-31T00:00:00"/>
    <n v="871.19999999999993"/>
    <x v="0"/>
  </r>
  <r>
    <x v="95"/>
    <s v=""/>
    <n v="352.57"/>
    <d v="2000-01-01T00:00:00"/>
    <d v="2029-12-31T00:00:00"/>
    <n v="352.57"/>
    <x v="0"/>
  </r>
  <r>
    <x v="96"/>
    <s v=""/>
    <n v="704"/>
    <d v="2000-01-01T00:00:00"/>
    <d v="2029-12-31T00:00:00"/>
    <n v="704"/>
    <x v="0"/>
  </r>
  <r>
    <x v="97"/>
    <s v=""/>
    <n v="761.09999999999991"/>
    <d v="2000-01-01T00:00:00"/>
    <d v="2022-11-01T00:00:00"/>
    <n v="761.09999999999991"/>
    <x v="1"/>
  </r>
  <r>
    <x v="97"/>
    <s v=""/>
    <n v="743.7"/>
    <d v="2022-11-02T00:00:00"/>
    <d v="2024-05-03T00:00:00"/>
    <n v="743.7"/>
    <x v="1"/>
  </r>
  <r>
    <x v="97"/>
    <s v=""/>
    <n v="905.63"/>
    <d v="2024-05-03T00:00:00"/>
    <d v="2025-12-31T00:00:00"/>
    <n v="905.63"/>
    <x v="0"/>
  </r>
  <r>
    <x v="98"/>
    <s v=""/>
    <n v="313.75"/>
    <d v="2000-01-01T00:00:00"/>
    <d v="2029-12-31T00:00:00"/>
    <n v="313.75"/>
    <x v="0"/>
  </r>
  <r>
    <x v="99"/>
    <s v=""/>
    <n v="53"/>
    <d v="2000-01-01T00:00:00"/>
    <d v="2029-12-31T00:00:00"/>
    <n v="53"/>
    <x v="0"/>
  </r>
  <r>
    <x v="100"/>
    <s v=""/>
    <n v="433.15000000000003"/>
    <d v="2000-01-01T00:00:00"/>
    <d v="2024-05-15T00:00:00"/>
    <n v="433.15000000000003"/>
    <x v="1"/>
  </r>
  <r>
    <x v="101"/>
    <s v=""/>
    <n v="253.31"/>
    <d v="2000-01-01T00:00:00"/>
    <d v="2029-12-31T00:00:00"/>
    <n v="253.31"/>
    <x v="0"/>
  </r>
  <r>
    <x v="100"/>
    <s v=""/>
    <n v="540.34"/>
    <d v="2024-05-15T00:00:00"/>
    <d v="2029-12-31T00:00:00"/>
    <n v="540.34"/>
    <x v="0"/>
  </r>
  <r>
    <x v="102"/>
    <s v=""/>
    <n v="439.245"/>
    <d v="2000-01-01T00:00:00"/>
    <d v="2024-05-15T00:00:00"/>
    <n v="439.245"/>
    <x v="1"/>
  </r>
  <r>
    <x v="103"/>
    <s v=""/>
    <n v="335.24"/>
    <d v="2000-01-01T00:00:00"/>
    <d v="2029-12-31T00:00:00"/>
    <n v="335.24"/>
    <x v="0"/>
  </r>
  <r>
    <x v="102"/>
    <s v=""/>
    <n v="564.92999999999995"/>
    <d v="2024-05-15T00:00:00"/>
    <d v="2029-12-31T00:00:00"/>
    <n v="564.92999999999995"/>
    <x v="0"/>
  </r>
  <r>
    <x v="104"/>
    <s v=""/>
    <n v="503"/>
    <d v="2000-01-01T00:00:00"/>
    <d v="2029-12-31T00:00:00"/>
    <n v="503"/>
    <x v="0"/>
  </r>
  <r>
    <x v="104"/>
    <s v=""/>
    <n v="495"/>
    <d v="2000-01-01T00:00:00"/>
    <d v="2029-12-31T00:00:00"/>
    <n v="495"/>
    <x v="0"/>
  </r>
  <r>
    <x v="105"/>
    <s v=""/>
    <n v="3060"/>
    <d v="2000-01-01T00:00:00"/>
    <d v="2029-12-31T00:00:00"/>
    <n v="3060"/>
    <x v="0"/>
  </r>
  <r>
    <x v="106"/>
    <s v=""/>
    <n v="612.5"/>
    <d v="2000-01-01T00:00:00"/>
    <d v="2029-12-31T00:00:00"/>
    <n v="612.5"/>
    <x v="0"/>
  </r>
  <r>
    <x v="107"/>
    <s v=""/>
    <n v="453.77000000000004"/>
    <d v="2000-01-01T00:00:00"/>
    <d v="2024-05-15T00:00:00"/>
    <n v="453.77000000000004"/>
    <x v="1"/>
  </r>
  <r>
    <x v="108"/>
    <s v=""/>
    <n v="464.61"/>
    <d v="2000-01-01T00:00:00"/>
    <d v="2022-11-11T00:00:00"/>
    <n v="464.61"/>
    <x v="1"/>
  </r>
  <r>
    <x v="107"/>
    <s v=""/>
    <n v="466.64"/>
    <d v="2024-05-15T00:00:00"/>
    <d v="2029-12-31T00:00:00"/>
    <n v="466.64"/>
    <x v="0"/>
  </r>
  <r>
    <x v="108"/>
    <s v=""/>
    <n v="490.1"/>
    <d v="2022-11-11T00:00:00"/>
    <d v="2024-05-15T00:00:00"/>
    <n v="490.1"/>
    <x v="1"/>
  </r>
  <r>
    <x v="109"/>
    <s v=""/>
    <n v="383.74999999999994"/>
    <d v="2000-01-01T00:00:00"/>
    <d v="2029-12-31T00:00:00"/>
    <n v="383.74999999999994"/>
    <x v="0"/>
  </r>
  <r>
    <x v="108"/>
    <s v=""/>
    <n v="499.31000000000006"/>
    <d v="2024-05-15T00:00:00"/>
    <d v="2029-12-31T00:00:00"/>
    <n v="499.31000000000006"/>
    <x v="0"/>
  </r>
  <r>
    <x v="110"/>
    <s v=""/>
    <n v="213.49999999999997"/>
    <d v="2000-01-01T00:00:00"/>
    <d v="2029-12-31T00:00:00"/>
    <n v="213.49999999999997"/>
    <x v="0"/>
  </r>
  <r>
    <x v="111"/>
    <s v=""/>
    <n v="3396.4999999999995"/>
    <d v="2000-01-01T00:00:00"/>
    <d v="2024-05-15T00:00:00"/>
    <n v="3396.4999999999995"/>
    <x v="1"/>
  </r>
  <r>
    <x v="112"/>
    <s v=""/>
    <n v="245.62"/>
    <d v="2000-01-01T00:00:00"/>
    <d v="2024-05-15T00:00:00"/>
    <n v="245.62"/>
    <x v="1"/>
  </r>
  <r>
    <x v="111"/>
    <s v=""/>
    <n v="3451.8900000000003"/>
    <d v="2024-05-15T00:00:00"/>
    <d v="2029-12-31T00:00:00"/>
    <n v="3451.8900000000003"/>
    <x v="0"/>
  </r>
  <r>
    <x v="113"/>
    <s v=""/>
    <n v="260.70999999999998"/>
    <d v="2000-01-01T00:00:00"/>
    <d v="2029-12-31T00:00:00"/>
    <n v="260.70999999999998"/>
    <x v="0"/>
  </r>
  <r>
    <x v="112"/>
    <s v=""/>
    <n v="257.63"/>
    <d v="2024-05-15T00:00:00"/>
    <d v="2029-12-31T00:00:00"/>
    <n v="257.63"/>
    <x v="0"/>
  </r>
  <r>
    <x v="114"/>
    <s v=""/>
    <n v="413.44"/>
    <d v="2022-01-01T00:00:00"/>
    <d v="2024-05-15T00:00:00"/>
    <n v="413.44"/>
    <x v="1"/>
  </r>
  <r>
    <x v="115"/>
    <s v=""/>
    <n v="439.245"/>
    <d v="2000-01-01T00:00:00"/>
    <d v="2024-05-15T00:00:00"/>
    <n v="439.245"/>
    <x v="1"/>
  </r>
  <r>
    <x v="114"/>
    <s v=""/>
    <n v="423.09000000000003"/>
    <d v="2024-05-15T00:00:00"/>
    <d v="2029-12-31T00:00:00"/>
    <n v="423.09000000000003"/>
    <x v="0"/>
  </r>
  <r>
    <x v="116"/>
    <s v=""/>
    <n v="503"/>
    <d v="2021-01-01T00:00:00"/>
    <d v="2021-12-31T00:00:00"/>
    <n v="503"/>
    <x v="1"/>
  </r>
  <r>
    <x v="115"/>
    <s v=""/>
    <n v="564.92999999999995"/>
    <d v="2024-05-15T00:00:00"/>
    <d v="2029-12-31T00:00:00"/>
    <n v="564.92999999999995"/>
    <x v="0"/>
  </r>
  <r>
    <x v="116"/>
    <s v=""/>
    <n v="495"/>
    <d v="2021-12-31T00:00:00"/>
    <d v="2022-05-31T00:00:00"/>
    <n v="495"/>
    <x v="1"/>
  </r>
  <r>
    <x v="116"/>
    <s v=""/>
    <n v="487.68"/>
    <d v="2022-06-01T00:00:00"/>
    <d v="2024-05-15T00:00:00"/>
    <n v="487.68"/>
    <x v="1"/>
  </r>
  <r>
    <x v="117"/>
    <s v=""/>
    <n v="17.399999999999999"/>
    <d v="2021-01-01T00:00:00"/>
    <d v="2021-12-31T00:00:00"/>
    <n v="17.399999999999999"/>
    <x v="1"/>
  </r>
  <r>
    <x v="116"/>
    <s v=""/>
    <n v="578.94999999999993"/>
    <d v="2024-05-15T00:00:00"/>
    <d v="2029-12-31T00:00:00"/>
    <n v="578.94999999999993"/>
    <x v="0"/>
  </r>
  <r>
    <x v="118"/>
    <s v=""/>
    <n v="845.55"/>
    <d v="2021-01-01T00:00:00"/>
    <d v="2021-12-31T00:00:00"/>
    <n v="845.55"/>
    <x v="1"/>
  </r>
  <r>
    <x v="119"/>
    <s v=""/>
    <n v="1328"/>
    <d v="2021-01-01T00:00:00"/>
    <d v="2023-02-19T00:00:00"/>
    <n v="1328"/>
    <x v="1"/>
  </r>
  <r>
    <x v="119"/>
    <s v=""/>
    <n v="1415.5"/>
    <d v="2023-02-20T00:00:00"/>
    <d v="2025-12-31T00:00:00"/>
    <n v="1415.5"/>
    <x v="0"/>
  </r>
  <r>
    <x v="120"/>
    <s v=""/>
    <n v="253.31"/>
    <d v="2022-01-01T00:00:00"/>
    <d v="2024-05-15T00:00:00"/>
    <n v="253.31"/>
    <x v="1"/>
  </r>
  <r>
    <x v="121"/>
    <s v=""/>
    <n v="1"/>
    <d v="2000-01-01T00:00:00"/>
    <d v="2029-12-31T00:00:00"/>
    <n v="1"/>
    <x v="0"/>
  </r>
  <r>
    <x v="120"/>
    <s v=""/>
    <n v="283.82"/>
    <d v="2024-05-15T00:00:00"/>
    <d v="2029-12-31T00:00:00"/>
    <n v="283.82"/>
    <x v="0"/>
  </r>
  <r>
    <x v="122"/>
    <s v=""/>
    <n v="253.94"/>
    <d v="2000-01-01T00:00:00"/>
    <d v="2029-12-31T00:00:00"/>
    <n v="253.94"/>
    <x v="0"/>
  </r>
  <r>
    <x v="123"/>
    <s v=""/>
    <n v="139.49"/>
    <d v="2000-01-01T00:00:00"/>
    <d v="2026-12-31T00:00:00"/>
    <n v="139.49"/>
    <x v="0"/>
  </r>
  <r>
    <x v="124"/>
    <s v=""/>
    <n v="110.5"/>
    <d v="2000-01-01T00:00:00"/>
    <d v="2029-12-31T00:00:00"/>
    <n v="110.5"/>
    <x v="0"/>
  </r>
  <r>
    <x v="125"/>
    <s v=""/>
    <n v="192.95"/>
    <d v="2000-01-01T00:00:00"/>
    <d v="2029-12-31T00:00:00"/>
    <n v="192.95"/>
    <x v="0"/>
  </r>
  <r>
    <x v="126"/>
    <s v=""/>
    <n v="231.63"/>
    <d v="2000-01-01T00:00:00"/>
    <d v="2029-12-31T00:00:00"/>
    <n v="231.63"/>
    <x v="0"/>
  </r>
  <r>
    <x v="127"/>
    <s v=""/>
    <n v="148.75"/>
    <d v="2000-01-01T00:00:00"/>
    <d v="2029-12-31T00:00:00"/>
    <n v="148.75"/>
    <x v="0"/>
  </r>
  <r>
    <x v="128"/>
    <s v=""/>
    <n v="273.42"/>
    <d v="2000-01-01T00:00:00"/>
    <d v="2016-01-01T00:00:00"/>
    <n v="273.42"/>
    <x v="1"/>
  </r>
  <r>
    <x v="128"/>
    <s v=""/>
    <n v="692"/>
    <d v="2021-07-08T00:00:00"/>
    <d v="2029-12-12T00:00:00"/>
    <n v="692"/>
    <x v="0"/>
  </r>
  <r>
    <x v="129"/>
    <s v=""/>
    <n v="128.35"/>
    <d v="2011-01-01T00:00:00"/>
    <d v="2029-12-31T00:00:00"/>
    <n v="128.35"/>
    <x v="0"/>
  </r>
  <r>
    <x v="130"/>
    <s v=""/>
    <n v="293.25"/>
    <d v="2000-01-01T00:00:00"/>
    <d v="2029-12-31T00:00:00"/>
    <n v="293.25"/>
    <x v="0"/>
  </r>
  <r>
    <x v="130"/>
    <s v=""/>
    <n v="118"/>
    <d v="2018-08-01T00:00:00"/>
    <d v="2029-12-31T00:00:00"/>
    <n v="118"/>
    <x v="0"/>
  </r>
  <r>
    <x v="131"/>
    <s v=""/>
    <n v="595"/>
    <d v="2000-01-01T00:00:00"/>
    <d v="2026-12-31T00:00:00"/>
    <n v="595"/>
    <x v="0"/>
  </r>
  <r>
    <x v="132"/>
    <s v=""/>
    <n v="442.92"/>
    <d v="2000-01-01T00:00:00"/>
    <d v="2017-12-31T00:00:00"/>
    <n v="442.92"/>
    <x v="1"/>
  </r>
  <r>
    <x v="132"/>
    <s v=""/>
    <n v="463.15999999999997"/>
    <d v="2018-01-01T00:00:00"/>
    <d v="2018-11-27T00:00:00"/>
    <n v="463.15999999999997"/>
    <x v="1"/>
  </r>
  <r>
    <x v="132"/>
    <s v=""/>
    <n v="193"/>
    <d v="2018-11-28T00:00:00"/>
    <d v="2022-09-05T00:00:00"/>
    <n v="193"/>
    <x v="1"/>
  </r>
  <r>
    <x v="132"/>
    <s v=""/>
    <n v="305.8"/>
    <d v="2022-09-06T00:00:00"/>
    <d v="2026-12-31T00:00:00"/>
    <n v="305.8"/>
    <x v="0"/>
  </r>
  <r>
    <x v="133"/>
    <s v=""/>
    <n v="302.34000000000003"/>
    <d v="2000-01-01T00:00:00"/>
    <d v="2029-12-31T00:00:00"/>
    <n v="302.34000000000003"/>
    <x v="0"/>
  </r>
  <r>
    <x v="134"/>
    <s v=""/>
    <n v="289.77000000000004"/>
    <d v="2000-01-01T00:00:00"/>
    <d v="2029-12-31T00:00:00"/>
    <n v="289.77000000000004"/>
    <x v="0"/>
  </r>
  <r>
    <x v="135"/>
    <s v=""/>
    <n v="229.41"/>
    <d v="2000-01-01T00:00:00"/>
    <d v="2029-12-31T00:00:00"/>
    <n v="229.41"/>
    <x v="0"/>
  </r>
  <r>
    <x v="136"/>
    <s v=""/>
    <n v="194.65"/>
    <d v="2000-01-01T00:00:00"/>
    <d v="2022-05-18T00:00:00"/>
    <n v="194.65"/>
    <x v="1"/>
  </r>
  <r>
    <x v="136"/>
    <s v=""/>
    <n v="278.10000000000002"/>
    <d v="2022-05-19T00:00:00"/>
    <d v="2050-12-31T00:00:00"/>
    <n v="278.10000000000002"/>
    <x v="0"/>
  </r>
  <r>
    <x v="137"/>
    <s v=""/>
    <n v="323"/>
    <d v="2000-01-01T00:00:00"/>
    <d v="2029-12-31T00:00:00"/>
    <n v="323"/>
    <x v="0"/>
  </r>
  <r>
    <x v="138"/>
    <s v=""/>
    <n v="131.04"/>
    <d v="2000-01-01T00:00:00"/>
    <d v="2029-12-31T00:00:00"/>
    <n v="131.04"/>
    <x v="0"/>
  </r>
  <r>
    <x v="138"/>
    <s v=""/>
    <n v="138.20000000000002"/>
    <d v="2019-12-10T00:00:00"/>
    <d v="2029-12-31T00:00:00"/>
    <n v="138.20000000000002"/>
    <x v="0"/>
  </r>
  <r>
    <x v="139"/>
    <s v=""/>
    <n v="263.5"/>
    <d v="2000-01-01T00:00:00"/>
    <d v="2029-12-31T00:00:00"/>
    <n v="263.5"/>
    <x v="0"/>
  </r>
  <r>
    <x v="140"/>
    <s v=""/>
    <n v="236.64"/>
    <d v="2000-01-01T00:00:00"/>
    <d v="2026-12-31T00:00:00"/>
    <n v="236.64"/>
    <x v="0"/>
  </r>
  <r>
    <x v="141"/>
    <s v=""/>
    <n v="265.88"/>
    <d v="2000-01-01T00:00:00"/>
    <d v="2029-12-31T00:00:00"/>
    <n v="265.88"/>
    <x v="0"/>
  </r>
  <r>
    <x v="142"/>
    <s v=""/>
    <n v="72.680000000000007"/>
    <d v="2000-01-01T00:00:00"/>
    <d v="2019-05-27T00:00:00"/>
    <n v="72.680000000000007"/>
    <x v="1"/>
  </r>
  <r>
    <x v="142"/>
    <s v=""/>
    <n v="347"/>
    <d v="2019-05-28T00:00:00"/>
    <d v="2026-12-31T00:00:00"/>
    <n v="347"/>
    <x v="0"/>
  </r>
  <r>
    <x v="142"/>
    <s v=""/>
    <n v="211"/>
    <d v="2019-05-28T00:00:00"/>
    <d v="2026-12-31T00:00:00"/>
    <n v="211"/>
    <x v="0"/>
  </r>
  <r>
    <x v="143"/>
    <s v=""/>
    <n v="517.82000000000005"/>
    <d v="2000-01-01T00:00:00"/>
    <d v="2029-12-31T00:00:00"/>
    <n v="517.82000000000005"/>
    <x v="0"/>
  </r>
  <r>
    <x v="144"/>
    <s v=""/>
    <n v="295.89999999999998"/>
    <d v="2000-01-01T00:00:00"/>
    <d v="2020-01-23T00:00:00"/>
    <n v="295.89999999999998"/>
    <x v="1"/>
  </r>
  <r>
    <x v="144"/>
    <s v=""/>
    <n v="317.7"/>
    <d v="2020-01-24T00:00:00"/>
    <d v="2029-12-31T00:00:00"/>
    <n v="317.7"/>
    <x v="0"/>
  </r>
  <r>
    <x v="145"/>
    <s v=""/>
    <n v="140.25"/>
    <d v="2000-01-01T00:00:00"/>
    <d v="2029-12-31T00:00:00"/>
    <n v="140.25"/>
    <x v="0"/>
  </r>
  <r>
    <x v="146"/>
    <s v=""/>
    <n v="204"/>
    <d v="2000-01-01T00:00:00"/>
    <d v="2029-12-31T00:00:00"/>
    <n v="204"/>
    <x v="0"/>
  </r>
  <r>
    <x v="147"/>
    <s v=""/>
    <n v="346.21"/>
    <d v="2011-01-01T00:00:00"/>
    <d v="2040-01-01T00:00:00"/>
    <n v="346.21"/>
    <x v="0"/>
  </r>
  <r>
    <x v="148"/>
    <s v=""/>
    <n v="120"/>
    <d v="2000-01-01T00:00:00"/>
    <d v="2023-03-02T00:00:00"/>
    <n v="120"/>
    <x v="1"/>
  </r>
  <r>
    <x v="148"/>
    <s v=""/>
    <n v="200"/>
    <d v="2023-03-03T00:00:00"/>
    <d v="2050-02-15T00:00:00"/>
    <n v="200"/>
    <x v="0"/>
  </r>
  <r>
    <x v="149"/>
    <s v=""/>
    <n v="114.29"/>
    <d v="2000-01-01T00:00:00"/>
    <d v="2022-09-30T00:00:00"/>
    <n v="114.29"/>
    <x v="1"/>
  </r>
  <r>
    <x v="149"/>
    <s v=""/>
    <n v="108.58"/>
    <d v="2000-01-01T00:00:00"/>
    <d v="2022-09-30T00:00:00"/>
    <n v="108.58"/>
    <x v="1"/>
  </r>
  <r>
    <x v="149"/>
    <s v=""/>
    <n v="103.15100000000001"/>
    <d v="2000-01-01T00:00:00"/>
    <d v="2022-09-30T00:00:00"/>
    <n v="103.15100000000001"/>
    <x v="1"/>
  </r>
  <r>
    <x v="149"/>
    <s v=""/>
    <n v="97.721999999999994"/>
    <d v="2000-01-01T00:00:00"/>
    <d v="2022-09-30T00:00:00"/>
    <n v="97.721999999999994"/>
    <x v="1"/>
  </r>
  <r>
    <x v="149"/>
    <s v=""/>
    <n v="92.292999999999992"/>
    <d v="2000-01-01T00:00:00"/>
    <d v="2022-09-30T00:00:00"/>
    <n v="92.292999999999992"/>
    <x v="1"/>
  </r>
  <r>
    <x v="149"/>
    <s v=""/>
    <n v="131.43350000000001"/>
    <d v="2022-10-01T00:00:00"/>
    <d v="2026-12-31T00:00:00"/>
    <n v="131.43350000000001"/>
    <x v="0"/>
  </r>
  <r>
    <x v="149"/>
    <s v=""/>
    <n v="124.867"/>
    <d v="2022-10-01T00:00:00"/>
    <d v="2026-12-31T00:00:00"/>
    <n v="124.867"/>
    <x v="0"/>
  </r>
  <r>
    <x v="149"/>
    <s v=""/>
    <n v="118.6237"/>
    <d v="2022-10-01T00:00:00"/>
    <d v="2026-12-31T00:00:00"/>
    <n v="118.6237"/>
    <x v="0"/>
  </r>
  <r>
    <x v="149"/>
    <s v=""/>
    <n v="112.38030000000001"/>
    <d v="2022-10-01T00:00:00"/>
    <d v="2026-12-31T00:00:00"/>
    <n v="112.38030000000001"/>
    <x v="0"/>
  </r>
  <r>
    <x v="149"/>
    <s v=""/>
    <n v="106.137"/>
    <d v="2022-10-01T00:00:00"/>
    <d v="2026-12-31T00:00:00"/>
    <n v="106.137"/>
    <x v="0"/>
  </r>
  <r>
    <x v="150"/>
    <s v=""/>
    <n v="175.1"/>
    <d v="2000-01-01T00:00:00"/>
    <d v="2029-12-31T00:00:00"/>
    <n v="175.1"/>
    <x v="0"/>
  </r>
  <r>
    <x v="151"/>
    <s v=""/>
    <n v="101.68"/>
    <d v="2000-01-01T00:00:00"/>
    <d v="2022-09-30T00:00:00"/>
    <n v="101.68"/>
    <x v="1"/>
  </r>
  <r>
    <x v="151"/>
    <s v=""/>
    <n v="96"/>
    <d v="2000-01-01T00:00:00"/>
    <d v="2022-09-30T00:00:00"/>
    <n v="96"/>
    <x v="1"/>
  </r>
  <r>
    <x v="151"/>
    <s v=""/>
    <n v="91.2"/>
    <d v="2000-01-01T00:00:00"/>
    <d v="2022-09-30T00:00:00"/>
    <n v="91.2"/>
    <x v="1"/>
  </r>
  <r>
    <x v="151"/>
    <s v=""/>
    <n v="86.4"/>
    <d v="2000-01-01T00:00:00"/>
    <d v="2022-09-30T00:00:00"/>
    <n v="86.4"/>
    <x v="1"/>
  </r>
  <r>
    <x v="151"/>
    <s v=""/>
    <n v="81.599999999999994"/>
    <d v="2000-01-01T00:00:00"/>
    <d v="2022-09-30T00:00:00"/>
    <n v="81.599999999999994"/>
    <x v="1"/>
  </r>
  <r>
    <x v="151"/>
    <s v=""/>
    <n v="116.93199999999999"/>
    <d v="2022-10-01T00:00:00"/>
    <d v="2029-12-31T00:00:00"/>
    <n v="116.93199999999999"/>
    <x v="0"/>
  </r>
  <r>
    <x v="151"/>
    <s v=""/>
    <n v="110.4"/>
    <d v="2022-10-01T00:00:00"/>
    <d v="2029-12-31T00:00:00"/>
    <n v="110.4"/>
    <x v="0"/>
  </r>
  <r>
    <x v="151"/>
    <s v=""/>
    <n v="104.88"/>
    <d v="2022-10-01T00:00:00"/>
    <d v="2029-12-31T00:00:00"/>
    <n v="104.88"/>
    <x v="0"/>
  </r>
  <r>
    <x v="151"/>
    <s v=""/>
    <n v="99.36"/>
    <d v="2022-10-01T00:00:00"/>
    <d v="2029-12-31T00:00:00"/>
    <n v="99.36"/>
    <x v="0"/>
  </r>
  <r>
    <x v="151"/>
    <s v=""/>
    <n v="93.84"/>
    <d v="2022-10-01T00:00:00"/>
    <d v="2029-12-31T00:00:00"/>
    <n v="93.84"/>
    <x v="0"/>
  </r>
  <r>
    <x v="152"/>
    <s v=""/>
    <n v="328"/>
    <d v="2000-01-01T00:00:00"/>
    <d v="2029-12-31T00:00:00"/>
    <n v="328"/>
    <x v="0"/>
  </r>
  <r>
    <x v="153"/>
    <s v=""/>
    <n v="52"/>
    <d v="2000-01-01T00:00:00"/>
    <d v="2029-12-31T00:00:00"/>
    <n v="52"/>
    <x v="0"/>
  </r>
  <r>
    <x v="154"/>
    <s v=""/>
    <n v="408"/>
    <d v="2000-01-01T00:00:00"/>
    <d v="2029-12-31T00:00:00"/>
    <n v="408"/>
    <x v="0"/>
  </r>
  <r>
    <x v="155"/>
    <s v=""/>
    <n v="120"/>
    <d v="2000-01-01T00:00:00"/>
    <d v="2029-12-31T00:00:00"/>
    <n v="120"/>
    <x v="0"/>
  </r>
  <r>
    <x v="156"/>
    <s v=""/>
    <n v="331"/>
    <d v="2016-01-01T00:00:00"/>
    <d v="2016-12-31T00:00:00"/>
    <n v="331"/>
    <x v="1"/>
  </r>
  <r>
    <x v="156"/>
    <s v=""/>
    <n v="324.38"/>
    <d v="2017-01-01T00:00:00"/>
    <d v="2017-12-31T00:00:00"/>
    <n v="324.38"/>
    <x v="1"/>
  </r>
  <r>
    <x v="156"/>
    <s v=""/>
    <n v="324.38"/>
    <d v="2018-01-01T00:00:00"/>
    <d v="2022-04-24T00:00:00"/>
    <n v="324.38"/>
    <x v="1"/>
  </r>
  <r>
    <x v="156"/>
    <s v=""/>
    <n v="350"/>
    <d v="2022-04-25T00:00:00"/>
    <d v="2029-12-31T00:00:00"/>
    <n v="350"/>
    <x v="0"/>
  </r>
  <r>
    <x v="157"/>
    <s v=""/>
    <n v="110.05000000000001"/>
    <d v="2000-01-01T00:00:00"/>
    <d v="2016-04-11T00:00:00"/>
    <n v="110.05000000000001"/>
    <x v="1"/>
  </r>
  <r>
    <x v="158"/>
    <s v=""/>
    <n v="179.37"/>
    <d v="2023-07-03T00:00:00"/>
    <d v="2029-12-31T00:00:00"/>
    <n v="179.37"/>
    <x v="0"/>
  </r>
  <r>
    <x v="157"/>
    <s v=""/>
    <n v="74"/>
    <d v="2016-04-12T00:00:00"/>
    <d v="2023-07-04T00:00:00"/>
    <n v="74"/>
    <x v="1"/>
  </r>
  <r>
    <x v="159"/>
    <s v=""/>
    <n v="225"/>
    <d v="2000-01-01T00:00:00"/>
    <d v="2023-03-31T00:00:00"/>
    <n v="225"/>
    <x v="1"/>
  </r>
  <r>
    <x v="160"/>
    <s v=""/>
    <n v="226.1"/>
    <d v="2000-01-01T00:00:00"/>
    <d v="2029-12-31T00:00:00"/>
    <n v="226.1"/>
    <x v="0"/>
  </r>
  <r>
    <x v="159"/>
    <s v=""/>
    <n v="225"/>
    <d v="2023-04-01T00:00:00"/>
    <d v="2050-01-01T00:00:00"/>
    <n v="225"/>
    <x v="0"/>
  </r>
  <r>
    <x v="161"/>
    <s v=""/>
    <n v="389.55999999999995"/>
    <d v="2000-01-01T00:00:00"/>
    <d v="2029-12-31T00:00:00"/>
    <n v="389.55999999999995"/>
    <x v="0"/>
  </r>
  <r>
    <x v="162"/>
    <s v=""/>
    <n v="116.45"/>
    <d v="2000-01-01T00:00:00"/>
    <d v="2029-12-31T00:00:00"/>
    <n v="116.45"/>
    <x v="0"/>
  </r>
  <r>
    <x v="163"/>
    <s v=""/>
    <n v="100.97999999999999"/>
    <d v="2000-01-01T00:00:00"/>
    <d v="2029-12-31T00:00:00"/>
    <n v="100.97999999999999"/>
    <x v="0"/>
  </r>
  <r>
    <x v="163"/>
    <s v=""/>
    <n v="91.8"/>
    <d v="2000-01-01T00:00:00"/>
    <d v="2029-12-31T00:00:00"/>
    <n v="91.8"/>
    <x v="0"/>
  </r>
  <r>
    <x v="164"/>
    <s v=""/>
    <n v="142"/>
    <d v="2000-01-01T00:00:00"/>
    <d v="2024-06-23T00:00:00"/>
    <n v="142"/>
    <x v="1"/>
  </r>
  <r>
    <x v="164"/>
    <s v=""/>
    <n v="227.38"/>
    <d v="2000-01-01T00:00:00"/>
    <d v="2024-06-23T00:00:00"/>
    <n v="227.38"/>
    <x v="1"/>
  </r>
  <r>
    <x v="164"/>
    <s v=""/>
    <n v="181.9"/>
    <d v="2000-01-01T00:00:00"/>
    <d v="2024-06-23T00:00:00"/>
    <n v="181.9"/>
    <x v="1"/>
  </r>
  <r>
    <x v="165"/>
    <s v=""/>
    <n v="180"/>
    <d v="2000-01-01T00:00:00"/>
    <d v="2029-12-31T00:00:00"/>
    <n v="180"/>
    <x v="0"/>
  </r>
  <r>
    <x v="164"/>
    <s v=""/>
    <n v="209.17999999999998"/>
    <d v="2024-06-24T00:00:00"/>
    <d v="2030-12-31T00:00:00"/>
    <n v="209.17999999999998"/>
    <x v="0"/>
  </r>
  <r>
    <x v="166"/>
    <s v=""/>
    <n v="836"/>
    <d v="2024-06-24T00:00:00"/>
    <d v="2029-12-31T00:00:00"/>
    <n v="836"/>
    <x v="0"/>
  </r>
  <r>
    <x v="165"/>
    <s v=""/>
    <n v="154.70000000000002"/>
    <d v="2000-01-01T00:00:00"/>
    <d v="2029-12-31T00:00:00"/>
    <n v="154.70000000000002"/>
    <x v="0"/>
  </r>
  <r>
    <x v="167"/>
    <s v=""/>
    <n v="648.59"/>
    <d v="2000-01-01T00:00:00"/>
    <d v="2029-12-31T00:00:00"/>
    <n v="648.59"/>
    <x v="0"/>
  </r>
  <r>
    <x v="168"/>
    <s v=""/>
    <n v="390.97"/>
    <d v="2000-01-01T00:00:00"/>
    <d v="2029-12-31T00:00:00"/>
    <n v="390.97"/>
    <x v="0"/>
  </r>
  <r>
    <x v="169"/>
    <s v=""/>
    <n v="147.05000000000001"/>
    <d v="2000-01-01T00:00:00"/>
    <d v="2029-12-31T00:00:00"/>
    <n v="147.05000000000001"/>
    <x v="0"/>
  </r>
  <r>
    <x v="170"/>
    <s v=""/>
    <n v="151.29999999999998"/>
    <d v="2000-01-01T00:00:00"/>
    <d v="2029-12-31T00:00:00"/>
    <n v="151.29999999999998"/>
    <x v="0"/>
  </r>
  <r>
    <x v="171"/>
    <s v=""/>
    <n v="212.5"/>
    <d v="2000-01-01T00:00:00"/>
    <d v="2029-12-31T00:00:00"/>
    <n v="212.5"/>
    <x v="0"/>
  </r>
  <r>
    <x v="172"/>
    <s v=""/>
    <n v="820"/>
    <d v="2000-01-01T00:00:00"/>
    <d v="2029-12-31T00:00:00"/>
    <n v="820"/>
    <x v="0"/>
  </r>
  <r>
    <x v="173"/>
    <s v=""/>
    <n v="382.5"/>
    <d v="2000-01-01T00:00:00"/>
    <d v="2023-07-04T00:00:00"/>
    <n v="382.5"/>
    <x v="1"/>
  </r>
  <r>
    <x v="174"/>
    <s v=""/>
    <n v="280.5"/>
    <d v="2000-01-01T00:00:00"/>
    <d v="2029-12-31T00:00:00"/>
    <n v="280.5"/>
    <x v="0"/>
  </r>
  <r>
    <x v="173"/>
    <s v=""/>
    <n v="460.00000000000006"/>
    <d v="2023-07-05T00:00:00"/>
    <d v="2050-01-01T00:00:00"/>
    <n v="460.00000000000006"/>
    <x v="0"/>
  </r>
  <r>
    <x v="175"/>
    <s v=""/>
    <n v="84.070000000000007"/>
    <d v="2000-01-01T00:00:00"/>
    <d v="2029-12-31T00:00:00"/>
    <n v="84.070000000000007"/>
    <x v="0"/>
  </r>
  <r>
    <x v="175"/>
    <s v=""/>
    <n v="76.08"/>
    <d v="2000-01-01T00:00:00"/>
    <d v="2029-12-31T00:00:00"/>
    <n v="76.08"/>
    <x v="0"/>
  </r>
  <r>
    <x v="176"/>
    <s v=""/>
    <n v="567.9"/>
    <d v="2000-01-01T00:00:00"/>
    <d v="2029-12-31T00:00:00"/>
    <n v="567.9"/>
    <x v="0"/>
  </r>
  <r>
    <x v="177"/>
    <s v=""/>
    <n v="212.5"/>
    <d v="2000-01-01T00:00:00"/>
    <d v="2019-12-31T00:00:00"/>
    <n v="212.5"/>
    <x v="1"/>
  </r>
  <r>
    <x v="177"/>
    <s v=""/>
    <n v="220"/>
    <d v="2020-01-01T00:00:00"/>
    <d v="2029-12-31T00:00:00"/>
    <n v="220"/>
    <x v="0"/>
  </r>
  <r>
    <x v="178"/>
    <s v=""/>
    <n v="165.07"/>
    <d v="2000-01-01T00:00:00"/>
    <d v="2029-12-31T00:00:00"/>
    <n v="165.07"/>
    <x v="0"/>
  </r>
  <r>
    <x v="179"/>
    <s v=""/>
    <n v="335.75"/>
    <d v="2000-01-01T00:00:00"/>
    <d v="2029-12-31T00:00:00"/>
    <n v="335.75"/>
    <x v="0"/>
  </r>
  <r>
    <x v="179"/>
    <s v="USD"/>
    <n v="301"/>
    <d v="2000-01-01T00:00:00"/>
    <d v="2022-12-31T00:00:00"/>
    <n v="264.88"/>
    <x v="1"/>
  </r>
  <r>
    <x v="179"/>
    <s v="USD"/>
    <n v="331.09999999999997"/>
    <d v="2023-01-01T00:00:00"/>
    <d v="2023-06-27T00:00:00"/>
    <n v="291.36799999999999"/>
    <x v="1"/>
  </r>
  <r>
    <x v="180"/>
    <s v=""/>
    <n v="238.00000000000003"/>
    <d v="2000-01-01T00:00:00"/>
    <d v="2029-12-31T00:00:00"/>
    <n v="238.00000000000003"/>
    <x v="0"/>
  </r>
  <r>
    <x v="179"/>
    <s v="USD"/>
    <n v="800"/>
    <d v="2023-06-27T00:00:00"/>
    <d v="2028-01-01T00:00:00"/>
    <n v="704"/>
    <x v="0"/>
  </r>
  <r>
    <x v="181"/>
    <s v=""/>
    <n v="167.2"/>
    <d v="2000-01-01T00:00:00"/>
    <d v="2029-12-31T00:00:00"/>
    <n v="167.2"/>
    <x v="0"/>
  </r>
  <r>
    <x v="182"/>
    <s v=""/>
    <n v="195.5"/>
    <d v="2000-01-01T00:00:00"/>
    <d v="2023-06-07T00:00:00"/>
    <n v="195.5"/>
    <x v="1"/>
  </r>
  <r>
    <x v="183"/>
    <s v=""/>
    <n v="212.5"/>
    <d v="2000-01-01T00:00:00"/>
    <d v="2023-06-07T00:00:00"/>
    <n v="212.5"/>
    <x v="1"/>
  </r>
  <r>
    <x v="182"/>
    <s v=""/>
    <n v="300"/>
    <d v="2023-06-08T00:00:00"/>
    <d v="2050-01-01T00:00:00"/>
    <n v="300"/>
    <x v="0"/>
  </r>
  <r>
    <x v="184"/>
    <s v=""/>
    <n v="927.59999999999991"/>
    <d v="2016-01-01T00:00:00"/>
    <d v="2017-11-13T00:00:00"/>
    <n v="927.59999999999991"/>
    <x v="1"/>
  </r>
  <r>
    <x v="183"/>
    <s v=""/>
    <n v="249.99999999999997"/>
    <d v="2023-06-08T00:00:00"/>
    <d v="2050-01-01T00:00:00"/>
    <n v="249.99999999999997"/>
    <x v="0"/>
  </r>
  <r>
    <x v="184"/>
    <s v=""/>
    <n v="917.94999999999993"/>
    <d v="2017-11-14T00:00:00"/>
    <d v="2018-11-11T00:00:00"/>
    <n v="917.94999999999993"/>
    <x v="1"/>
  </r>
  <r>
    <x v="184"/>
    <s v=""/>
    <n v="889.7"/>
    <d v="2018-11-12T00:00:00"/>
    <d v="2030-12-31T00:00:00"/>
    <n v="889.7"/>
    <x v="0"/>
  </r>
  <r>
    <x v="185"/>
    <s v="USD"/>
    <n v="658"/>
    <d v="2000-01-01T00:00:00"/>
    <d v="2029-12-31T00:00:00"/>
    <n v="579.04"/>
    <x v="0"/>
  </r>
  <r>
    <x v="185"/>
    <s v=""/>
    <n v="397.00000000000006"/>
    <d v="2000-01-01T00:00:00"/>
    <d v="2016-12-31T00:00:00"/>
    <n v="397.00000000000006"/>
    <x v="1"/>
  </r>
  <r>
    <x v="185"/>
    <s v=""/>
    <n v="370"/>
    <d v="2017-01-01T00:00:00"/>
    <d v="2019-07-11T00:00:00"/>
    <n v="370"/>
    <x v="1"/>
  </r>
  <r>
    <x v="185"/>
    <s v=""/>
    <n v="392.29999999999995"/>
    <d v="2019-07-12T00:00:00"/>
    <d v="2029-12-31T00:00:00"/>
    <n v="392.29999999999995"/>
    <x v="0"/>
  </r>
  <r>
    <x v="186"/>
    <s v=""/>
    <n v="297.5"/>
    <d v="2000-01-01T00:00:00"/>
    <d v="2029-12-31T00:00:00"/>
    <n v="297.5"/>
    <x v="0"/>
  </r>
  <r>
    <x v="186"/>
    <s v="USD"/>
    <n v="247.17"/>
    <d v="2000-01-01T00:00:00"/>
    <d v="2022-12-31T00:00:00"/>
    <n v="217.50959999999998"/>
    <x v="1"/>
  </r>
  <r>
    <x v="186"/>
    <s v="USD"/>
    <n v="271.89"/>
    <d v="2023-01-01T00:00:00"/>
    <d v="2029-12-31T00:00:00"/>
    <n v="239.26319999999998"/>
    <x v="0"/>
  </r>
  <r>
    <x v="187"/>
    <s v=""/>
    <n v="255"/>
    <d v="2000-01-01T00:00:00"/>
    <d v="2029-12-31T00:00:00"/>
    <n v="255"/>
    <x v="0"/>
  </r>
  <r>
    <x v="187"/>
    <s v="USD"/>
    <n v="161.73000000000002"/>
    <d v="2000-01-01T00:00:00"/>
    <d v="2022-12-31T00:00:00"/>
    <n v="142.32240000000002"/>
    <x v="1"/>
  </r>
  <r>
    <x v="187"/>
    <s v="USD"/>
    <n v="177.9"/>
    <d v="2023-01-01T00:00:00"/>
    <d v="2029-12-31T00:00:00"/>
    <n v="156.55199999999999"/>
    <x v="0"/>
  </r>
  <r>
    <x v="188"/>
    <s v="USD"/>
    <n v="271.07"/>
    <d v="2000-01-01T00:00:00"/>
    <d v="2022-12-31T00:00:00"/>
    <n v="238.54159999999999"/>
    <x v="1"/>
  </r>
  <r>
    <x v="188"/>
    <s v="USD"/>
    <n v="298.18"/>
    <d v="2023-01-01T00:00:00"/>
    <d v="2029-12-31T00:00:00"/>
    <n v="262.39839999999998"/>
    <x v="0"/>
  </r>
  <r>
    <x v="189"/>
    <s v="USD"/>
    <n v="358"/>
    <d v="2000-01-01T00:00:00"/>
    <d v="2029-12-31T00:00:00"/>
    <n v="315.04000000000002"/>
    <x v="0"/>
  </r>
  <r>
    <x v="190"/>
    <s v=""/>
    <n v="204"/>
    <d v="2000-01-01T00:00:00"/>
    <d v="2029-12-31T00:00:00"/>
    <n v="204"/>
    <x v="0"/>
  </r>
  <r>
    <x v="190"/>
    <s v="USD"/>
    <n v="130"/>
    <d v="2000-01-01T00:00:00"/>
    <d v="2022-12-31T00:00:00"/>
    <n v="114.4"/>
    <x v="1"/>
  </r>
  <r>
    <x v="190"/>
    <s v="USD"/>
    <n v="143"/>
    <d v="2023-01-01T00:00:00"/>
    <d v="2023-06-25T00:00:00"/>
    <n v="125.84"/>
    <x v="1"/>
  </r>
  <r>
    <x v="191"/>
    <s v=""/>
    <n v="114"/>
    <d v="2000-01-01T00:00:00"/>
    <d v="2029-12-31T00:00:00"/>
    <n v="114"/>
    <x v="0"/>
  </r>
  <r>
    <x v="190"/>
    <s v="USD"/>
    <n v="400"/>
    <d v="2023-06-26T00:00:00"/>
    <d v="2050-01-01T00:00:00"/>
    <n v="352"/>
    <x v="0"/>
  </r>
  <r>
    <x v="191"/>
    <s v=""/>
    <n v="58"/>
    <d v="2000-01-01T00:00:00"/>
    <d v="2029-12-31T00:00:00"/>
    <n v="58"/>
    <x v="0"/>
  </r>
  <r>
    <x v="191"/>
    <s v=""/>
    <n v="52"/>
    <d v="2000-01-01T00:00:00"/>
    <d v="2019-10-23T00:00:00"/>
    <n v="52"/>
    <x v="1"/>
  </r>
  <r>
    <x v="191"/>
    <s v=""/>
    <n v="106"/>
    <d v="2019-10-24T00:00:00"/>
    <d v="2029-12-31T00:00:00"/>
    <n v="106"/>
    <x v="0"/>
  </r>
  <r>
    <x v="192"/>
    <s v=""/>
    <n v="120.99999999999999"/>
    <d v="2000-01-01T00:00:00"/>
    <d v="2029-12-31T00:00:00"/>
    <n v="120.99999999999999"/>
    <x v="0"/>
  </r>
  <r>
    <x v="192"/>
    <s v=""/>
    <n v="61"/>
    <d v="2000-01-01T00:00:00"/>
    <d v="2029-12-31T00:00:00"/>
    <n v="61"/>
    <x v="0"/>
  </r>
  <r>
    <x v="193"/>
    <s v="USD"/>
    <n v="437.67"/>
    <d v="2000-01-01T00:00:00"/>
    <d v="2029-12-31T00:00:00"/>
    <n v="385.14960000000002"/>
    <x v="0"/>
  </r>
  <r>
    <x v="194"/>
    <s v=""/>
    <n v="143.06"/>
    <d v="2000-01-01T00:00:00"/>
    <d v="2020-12-31T00:00:00"/>
    <n v="143.06"/>
    <x v="1"/>
  </r>
  <r>
    <x v="194"/>
    <s v=""/>
    <n v="261"/>
    <d v="2021-01-01T00:00:00"/>
    <d v="2029-12-31T00:00:00"/>
    <n v="261"/>
    <x v="0"/>
  </r>
  <r>
    <x v="195"/>
    <s v=""/>
    <n v="131.9"/>
    <d v="2000-01-01T00:00:00"/>
    <d v="2029-12-31T00:00:00"/>
    <n v="131.9"/>
    <x v="0"/>
  </r>
  <r>
    <x v="196"/>
    <s v=""/>
    <n v="558.6"/>
    <d v="2000-01-01T00:00:00"/>
    <d v="2017-12-31T00:00:00"/>
    <n v="558.6"/>
    <x v="1"/>
  </r>
  <r>
    <x v="196"/>
    <s v=""/>
    <n v="541.79999999999995"/>
    <d v="2018-01-01T00:00:00"/>
    <d v="2019-12-31T00:00:00"/>
    <n v="541.79999999999995"/>
    <x v="1"/>
  </r>
  <r>
    <x v="196"/>
    <s v=""/>
    <n v="531"/>
    <d v="2020-01-01T00:00:00"/>
    <d v="2022-09-30T00:00:00"/>
    <n v="531"/>
    <x v="1"/>
  </r>
  <r>
    <x v="196"/>
    <s v=""/>
    <n v="557.55000000000007"/>
    <d v="2022-10-01T00:00:00"/>
    <d v="2023-03-31T00:00:00"/>
    <n v="557.55000000000007"/>
    <x v="1"/>
  </r>
  <r>
    <x v="197"/>
    <s v=""/>
    <n v="357"/>
    <d v="2000-01-01T00:00:00"/>
    <d v="2029-12-31T00:00:00"/>
    <n v="357"/>
    <x v="0"/>
  </r>
  <r>
    <x v="198"/>
    <s v=""/>
    <n v="969.00000000000011"/>
    <d v="2000-01-01T00:00:00"/>
    <d v="2029-12-31T00:00:00"/>
    <n v="969.00000000000011"/>
    <x v="0"/>
  </r>
  <r>
    <x v="199"/>
    <s v=""/>
    <n v="267.7"/>
    <d v="2000-01-01T00:00:00"/>
    <d v="2024-12-31T00:00:00"/>
    <n v="267.7"/>
    <x v="1"/>
  </r>
  <r>
    <x v="200"/>
    <s v=""/>
    <n v="249.9"/>
    <d v="2000-01-01T00:00:00"/>
    <d v="2029-12-31T00:00:00"/>
    <n v="249.9"/>
    <x v="0"/>
  </r>
  <r>
    <x v="201"/>
    <s v=""/>
    <n v="227.8"/>
    <d v="2000-01-01T00:00:00"/>
    <d v="2029-12-31T00:00:00"/>
    <n v="227.8"/>
    <x v="0"/>
  </r>
  <r>
    <x v="202"/>
    <s v=""/>
    <n v="328.1"/>
    <d v="2000-01-01T00:00:00"/>
    <d v="2026-12-31T00:00:00"/>
    <n v="328.1"/>
    <x v="0"/>
  </r>
  <r>
    <x v="203"/>
    <s v=""/>
    <n v="217.6"/>
    <d v="2018-01-01T00:00:00"/>
    <d v="2030-01-01T00:00:00"/>
    <n v="217.6"/>
    <x v="0"/>
  </r>
  <r>
    <x v="203"/>
    <s v=""/>
    <n v="210.6"/>
    <d v="2018-01-01T00:00:00"/>
    <d v="2030-01-01T00:00:00"/>
    <n v="210.6"/>
    <x v="0"/>
  </r>
  <r>
    <x v="203"/>
    <s v=""/>
    <n v="215"/>
    <d v="2018-01-01T00:00:00"/>
    <d v="2030-01-01T00:00:00"/>
    <n v="215"/>
    <x v="0"/>
  </r>
  <r>
    <x v="203"/>
    <s v=""/>
    <n v="213.2"/>
    <d v="2018-01-01T00:00:00"/>
    <d v="2030-01-01T00:00:00"/>
    <n v="213.2"/>
    <x v="0"/>
  </r>
  <r>
    <x v="203"/>
    <s v=""/>
    <n v="206.39"/>
    <d v="2018-01-01T00:00:00"/>
    <d v="2030-01-01T00:00:00"/>
    <n v="206.39"/>
    <x v="0"/>
  </r>
  <r>
    <x v="204"/>
    <s v=""/>
    <n v="380.00000000000006"/>
    <d v="2000-01-01T00:00:00"/>
    <d v="2016-12-31T00:00:00"/>
    <n v="380.00000000000006"/>
    <x v="1"/>
  </r>
  <r>
    <x v="204"/>
    <s v=""/>
    <n v="364.75"/>
    <d v="2017-01-01T00:00:00"/>
    <d v="2017-12-31T00:00:00"/>
    <n v="364.75"/>
    <x v="1"/>
  </r>
  <r>
    <x v="204"/>
    <s v=""/>
    <n v="350.15999999999997"/>
    <d v="2018-01-01T00:00:00"/>
    <d v="2018-12-31T00:00:00"/>
    <n v="350.15999999999997"/>
    <x v="1"/>
  </r>
  <r>
    <x v="204"/>
    <s v=""/>
    <n v="344.90000000000003"/>
    <d v="2019-01-17T00:00:00"/>
    <d v="2021-12-31T00:00:00"/>
    <n v="344.90000000000003"/>
    <x v="1"/>
  </r>
  <r>
    <x v="204"/>
    <s v=""/>
    <n v="347"/>
    <d v="2022-01-01T00:00:00"/>
    <d v="2050-01-01T00:00:00"/>
    <n v="347"/>
    <x v="0"/>
  </r>
  <r>
    <x v="205"/>
    <s v=""/>
    <n v="221"/>
    <d v="2000-01-01T00:00:00"/>
    <d v="2016-12-31T00:00:00"/>
    <n v="221"/>
    <x v="1"/>
  </r>
  <r>
    <x v="205"/>
    <s v=""/>
    <n v="216.58"/>
    <d v="2017-01-01T00:00:00"/>
    <d v="2017-12-31T00:00:00"/>
    <n v="216.58"/>
    <x v="1"/>
  </r>
  <r>
    <x v="205"/>
    <s v=""/>
    <n v="207.92000000000002"/>
    <d v="2018-01-01T00:00:00"/>
    <d v="2018-12-31T00:00:00"/>
    <n v="207.92000000000002"/>
    <x v="1"/>
  </r>
  <r>
    <x v="205"/>
    <s v=""/>
    <n v="204.8"/>
    <d v="2019-01-17T00:00:00"/>
    <d v="2029-12-31T00:00:00"/>
    <n v="204.8"/>
    <x v="0"/>
  </r>
  <r>
    <x v="206"/>
    <s v=""/>
    <n v="112"/>
    <d v="2000-01-01T00:00:00"/>
    <d v="2017-12-31T00:00:00"/>
    <n v="112"/>
    <x v="1"/>
  </r>
  <r>
    <x v="206"/>
    <s v=""/>
    <n v="116.99999999999999"/>
    <d v="2018-01-01T00:00:00"/>
    <d v="2029-12-31T00:00:00"/>
    <n v="116.99999999999999"/>
    <x v="0"/>
  </r>
  <r>
    <x v="207"/>
    <s v=""/>
    <n v="1445.8500000000001"/>
    <d v="2000-01-01T00:00:00"/>
    <d v="2029-12-31T00:00:00"/>
    <n v="1445.8500000000001"/>
    <x v="0"/>
  </r>
  <r>
    <x v="208"/>
    <s v=""/>
    <n v="116.99999999999999"/>
    <d v="2000-01-01T00:00:00"/>
    <d v="2019-07-11T00:00:00"/>
    <n v="116.99999999999999"/>
    <x v="1"/>
  </r>
  <r>
    <x v="208"/>
    <s v=""/>
    <n v="130.80000000000001"/>
    <d v="2019-07-12T00:00:00"/>
    <d v="2029-12-31T00:00:00"/>
    <n v="130.80000000000001"/>
    <x v="0"/>
  </r>
  <r>
    <x v="209"/>
    <s v=""/>
    <n v="552"/>
    <d v="2000-01-01T00:00:00"/>
    <d v="2029-12-31T00:00:00"/>
    <n v="552"/>
    <x v="0"/>
  </r>
  <r>
    <x v="210"/>
    <s v=""/>
    <n v="552"/>
    <d v="2000-01-01T00:00:00"/>
    <d v="2029-12-31T00:00:00"/>
    <n v="552"/>
    <x v="0"/>
  </r>
  <r>
    <x v="211"/>
    <s v=""/>
    <n v="182"/>
    <d v="2000-01-01T00:00:00"/>
    <d v="2029-12-31T00:00:00"/>
    <n v="182"/>
    <x v="0"/>
  </r>
  <r>
    <x v="212"/>
    <s v=""/>
    <n v="150"/>
    <d v="2000-01-01T00:00:00"/>
    <d v="2019-06-30T00:00:00"/>
    <n v="150"/>
    <x v="1"/>
  </r>
  <r>
    <x v="212"/>
    <s v=""/>
    <n v="186"/>
    <d v="2019-07-01T00:00:00"/>
    <d v="2029-12-31T00:00:00"/>
    <n v="186"/>
    <x v="0"/>
  </r>
  <r>
    <x v="213"/>
    <s v=""/>
    <n v="402.99999999999994"/>
    <d v="2000-01-01T00:00:00"/>
    <d v="2029-12-31T00:00:00"/>
    <n v="402.99999999999994"/>
    <x v="0"/>
  </r>
  <r>
    <x v="214"/>
    <s v="USD"/>
    <n v="400"/>
    <d v="2000-01-01T00:00:00"/>
    <d v="2029-12-31T00:00:00"/>
    <n v="352"/>
    <x v="0"/>
  </r>
  <r>
    <x v="214"/>
    <s v="USD"/>
    <n v="359"/>
    <d v="2000-01-01T00:00:00"/>
    <d v="2029-12-31T00:00:00"/>
    <n v="315.92"/>
    <x v="0"/>
  </r>
  <r>
    <x v="214"/>
    <s v=""/>
    <n v="358.59999999999997"/>
    <d v="2000-01-01T00:00:00"/>
    <d v="2016-12-31T00:00:00"/>
    <n v="358.59999999999997"/>
    <x v="1"/>
  </r>
  <r>
    <x v="214"/>
    <s v=""/>
    <n v="347"/>
    <d v="2017-01-01T00:00:00"/>
    <d v="2029-12-31T00:00:00"/>
    <n v="347"/>
    <x v="0"/>
  </r>
  <r>
    <x v="215"/>
    <s v="USD"/>
    <n v="364"/>
    <d v="2000-01-01T00:00:00"/>
    <d v="2029-12-31T00:00:00"/>
    <n v="320.32"/>
    <x v="0"/>
  </r>
  <r>
    <x v="215"/>
    <s v="USD"/>
    <n v="329"/>
    <d v="2000-01-01T00:00:00"/>
    <d v="2029-12-31T00:00:00"/>
    <n v="289.52"/>
    <x v="0"/>
  </r>
  <r>
    <x v="215"/>
    <s v=""/>
    <n v="275"/>
    <d v="2017-01-01T00:00:00"/>
    <d v="2019-07-11T00:00:00"/>
    <n v="275"/>
    <x v="1"/>
  </r>
  <r>
    <x v="215"/>
    <s v=""/>
    <n v="297.5"/>
    <d v="2019-07-12T00:00:00"/>
    <d v="2029-12-31T00:00:00"/>
    <n v="297.5"/>
    <x v="0"/>
  </r>
  <r>
    <x v="216"/>
    <s v=""/>
    <n v="351"/>
    <d v="2000-01-01T00:00:00"/>
    <d v="2016-12-31T00:00:00"/>
    <n v="351"/>
    <x v="1"/>
  </r>
  <r>
    <x v="216"/>
    <s v=""/>
    <n v="345"/>
    <d v="2017-01-01T00:00:00"/>
    <d v="2029-12-31T00:00:00"/>
    <n v="345"/>
    <x v="0"/>
  </r>
  <r>
    <x v="217"/>
    <s v=""/>
    <n v="339.24"/>
    <d v="2000-01-01T00:00:00"/>
    <d v="2029-12-31T00:00:00"/>
    <n v="339.24"/>
    <x v="0"/>
  </r>
  <r>
    <x v="218"/>
    <s v=""/>
    <n v="51"/>
    <d v="2000-01-01T00:00:00"/>
    <d v="2029-12-31T00:00:00"/>
    <n v="51"/>
    <x v="0"/>
  </r>
  <r>
    <x v="218"/>
    <s v=""/>
    <n v="94"/>
    <d v="2019-09-27T00:00:00"/>
    <d v="2019-12-31T00:00:00"/>
    <n v="94"/>
    <x v="1"/>
  </r>
  <r>
    <x v="218"/>
    <s v=""/>
    <n v="129.9"/>
    <d v="2020-01-01T00:00:00"/>
    <d v="2023-06-07T00:00:00"/>
    <n v="129.9"/>
    <x v="1"/>
  </r>
  <r>
    <x v="27"/>
    <s v=""/>
    <n v="214.6"/>
    <d v="2000-01-01T00:00:00"/>
    <d v="2000-12-31T00:00:00"/>
    <n v="214.6"/>
    <x v="1"/>
  </r>
  <r>
    <x v="218"/>
    <s v=""/>
    <n v="150"/>
    <d v="2023-06-08T00:00:00"/>
    <d v="2050-01-01T00:00:00"/>
    <n v="150"/>
    <x v="0"/>
  </r>
  <r>
    <x v="219"/>
    <s v=""/>
    <n v="679"/>
    <d v="2000-01-01T00:00:00"/>
    <d v="2029-12-31T00:00:00"/>
    <n v="679"/>
    <x v="0"/>
  </r>
  <r>
    <x v="219"/>
    <s v=""/>
    <n v="633"/>
    <d v="2000-01-01T00:00:00"/>
    <d v="2029-12-31T00:00:00"/>
    <n v="633"/>
    <x v="0"/>
  </r>
  <r>
    <x v="220"/>
    <s v=""/>
    <n v="679"/>
    <d v="2000-01-01T00:00:00"/>
    <d v="2029-12-31T00:00:00"/>
    <n v="679"/>
    <x v="0"/>
  </r>
  <r>
    <x v="220"/>
    <s v=""/>
    <n v="633"/>
    <d v="2000-01-01T00:00:00"/>
    <d v="2029-12-31T00:00:00"/>
    <n v="633"/>
    <x v="0"/>
  </r>
  <r>
    <x v="221"/>
    <s v=""/>
    <n v="410"/>
    <d v="2000-01-01T00:00:00"/>
    <d v="2018-11-04T00:00:00"/>
    <n v="410"/>
    <x v="1"/>
  </r>
  <r>
    <x v="221"/>
    <s v=""/>
    <n v="397.00000000000006"/>
    <d v="2018-11-05T00:00:00"/>
    <d v="2029-12-31T00:00:00"/>
    <n v="397.00000000000006"/>
    <x v="0"/>
  </r>
  <r>
    <x v="222"/>
    <s v=""/>
    <n v="131"/>
    <d v="2000-01-01T00:00:00"/>
    <d v="2022-08-24T00:00:00"/>
    <n v="131"/>
    <x v="1"/>
  </r>
  <r>
    <x v="222"/>
    <s v=""/>
    <n v="141.47999999999999"/>
    <d v="2022-08-25T00:00:00"/>
    <d v="2024-06-25T00:00:00"/>
    <n v="141.47999999999999"/>
    <x v="1"/>
  </r>
  <r>
    <x v="223"/>
    <s v="HUF"/>
    <n v="151"/>
    <d v="2000-01-01T00:00:00"/>
    <d v="2022-08-24T00:00:00"/>
    <n v="151"/>
    <x v="1"/>
  </r>
  <r>
    <x v="222"/>
    <s v=""/>
    <n v="190.79999999999998"/>
    <d v="2024-06-26T00:00:00"/>
    <d v="2029-12-31T00:00:00"/>
    <n v="190.79999999999998"/>
    <x v="0"/>
  </r>
  <r>
    <x v="223"/>
    <s v=""/>
    <n v="163.07999999999998"/>
    <d v="2022-08-25T00:00:00"/>
    <d v="2029-12-31T00:00:00"/>
    <n v="163.07999999999998"/>
    <x v="0"/>
  </r>
  <r>
    <x v="222"/>
    <s v=""/>
    <n v="149.5"/>
    <d v="2024-06-26T00:00:00"/>
    <d v="2029-12-31T00:00:00"/>
    <n v="149.5"/>
    <x v="0"/>
  </r>
  <r>
    <x v="224"/>
    <s v=""/>
    <n v="590"/>
    <d v="2000-01-01T00:00:00"/>
    <d v="2029-12-31T00:00:00"/>
    <n v="590"/>
    <x v="0"/>
  </r>
  <r>
    <x v="225"/>
    <s v=""/>
    <n v="277"/>
    <d v="2000-01-01T00:00:00"/>
    <d v="2029-12-31T00:00:00"/>
    <n v="277"/>
    <x v="0"/>
  </r>
  <r>
    <x v="226"/>
    <s v=""/>
    <n v="262"/>
    <d v="2000-01-01T00:00:00"/>
    <d v="2029-12-31T00:00:00"/>
    <n v="262"/>
    <x v="0"/>
  </r>
  <r>
    <x v="227"/>
    <s v=""/>
    <n v="100.99999999999999"/>
    <d v="2000-01-01T00:00:00"/>
    <d v="2019-06-30T00:00:00"/>
    <n v="100.99999999999999"/>
    <x v="1"/>
  </r>
  <r>
    <x v="227"/>
    <s v=""/>
    <n v="134"/>
    <d v="2019-07-01T00:00:00"/>
    <d v="2022-09-30T00:00:00"/>
    <n v="134"/>
    <x v="1"/>
  </r>
  <r>
    <x v="227"/>
    <s v=""/>
    <n v="140.70000000000002"/>
    <d v="2022-10-01T00:00:00"/>
    <d v="2023-03-31T00:00:00"/>
    <n v="140.70000000000002"/>
    <x v="1"/>
  </r>
  <r>
    <x v="228"/>
    <s v=""/>
    <n v="108.99999999999999"/>
    <d v="2000-01-01T00:00:00"/>
    <d v="2019-06-30T00:00:00"/>
    <n v="108.99999999999999"/>
    <x v="1"/>
  </r>
  <r>
    <x v="228"/>
    <s v=""/>
    <n v="145"/>
    <d v="2019-07-01T00:00:00"/>
    <d v="2022-09-30T00:00:00"/>
    <n v="145"/>
    <x v="1"/>
  </r>
  <r>
    <x v="228"/>
    <s v=""/>
    <n v="152.25"/>
    <d v="2022-10-01T00:00:00"/>
    <d v="2023-03-31T00:00:00"/>
    <n v="152.25"/>
    <x v="1"/>
  </r>
  <r>
    <x v="229"/>
    <s v=""/>
    <n v="535.5"/>
    <d v="2000-01-01T00:00:00"/>
    <d v="2029-12-31T00:00:00"/>
    <n v="535.5"/>
    <x v="0"/>
  </r>
  <r>
    <x v="230"/>
    <s v=""/>
    <n v="454"/>
    <d v="2000-01-01T00:00:00"/>
    <d v="2017-12-31T00:00:00"/>
    <n v="454"/>
    <x v="1"/>
  </r>
  <r>
    <x v="230"/>
    <s v=""/>
    <n v="435.8"/>
    <d v="2018-01-01T00:00:00"/>
    <d v="2018-12-31T00:00:00"/>
    <n v="435.8"/>
    <x v="1"/>
  </r>
  <r>
    <x v="230"/>
    <s v=""/>
    <n v="429.26"/>
    <d v="2019-01-01T00:00:00"/>
    <d v="2023-03-31T00:00:00"/>
    <n v="429.26"/>
    <x v="1"/>
  </r>
  <r>
    <x v="231"/>
    <s v=""/>
    <n v="375"/>
    <d v="2000-01-01T00:00:00"/>
    <d v="2017-12-31T00:00:00"/>
    <n v="375"/>
    <x v="1"/>
  </r>
  <r>
    <x v="230"/>
    <s v=""/>
    <n v="420.7"/>
    <d v="2023-04-01T00:00:00"/>
    <d v="2023-12-31T00:00:00"/>
    <n v="420.7"/>
    <x v="1"/>
  </r>
  <r>
    <x v="231"/>
    <s v=""/>
    <n v="360"/>
    <d v="2018-01-01T00:00:00"/>
    <d v="2018-12-31T00:00:00"/>
    <n v="360"/>
    <x v="1"/>
  </r>
  <r>
    <x v="231"/>
    <s v=""/>
    <n v="354.59999999999997"/>
    <d v="2019-01-01T00:00:00"/>
    <d v="2029-12-31T00:00:00"/>
    <n v="354.59999999999997"/>
    <x v="0"/>
  </r>
  <r>
    <x v="232"/>
    <s v=""/>
    <n v="79"/>
    <d v="2000-01-01T00:00:00"/>
    <d v="2019-06-30T00:00:00"/>
    <n v="79"/>
    <x v="1"/>
  </r>
  <r>
    <x v="232"/>
    <s v=""/>
    <n v="104.99999999999999"/>
    <d v="2019-07-01T00:00:00"/>
    <d v="2029-12-31T00:00:00"/>
    <n v="104.99999999999999"/>
    <x v="0"/>
  </r>
  <r>
    <x v="233"/>
    <s v=""/>
    <n v="499.99999999999994"/>
    <d v="2000-01-01T00:00:00"/>
    <d v="2029-12-31T00:00:00"/>
    <n v="499.99999999999994"/>
    <x v="0"/>
  </r>
  <r>
    <x v="234"/>
    <s v=""/>
    <n v="195"/>
    <d v="2000-01-01T00:00:00"/>
    <d v="2017-12-31T00:00:00"/>
    <n v="195"/>
    <x v="1"/>
  </r>
  <r>
    <x v="234"/>
    <s v=""/>
    <n v="187.2"/>
    <d v="2018-01-01T00:00:00"/>
    <d v="2018-12-31T00:00:00"/>
    <n v="187.2"/>
    <x v="1"/>
  </r>
  <r>
    <x v="234"/>
    <s v=""/>
    <n v="184.39000000000001"/>
    <d v="2019-01-17T00:00:00"/>
    <d v="2029-12-31T00:00:00"/>
    <n v="184.39000000000001"/>
    <x v="0"/>
  </r>
  <r>
    <x v="235"/>
    <s v=""/>
    <n v="1429"/>
    <d v="2000-01-01T00:00:00"/>
    <d v="2017-12-31T00:00:00"/>
    <n v="1429"/>
    <x v="1"/>
  </r>
  <r>
    <x v="235"/>
    <s v=""/>
    <n v="1344"/>
    <d v="2018-01-01T00:00:00"/>
    <d v="2020-12-31T00:00:00"/>
    <n v="1344"/>
    <x v="1"/>
  </r>
  <r>
    <x v="235"/>
    <s v=""/>
    <n v="1316.5"/>
    <d v="2021-01-01T00:00:00"/>
    <d v="2029-12-31T00:00:00"/>
    <n v="1316.5"/>
    <x v="0"/>
  </r>
  <r>
    <x v="236"/>
    <s v=""/>
    <n v="225"/>
    <d v="2000-01-01T00:00:00"/>
    <d v="2029-12-31T00:00:00"/>
    <n v="225"/>
    <x v="0"/>
  </r>
  <r>
    <x v="237"/>
    <s v=""/>
    <n v="857.95"/>
    <d v="2017-01-01T00:00:00"/>
    <d v="2017-06-30T00:00:00"/>
    <n v="857.95"/>
    <x v="1"/>
  </r>
  <r>
    <x v="237"/>
    <s v=""/>
    <n v="887.95"/>
    <d v="2017-07-01T00:00:00"/>
    <d v="2023-08-22T00:00:00"/>
    <n v="887.95"/>
    <x v="1"/>
  </r>
  <r>
    <x v="238"/>
    <s v=""/>
    <n v="299"/>
    <d v="2000-01-01T00:00:00"/>
    <d v="2029-12-31T00:00:00"/>
    <n v="299"/>
    <x v="0"/>
  </r>
  <r>
    <x v="237"/>
    <s v=""/>
    <n v="976.50000000000011"/>
    <d v="2023-08-23T00:00:00"/>
    <d v="2050-01-01T00:00:00"/>
    <n v="976.50000000000011"/>
    <x v="0"/>
  </r>
  <r>
    <x v="239"/>
    <s v=""/>
    <n v="710"/>
    <d v="2023-09-01T00:00:00"/>
    <d v="2029-12-31T00:00:00"/>
    <n v="710"/>
    <x v="0"/>
  </r>
  <r>
    <x v="240"/>
    <s v=""/>
    <n v="1245"/>
    <d v="2018-01-01T00:00:00"/>
    <d v="2018-06-28T00:00:00"/>
    <n v="1245"/>
    <x v="1"/>
  </r>
  <r>
    <x v="240"/>
    <s v=""/>
    <n v="1195.2"/>
    <d v="2018-06-29T00:00:00"/>
    <d v="2018-12-31T00:00:00"/>
    <n v="1195.2"/>
    <x v="1"/>
  </r>
  <r>
    <x v="240"/>
    <s v=""/>
    <n v="1171"/>
    <d v="2019-01-01T00:00:00"/>
    <d v="2020-12-31T00:00:00"/>
    <n v="1171"/>
    <x v="1"/>
  </r>
  <r>
    <x v="240"/>
    <s v=""/>
    <n v="1057.4000000000001"/>
    <d v="2021-01-01T00:00:00"/>
    <d v="2021-09-30T00:00:00"/>
    <n v="1057.4000000000001"/>
    <x v="1"/>
  </r>
  <r>
    <x v="240"/>
    <s v=""/>
    <n v="994"/>
    <d v="2021-09-30T00:00:00"/>
    <d v="2024-12-31T00:00:00"/>
    <n v="994"/>
    <x v="1"/>
  </r>
  <r>
    <x v="241"/>
    <s v=""/>
    <n v="159"/>
    <d v="2000-01-01T00:00:00"/>
    <d v="2023-06-13T00:00:00"/>
    <n v="159"/>
    <x v="1"/>
  </r>
  <r>
    <x v="242"/>
    <s v=""/>
    <n v="350"/>
    <d v="2000-01-01T00:00:00"/>
    <d v="2018-04-25T00:00:00"/>
    <n v="350"/>
    <x v="1"/>
  </r>
  <r>
    <x v="241"/>
    <s v=""/>
    <n v="190.00000000000003"/>
    <d v="2023-06-14T00:00:00"/>
    <d v="2050-01-01T00:00:00"/>
    <n v="190.00000000000003"/>
    <x v="0"/>
  </r>
  <r>
    <x v="242"/>
    <s v=""/>
    <n v="304"/>
    <d v="2018-04-26T00:00:00"/>
    <d v="2022-09-30T00:00:00"/>
    <n v="304"/>
    <x v="1"/>
  </r>
  <r>
    <x v="242"/>
    <s v=""/>
    <n v="319.2"/>
    <d v="2022-10-01T00:00:00"/>
    <d v="2022-12-31T00:00:00"/>
    <n v="319.2"/>
    <x v="1"/>
  </r>
  <r>
    <x v="242"/>
    <s v=""/>
    <n v="302.39999999999998"/>
    <d v="2023-01-01T00:00:00"/>
    <d v="2023-03-31T00:00:00"/>
    <n v="302.39999999999998"/>
    <x v="1"/>
  </r>
  <r>
    <x v="243"/>
    <s v=""/>
    <n v="83"/>
    <d v="2000-01-01T00:00:00"/>
    <d v="2029-12-31T00:00:00"/>
    <n v="83"/>
    <x v="0"/>
  </r>
  <r>
    <x v="242"/>
    <s v=""/>
    <n v="291.75"/>
    <d v="2023-04-01T00:00:00"/>
    <d v="2024-12-31T00:00:00"/>
    <n v="291.75"/>
    <x v="1"/>
  </r>
  <r>
    <x v="244"/>
    <s v=""/>
    <n v="189"/>
    <d v="2018-01-01T00:00:00"/>
    <d v="2018-08-02T00:00:00"/>
    <n v="189"/>
    <x v="1"/>
  </r>
  <r>
    <x v="244"/>
    <s v=""/>
    <n v="206.00000000000003"/>
    <d v="2018-08-03T00:00:00"/>
    <d v="2018-12-31T00:00:00"/>
    <n v="206.00000000000003"/>
    <x v="1"/>
  </r>
  <r>
    <x v="244"/>
    <s v=""/>
    <n v="182"/>
    <d v="2018-08-03T00:00:00"/>
    <d v="2018-12-31T00:00:00"/>
    <n v="182"/>
    <x v="1"/>
  </r>
  <r>
    <x v="244"/>
    <s v=""/>
    <n v="202.91000000000003"/>
    <d v="2019-01-17T00:00:00"/>
    <d v="2019-12-31T00:00:00"/>
    <n v="202.91000000000003"/>
    <x v="1"/>
  </r>
  <r>
    <x v="244"/>
    <s v=""/>
    <n v="173.9"/>
    <d v="2019-01-17T00:00:00"/>
    <d v="2019-12-31T00:00:00"/>
    <n v="173.9"/>
    <x v="1"/>
  </r>
  <r>
    <x v="244"/>
    <s v=""/>
    <n v="199.85999999999999"/>
    <d v="2020-01-01T00:00:00"/>
    <d v="2020-12-31T00:00:00"/>
    <n v="199.85999999999999"/>
    <x v="1"/>
  </r>
  <r>
    <x v="244"/>
    <s v=""/>
    <n v="169.6"/>
    <d v="2020-01-01T00:00:00"/>
    <d v="2020-12-31T00:00:00"/>
    <n v="169.6"/>
    <x v="1"/>
  </r>
  <r>
    <x v="244"/>
    <s v=""/>
    <n v="196.87"/>
    <d v="2021-01-01T00:00:00"/>
    <d v="2021-12-31T00:00:00"/>
    <n v="196.87"/>
    <x v="1"/>
  </r>
  <r>
    <x v="244"/>
    <s v=""/>
    <n v="165.5"/>
    <d v="2021-01-01T00:00:00"/>
    <d v="2021-12-31T00:00:00"/>
    <n v="165.5"/>
    <x v="1"/>
  </r>
  <r>
    <x v="244"/>
    <s v=""/>
    <n v="193.92"/>
    <d v="2022-01-01T00:00:00"/>
    <d v="2029-12-31T00:00:00"/>
    <n v="193.92"/>
    <x v="0"/>
  </r>
  <r>
    <x v="244"/>
    <s v=""/>
    <n v="161.5"/>
    <d v="2022-01-01T00:00:00"/>
    <d v="2029-12-31T00:00:00"/>
    <n v="161.5"/>
    <x v="0"/>
  </r>
  <r>
    <x v="245"/>
    <s v=""/>
    <n v="195"/>
    <d v="2018-01-01T00:00:00"/>
    <d v="2018-12-31T00:00:00"/>
    <n v="195"/>
    <x v="1"/>
  </r>
  <r>
    <x v="245"/>
    <s v=""/>
    <n v="190.00000000000003"/>
    <d v="2019-01-01T00:00:00"/>
    <d v="2019-12-31T00:00:00"/>
    <n v="190.00000000000003"/>
    <x v="1"/>
  </r>
  <r>
    <x v="245"/>
    <s v=""/>
    <n v="185"/>
    <d v="2020-01-01T00:00:00"/>
    <d v="2020-12-31T00:00:00"/>
    <n v="185"/>
    <x v="1"/>
  </r>
  <r>
    <x v="245"/>
    <s v=""/>
    <n v="178"/>
    <d v="2021-01-01T00:00:00"/>
    <d v="2021-12-31T00:00:00"/>
    <n v="178"/>
    <x v="1"/>
  </r>
  <r>
    <x v="245"/>
    <s v=""/>
    <n v="173"/>
    <d v="2022-01-01T00:00:00"/>
    <d v="2029-12-31T00:00:00"/>
    <n v="173"/>
    <x v="0"/>
  </r>
  <r>
    <x v="246"/>
    <s v=""/>
    <n v="195"/>
    <d v="2018-01-01T00:00:00"/>
    <d v="2018-12-31T00:00:00"/>
    <n v="195"/>
    <x v="1"/>
  </r>
  <r>
    <x v="246"/>
    <s v=""/>
    <n v="190.00000000000003"/>
    <d v="2019-01-01T00:00:00"/>
    <d v="2019-12-31T00:00:00"/>
    <n v="190.00000000000003"/>
    <x v="1"/>
  </r>
  <r>
    <x v="246"/>
    <s v=""/>
    <n v="185.9"/>
    <d v="2020-01-01T00:00:00"/>
    <d v="2020-12-31T00:00:00"/>
    <n v="185.9"/>
    <x v="1"/>
  </r>
  <r>
    <x v="246"/>
    <s v=""/>
    <n v="178"/>
    <d v="2021-01-01T00:00:00"/>
    <d v="2021-12-31T00:00:00"/>
    <n v="178"/>
    <x v="1"/>
  </r>
  <r>
    <x v="246"/>
    <s v=""/>
    <n v="173"/>
    <d v="2022-01-01T00:00:00"/>
    <d v="2029-12-31T00:00:00"/>
    <n v="173"/>
    <x v="0"/>
  </r>
  <r>
    <x v="247"/>
    <s v=""/>
    <n v="357"/>
    <d v="2018-01-01T00:00:00"/>
    <d v="2018-12-31T00:00:00"/>
    <n v="357"/>
    <x v="1"/>
  </r>
  <r>
    <x v="247"/>
    <s v=""/>
    <n v="348"/>
    <d v="2019-01-01T00:00:00"/>
    <d v="2019-12-31T00:00:00"/>
    <n v="348"/>
    <x v="1"/>
  </r>
  <r>
    <x v="247"/>
    <s v=""/>
    <n v="340"/>
    <d v="2020-01-01T00:00:00"/>
    <d v="2020-12-31T00:00:00"/>
    <n v="340"/>
    <x v="1"/>
  </r>
  <r>
    <x v="247"/>
    <s v=""/>
    <n v="332"/>
    <d v="2021-01-01T00:00:00"/>
    <d v="2021-12-31T00:00:00"/>
    <n v="332"/>
    <x v="1"/>
  </r>
  <r>
    <x v="247"/>
    <s v=""/>
    <n v="324"/>
    <d v="2022-01-01T00:00:00"/>
    <d v="2029-12-31T00:00:00"/>
    <n v="324"/>
    <x v="0"/>
  </r>
  <r>
    <x v="248"/>
    <s v=""/>
    <n v="323.5"/>
    <d v="2000-01-01T00:00:00"/>
    <d v="2023-12-31T00:00:00"/>
    <n v="323.5"/>
    <x v="1"/>
  </r>
  <r>
    <x v="249"/>
    <s v=""/>
    <n v="150"/>
    <d v="2000-01-01T00:00:00"/>
    <d v="2029-12-31T00:00:00"/>
    <n v="150"/>
    <x v="0"/>
  </r>
  <r>
    <x v="248"/>
    <s v=""/>
    <n v="294.10000000000002"/>
    <d v="2024-01-01T00:00:00"/>
    <d v="2029-12-30T00:00:00"/>
    <n v="294.10000000000002"/>
    <x v="0"/>
  </r>
  <r>
    <x v="250"/>
    <s v=""/>
    <n v="225"/>
    <d v="2000-01-01T00:00:00"/>
    <d v="2020-12-10T00:00:00"/>
    <n v="225"/>
    <x v="1"/>
  </r>
  <r>
    <x v="250"/>
    <s v=""/>
    <n v="300"/>
    <d v="2020-12-11T00:00:00"/>
    <d v="2029-12-31T00:00:00"/>
    <n v="300"/>
    <x v="0"/>
  </r>
  <r>
    <x v="251"/>
    <s v=""/>
    <n v="88"/>
    <d v="2000-01-01T00:00:00"/>
    <d v="2029-12-31T00:00:00"/>
    <n v="88"/>
    <x v="0"/>
  </r>
  <r>
    <x v="252"/>
    <s v=""/>
    <n v="132"/>
    <d v="2000-01-01T00:00:00"/>
    <d v="2029-12-31T00:00:00"/>
    <n v="132"/>
    <x v="0"/>
  </r>
  <r>
    <x v="253"/>
    <s v=""/>
    <n v="221"/>
    <d v="2000-01-01T00:00:00"/>
    <d v="2029-12-31T00:00:00"/>
    <n v="221"/>
    <x v="0"/>
  </r>
  <r>
    <x v="254"/>
    <s v=""/>
    <n v="541"/>
    <d v="2000-01-01T00:00:00"/>
    <d v="2017-12-31T00:00:00"/>
    <n v="541"/>
    <x v="1"/>
  </r>
  <r>
    <x v="254"/>
    <s v=""/>
    <n v="571.30000000000007"/>
    <d v="2018-01-01T00:00:00"/>
    <d v="2018-12-31T00:00:00"/>
    <n v="571.30000000000007"/>
    <x v="1"/>
  </r>
  <r>
    <x v="254"/>
    <s v=""/>
    <n v="559.9"/>
    <d v="2020-01-01T00:00:00"/>
    <d v="2020-12-31T00:00:00"/>
    <n v="559.9"/>
    <x v="1"/>
  </r>
  <r>
    <x v="254"/>
    <s v=""/>
    <n v="543.1"/>
    <d v="2021-01-01T00:00:00"/>
    <d v="2021-12-31T00:00:00"/>
    <n v="543.1"/>
    <x v="1"/>
  </r>
  <r>
    <x v="254"/>
    <s v=""/>
    <n v="537.6"/>
    <d v="2022-01-01T00:00:00"/>
    <d v="2022-09-30T00:00:00"/>
    <n v="537.6"/>
    <x v="1"/>
  </r>
  <r>
    <x v="254"/>
    <s v=""/>
    <n v="564.48"/>
    <d v="2022-10-01T00:00:00"/>
    <d v="2023-03-31T00:00:00"/>
    <n v="564.48"/>
    <x v="1"/>
  </r>
  <r>
    <x v="255"/>
    <s v=""/>
    <n v="541"/>
    <d v="2000-01-01T00:00:00"/>
    <d v="2017-12-31T00:00:00"/>
    <n v="541"/>
    <x v="1"/>
  </r>
  <r>
    <x v="255"/>
    <s v=""/>
    <n v="571.30000000000007"/>
    <d v="2018-01-01T00:00:00"/>
    <d v="2018-12-31T00:00:00"/>
    <n v="571.30000000000007"/>
    <x v="1"/>
  </r>
  <r>
    <x v="255"/>
    <s v=""/>
    <n v="559.9"/>
    <d v="2020-01-01T00:00:00"/>
    <d v="2020-12-31T00:00:00"/>
    <n v="559.9"/>
    <x v="1"/>
  </r>
  <r>
    <x v="255"/>
    <s v=""/>
    <n v="543.1"/>
    <d v="2021-01-01T00:00:00"/>
    <d v="2021-12-31T00:00:00"/>
    <n v="543.1"/>
    <x v="1"/>
  </r>
  <r>
    <x v="255"/>
    <s v=""/>
    <n v="537.6"/>
    <d v="2022-01-01T00:00:00"/>
    <d v="2022-09-30T00:00:00"/>
    <n v="537.6"/>
    <x v="1"/>
  </r>
  <r>
    <x v="255"/>
    <s v=""/>
    <n v="564.48"/>
    <d v="2022-10-01T00:00:00"/>
    <d v="2023-03-31T00:00:00"/>
    <n v="564.48"/>
    <x v="1"/>
  </r>
  <r>
    <x v="256"/>
    <s v=""/>
    <n v="360"/>
    <d v="2021-01-01T00:00:00"/>
    <d v="2029-12-31T00:00:00"/>
    <n v="360"/>
    <x v="0"/>
  </r>
  <r>
    <x v="256"/>
    <s v=""/>
    <n v="415"/>
    <d v="2017-01-01T00:00:00"/>
    <d v="2017-12-31T00:00:00"/>
    <n v="415"/>
    <x v="1"/>
  </r>
  <r>
    <x v="256"/>
    <s v=""/>
    <n v="402.99999999999994"/>
    <d v="2018-01-01T00:00:00"/>
    <d v="2018-12-31T00:00:00"/>
    <n v="402.99999999999994"/>
    <x v="1"/>
  </r>
  <r>
    <x v="256"/>
    <s v=""/>
    <n v="382"/>
    <d v="2019-01-01T00:00:00"/>
    <d v="2019-07-11T00:00:00"/>
    <n v="382"/>
    <x v="1"/>
  </r>
  <r>
    <x v="256"/>
    <s v=""/>
    <n v="396.59999999999997"/>
    <d v="2019-07-12T00:00:00"/>
    <d v="2019-12-31T00:00:00"/>
    <n v="396.59999999999997"/>
    <x v="1"/>
  </r>
  <r>
    <x v="256"/>
    <s v=""/>
    <n v="380.00000000000006"/>
    <d v="2020-01-01T00:00:00"/>
    <d v="2022-12-31T00:00:00"/>
    <n v="380.00000000000006"/>
    <x v="1"/>
  </r>
  <r>
    <x v="256"/>
    <s v=""/>
    <n v="362.7"/>
    <d v="2023-01-01T00:00:00"/>
    <d v="2029-12-31T00:00:00"/>
    <n v="362.7"/>
    <x v="0"/>
  </r>
  <r>
    <x v="257"/>
    <s v=""/>
    <n v="263"/>
    <d v="2021-01-01T00:00:00"/>
    <d v="2029-12-31T00:00:00"/>
    <n v="263"/>
    <x v="0"/>
  </r>
  <r>
    <x v="257"/>
    <s v=""/>
    <n v="294"/>
    <d v="2000-01-01T00:00:00"/>
    <d v="2018-12-31T00:00:00"/>
    <n v="294"/>
    <x v="1"/>
  </r>
  <r>
    <x v="257"/>
    <s v=""/>
    <n v="276.14999999999998"/>
    <d v="2022-10-01T00:00:00"/>
    <d v="2023-03-31T00:00:00"/>
    <n v="276.14999999999998"/>
    <x v="1"/>
  </r>
  <r>
    <x v="258"/>
    <s v=""/>
    <n v="638"/>
    <d v="2000-01-01T00:00:00"/>
    <d v="2017-12-31T00:00:00"/>
    <n v="638"/>
    <x v="1"/>
  </r>
  <r>
    <x v="258"/>
    <s v=""/>
    <n v="618.90000000000009"/>
    <d v="2018-01-01T00:00:00"/>
    <d v="2018-12-31T00:00:00"/>
    <n v="618.90000000000009"/>
    <x v="1"/>
  </r>
  <r>
    <x v="258"/>
    <s v=""/>
    <n v="597"/>
    <d v="2019-01-01T00:00:00"/>
    <d v="2019-12-31T00:00:00"/>
    <n v="597"/>
    <x v="1"/>
  </r>
  <r>
    <x v="258"/>
    <s v=""/>
    <n v="585.1"/>
    <d v="2020-01-01T00:00:00"/>
    <d v="2020-12-31T00:00:00"/>
    <n v="585.1"/>
    <x v="1"/>
  </r>
  <r>
    <x v="258"/>
    <s v=""/>
    <n v="567.5"/>
    <d v="2021-01-01T00:00:00"/>
    <d v="2021-12-31T00:00:00"/>
    <n v="567.5"/>
    <x v="1"/>
  </r>
  <r>
    <x v="258"/>
    <s v=""/>
    <n v="561.80000000000007"/>
    <d v="2022-01-01T00:00:00"/>
    <d v="2022-09-30T00:00:00"/>
    <n v="561.80000000000007"/>
    <x v="1"/>
  </r>
  <r>
    <x v="258"/>
    <s v=""/>
    <n v="589.89"/>
    <d v="2022-10-01T00:00:00"/>
    <d v="2023-03-31T00:00:00"/>
    <n v="589.89"/>
    <x v="1"/>
  </r>
  <r>
    <x v="259"/>
    <s v=""/>
    <n v="682"/>
    <d v="2000-01-01T00:00:00"/>
    <d v="2017-12-31T00:00:00"/>
    <n v="682"/>
    <x v="1"/>
  </r>
  <r>
    <x v="259"/>
    <s v=""/>
    <n v="661.5"/>
    <d v="2018-01-01T00:00:00"/>
    <d v="2018-12-31T00:00:00"/>
    <n v="661.5"/>
    <x v="1"/>
  </r>
  <r>
    <x v="259"/>
    <s v=""/>
    <n v="642"/>
    <d v="2019-01-01T00:00:00"/>
    <d v="2019-12-31T00:00:00"/>
    <n v="642"/>
    <x v="1"/>
  </r>
  <r>
    <x v="259"/>
    <s v=""/>
    <n v="629.19999999999993"/>
    <d v="2020-01-01T00:00:00"/>
    <d v="2020-12-31T00:00:00"/>
    <n v="629.19999999999993"/>
    <x v="1"/>
  </r>
  <r>
    <x v="259"/>
    <s v=""/>
    <n v="610.30000000000007"/>
    <d v="2021-01-01T00:00:00"/>
    <d v="2021-12-31T00:00:00"/>
    <n v="610.30000000000007"/>
    <x v="1"/>
  </r>
  <r>
    <x v="259"/>
    <s v=""/>
    <n v="604.1"/>
    <d v="2022-01-01T00:00:00"/>
    <d v="2022-09-30T00:00:00"/>
    <n v="604.1"/>
    <x v="1"/>
  </r>
  <r>
    <x v="259"/>
    <s v=""/>
    <n v="634.30999999999995"/>
    <d v="2022-10-01T00:00:00"/>
    <d v="2023-03-31T00:00:00"/>
    <n v="634.30999999999995"/>
    <x v="1"/>
  </r>
  <r>
    <x v="260"/>
    <s v=""/>
    <n v="161"/>
    <d v="2000-01-01T00:00:00"/>
    <d v="2029-12-31T00:00:00"/>
    <n v="161"/>
    <x v="0"/>
  </r>
  <r>
    <x v="261"/>
    <s v=""/>
    <n v="96"/>
    <d v="2000-01-01T00:00:00"/>
    <d v="2023-06-07T00:00:00"/>
    <n v="96"/>
    <x v="1"/>
  </r>
  <r>
    <x v="262"/>
    <s v=""/>
    <n v="530"/>
    <d v="2000-01-01T00:00:00"/>
    <d v="2029-12-31T00:00:00"/>
    <n v="530"/>
    <x v="0"/>
  </r>
  <r>
    <x v="261"/>
    <s v=""/>
    <n v="150"/>
    <d v="2023-06-08T00:00:00"/>
    <d v="2050-01-01T00:00:00"/>
    <n v="150"/>
    <x v="0"/>
  </r>
  <r>
    <x v="263"/>
    <s v=""/>
    <n v="380.00000000000006"/>
    <d v="2019-01-01T00:00:00"/>
    <d v="2019-12-31T00:00:00"/>
    <n v="380.00000000000006"/>
    <x v="1"/>
  </r>
  <r>
    <x v="263"/>
    <s v=""/>
    <n v="372.40000000000003"/>
    <d v="2020-01-01T00:00:00"/>
    <d v="2020-12-31T00:00:00"/>
    <n v="372.40000000000003"/>
    <x v="1"/>
  </r>
  <r>
    <x v="263"/>
    <s v=""/>
    <n v="361.20000000000005"/>
    <d v="2021-01-01T00:00:00"/>
    <d v="2022-09-30T00:00:00"/>
    <n v="361.20000000000005"/>
    <x v="1"/>
  </r>
  <r>
    <x v="263"/>
    <s v=""/>
    <n v="379.26000000000005"/>
    <d v="2022-10-01T00:00:00"/>
    <d v="2023-03-31T00:00:00"/>
    <n v="379.26000000000005"/>
    <x v="1"/>
  </r>
  <r>
    <x v="264"/>
    <s v=""/>
    <n v="289"/>
    <d v="2019-01-01T00:00:00"/>
    <d v="2019-12-31T00:00:00"/>
    <n v="289"/>
    <x v="1"/>
  </r>
  <r>
    <x v="264"/>
    <s v=""/>
    <n v="283.2"/>
    <d v="2020-01-01T00:00:00"/>
    <d v="2029-12-31T00:00:00"/>
    <n v="283.2"/>
    <x v="0"/>
  </r>
  <r>
    <x v="265"/>
    <s v=""/>
    <n v="419.99999999999994"/>
    <d v="2000-01-01T00:00:00"/>
    <d v="2026-01-01T00:00:00"/>
    <n v="419.99999999999994"/>
    <x v="0"/>
  </r>
  <r>
    <x v="266"/>
    <s v=""/>
    <n v="134"/>
    <d v="2000-01-01T00:00:00"/>
    <d v="2022-09-30T00:00:00"/>
    <n v="134"/>
    <x v="1"/>
  </r>
  <r>
    <x v="265"/>
    <s v=""/>
    <n v="400"/>
    <d v="2023-12-01T00:00:00"/>
    <d v="2026-01-01T00:00:00"/>
    <n v="400"/>
    <x v="0"/>
  </r>
  <r>
    <x v="266"/>
    <s v=""/>
    <n v="140.70000000000002"/>
    <d v="2022-10-01T00:00:00"/>
    <d v="2023-03-31T00:00:00"/>
    <n v="140.70000000000002"/>
    <x v="1"/>
  </r>
  <r>
    <x v="267"/>
    <s v=""/>
    <n v="323"/>
    <d v="2000-01-01T00:00:00"/>
    <d v="2018-11-30T00:00:00"/>
    <n v="323"/>
    <x v="1"/>
  </r>
  <r>
    <x v="267"/>
    <s v=""/>
    <n v="317"/>
    <d v="2018-12-01T00:00:00"/>
    <d v="2023-03-31T00:00:00"/>
    <n v="317"/>
    <x v="1"/>
  </r>
  <r>
    <x v="268"/>
    <s v=""/>
    <n v="68"/>
    <d v="2000-01-01T00:00:00"/>
    <d v="2029-12-31T00:00:00"/>
    <n v="68"/>
    <x v="0"/>
  </r>
  <r>
    <x v="269"/>
    <s v=""/>
    <n v="351"/>
    <d v="2000-01-01T00:00:00"/>
    <d v="2022-09-30T00:00:00"/>
    <n v="351"/>
    <x v="1"/>
  </r>
  <r>
    <x v="269"/>
    <s v=""/>
    <n v="368.55"/>
    <d v="2022-10-01T00:00:00"/>
    <d v="2050-01-01T00:00:00"/>
    <n v="368.55"/>
    <x v="0"/>
  </r>
  <r>
    <x v="270"/>
    <s v=""/>
    <n v="474.99999999999994"/>
    <d v="2000-01-01T00:00:00"/>
    <d v="2022-09-30T00:00:00"/>
    <n v="474.99999999999994"/>
    <x v="1"/>
  </r>
  <r>
    <x v="270"/>
    <s v=""/>
    <n v="498.75"/>
    <d v="2022-10-01T00:00:00"/>
    <d v="2023-03-31T00:00:00"/>
    <n v="498.75"/>
    <x v="1"/>
  </r>
  <r>
    <x v="271"/>
    <s v=""/>
    <n v="228"/>
    <d v="2000-01-01T00:00:00"/>
    <d v="2029-12-31T00:00:00"/>
    <n v="228"/>
    <x v="0"/>
  </r>
  <r>
    <x v="272"/>
    <s v=""/>
    <n v="306"/>
    <d v="2000-01-01T00:00:00"/>
    <d v="2022-09-30T00:00:00"/>
    <n v="306"/>
    <x v="1"/>
  </r>
  <r>
    <x v="272"/>
    <s v=""/>
    <n v="290"/>
    <d v="2000-01-01T00:00:00"/>
    <d v="2022-09-30T00:00:00"/>
    <n v="290"/>
    <x v="1"/>
  </r>
  <r>
    <x v="272"/>
    <s v=""/>
    <n v="321.3"/>
    <d v="2022-10-01T00:00:00"/>
    <d v="2023-03-31T00:00:00"/>
    <n v="321.3"/>
    <x v="1"/>
  </r>
  <r>
    <x v="272"/>
    <s v=""/>
    <n v="304.5"/>
    <d v="2022-10-01T00:00:00"/>
    <d v="2023-03-31T00:00:00"/>
    <n v="304.5"/>
    <x v="1"/>
  </r>
  <r>
    <x v="273"/>
    <s v=""/>
    <n v="262"/>
    <d v="2018-01-01T00:00:00"/>
    <d v="2018-12-31T00:00:00"/>
    <n v="262"/>
    <x v="1"/>
  </r>
  <r>
    <x v="273"/>
    <s v=""/>
    <n v="257"/>
    <d v="2019-01-01T00:00:00"/>
    <d v="2019-12-31T00:00:00"/>
    <n v="257"/>
    <x v="1"/>
  </r>
  <r>
    <x v="273"/>
    <s v=""/>
    <n v="263.60000000000002"/>
    <d v="2020-01-01T00:00:00"/>
    <d v="2026-12-31T00:00:00"/>
    <n v="263.60000000000002"/>
    <x v="0"/>
  </r>
  <r>
    <x v="274"/>
    <s v=""/>
    <n v="268"/>
    <d v="2018-01-01T00:00:00"/>
    <d v="2018-12-31T00:00:00"/>
    <n v="268"/>
    <x v="1"/>
  </r>
  <r>
    <x v="274"/>
    <s v=""/>
    <n v="262"/>
    <d v="2019-01-01T00:00:00"/>
    <d v="2019-12-31T00:00:00"/>
    <n v="262"/>
    <x v="1"/>
  </r>
  <r>
    <x v="274"/>
    <s v=""/>
    <n v="308.40000000000003"/>
    <d v="2020-01-01T00:00:00"/>
    <d v="2029-12-31T00:00:00"/>
    <n v="308.40000000000003"/>
    <x v="0"/>
  </r>
  <r>
    <x v="275"/>
    <s v=""/>
    <n v="316"/>
    <d v="2000-01-01T00:00:00"/>
    <d v="2029-12-31T00:00:00"/>
    <n v="316"/>
    <x v="0"/>
  </r>
  <r>
    <x v="276"/>
    <s v=""/>
    <n v="120"/>
    <d v="2000-01-01T00:00:00"/>
    <d v="2019-01-31T00:00:00"/>
    <n v="120"/>
    <x v="1"/>
  </r>
  <r>
    <x v="276"/>
    <s v=""/>
    <n v="127.00000000000001"/>
    <d v="2019-02-01T00:00:00"/>
    <d v="2019-06-30T00:00:00"/>
    <n v="127.00000000000001"/>
    <x v="1"/>
  </r>
  <r>
    <x v="276"/>
    <s v=""/>
    <n v="169"/>
    <d v="2019-07-01T00:00:00"/>
    <d v="2022-09-30T00:00:00"/>
    <n v="169"/>
    <x v="1"/>
  </r>
  <r>
    <x v="276"/>
    <s v=""/>
    <n v="177.45"/>
    <d v="2022-10-01T00:00:00"/>
    <d v="2023-03-31T00:00:00"/>
    <n v="177.45"/>
    <x v="1"/>
  </r>
  <r>
    <x v="277"/>
    <s v=""/>
    <n v="120"/>
    <d v="2000-01-01T00:00:00"/>
    <d v="2019-01-31T00:00:00"/>
    <n v="120"/>
    <x v="1"/>
  </r>
  <r>
    <x v="277"/>
    <s v=""/>
    <n v="127.00000000000001"/>
    <d v="2019-02-01T00:00:00"/>
    <d v="2019-06-30T00:00:00"/>
    <n v="127.00000000000001"/>
    <x v="1"/>
  </r>
  <r>
    <x v="277"/>
    <s v=""/>
    <n v="169"/>
    <d v="2019-07-01T00:00:00"/>
    <d v="2022-09-30T00:00:00"/>
    <n v="169"/>
    <x v="1"/>
  </r>
  <r>
    <x v="277"/>
    <s v=""/>
    <n v="177.45"/>
    <d v="2022-10-01T00:00:00"/>
    <d v="2023-03-31T00:00:00"/>
    <n v="177.45"/>
    <x v="1"/>
  </r>
  <r>
    <x v="278"/>
    <s v=""/>
    <n v="329"/>
    <d v="2000-01-01T00:00:00"/>
    <d v="2022-09-30T00:00:00"/>
    <n v="329"/>
    <x v="1"/>
  </r>
  <r>
    <x v="278"/>
    <s v=""/>
    <n v="345.45000000000005"/>
    <d v="2022-10-01T00:00:00"/>
    <d v="2023-03-31T00:00:00"/>
    <n v="345.45000000000005"/>
    <x v="1"/>
  </r>
  <r>
    <x v="279"/>
    <s v=""/>
    <n v="356"/>
    <d v="2000-01-01T00:00:00"/>
    <d v="2029-12-31T00:00:00"/>
    <n v="356"/>
    <x v="0"/>
  </r>
  <r>
    <x v="280"/>
    <s v=""/>
    <n v="496"/>
    <d v="2000-01-01T00:00:00"/>
    <d v="2029-12-31T00:00:00"/>
    <n v="496"/>
    <x v="0"/>
  </r>
  <r>
    <x v="281"/>
    <s v=""/>
    <n v="895"/>
    <d v="2000-01-01T00:00:00"/>
    <d v="2022-09-30T00:00:00"/>
    <n v="895"/>
    <x v="1"/>
  </r>
  <r>
    <x v="281"/>
    <s v=""/>
    <n v="939.75"/>
    <d v="2022-10-01T00:00:00"/>
    <d v="2023-03-31T00:00:00"/>
    <n v="939.75"/>
    <x v="1"/>
  </r>
  <r>
    <x v="282"/>
    <s v=""/>
    <n v="350"/>
    <d v="2000-01-01T00:00:00"/>
    <d v="2022-09-30T00:00:00"/>
    <n v="350"/>
    <x v="1"/>
  </r>
  <r>
    <x v="282"/>
    <s v=""/>
    <n v="367.5"/>
    <d v="2022-10-01T00:00:00"/>
    <d v="2023-03-31T00:00:00"/>
    <n v="367.5"/>
    <x v="1"/>
  </r>
  <r>
    <x v="283"/>
    <s v=""/>
    <n v="458"/>
    <d v="2000-01-01T00:00:00"/>
    <d v="2022-09-30T00:00:00"/>
    <n v="458"/>
    <x v="1"/>
  </r>
  <r>
    <x v="283"/>
    <s v=""/>
    <n v="480.9"/>
    <d v="2022-10-01T00:00:00"/>
    <d v="2023-03-31T00:00:00"/>
    <n v="480.9"/>
    <x v="1"/>
  </r>
  <r>
    <x v="284"/>
    <s v=""/>
    <n v="254.00000000000003"/>
    <d v="2000-01-01T00:00:00"/>
    <d v="2022-09-30T00:00:00"/>
    <n v="254.00000000000003"/>
    <x v="1"/>
  </r>
  <r>
    <x v="284"/>
    <s v=""/>
    <n v="266.7"/>
    <d v="2022-10-01T00:00:00"/>
    <d v="2023-03-31T00:00:00"/>
    <n v="266.7"/>
    <x v="1"/>
  </r>
  <r>
    <x v="285"/>
    <s v=""/>
    <n v="159"/>
    <d v="2000-01-01T00:00:00"/>
    <d v="2029-12-31T00:00:00"/>
    <n v="159"/>
    <x v="0"/>
  </r>
  <r>
    <x v="286"/>
    <s v=""/>
    <n v="512"/>
    <d v="2000-01-01T00:00:00"/>
    <d v="2022-09-30T00:00:00"/>
    <n v="512"/>
    <x v="1"/>
  </r>
  <r>
    <x v="286"/>
    <s v="USD"/>
    <n v="600"/>
    <d v="2000-01-01T00:00:00"/>
    <d v="2029-12-31T00:00:00"/>
    <n v="528"/>
    <x v="0"/>
  </r>
  <r>
    <x v="286"/>
    <s v=""/>
    <n v="537.6"/>
    <d v="2022-10-01T00:00:00"/>
    <d v="2023-03-31T00:00:00"/>
    <n v="537.6"/>
    <x v="1"/>
  </r>
  <r>
    <x v="287"/>
    <s v=""/>
    <n v="487"/>
    <d v="2000-01-01T00:00:00"/>
    <d v="2022-09-30T00:00:00"/>
    <n v="487"/>
    <x v="1"/>
  </r>
  <r>
    <x v="287"/>
    <s v="USD"/>
    <n v="571"/>
    <d v="2000-01-01T00:00:00"/>
    <d v="2029-12-31T00:00:00"/>
    <n v="502.48"/>
    <x v="0"/>
  </r>
  <r>
    <x v="287"/>
    <s v=""/>
    <n v="511.34999999999997"/>
    <d v="2022-10-01T00:00:00"/>
    <d v="2023-03-31T00:00:00"/>
    <n v="511.34999999999997"/>
    <x v="1"/>
  </r>
  <r>
    <x v="288"/>
    <s v=""/>
    <n v="243"/>
    <d v="2000-01-01T00:00:00"/>
    <d v="2022-09-30T00:00:00"/>
    <n v="243"/>
    <x v="1"/>
  </r>
  <r>
    <x v="288"/>
    <s v=""/>
    <n v="255.15"/>
    <d v="2022-10-01T00:00:00"/>
    <d v="2023-03-31T00:00:00"/>
    <n v="255.15"/>
    <x v="1"/>
  </r>
  <r>
    <x v="289"/>
    <s v=""/>
    <n v="230.00000000000003"/>
    <d v="2000-01-01T00:00:00"/>
    <d v="2022-09-30T00:00:00"/>
    <n v="230.00000000000003"/>
    <x v="1"/>
  </r>
  <r>
    <x v="289"/>
    <s v=""/>
    <n v="241.49999999999997"/>
    <d v="2022-10-01T00:00:00"/>
    <d v="2023-03-31T00:00:00"/>
    <n v="241.49999999999997"/>
    <x v="1"/>
  </r>
  <r>
    <x v="290"/>
    <s v=""/>
    <n v="170"/>
    <d v="2000-01-01T00:00:00"/>
    <d v="2022-09-30T00:00:00"/>
    <n v="170"/>
    <x v="1"/>
  </r>
  <r>
    <x v="290"/>
    <s v=""/>
    <n v="178.5"/>
    <d v="2022-10-01T00:00:00"/>
    <d v="2023-03-31T00:00:00"/>
    <n v="178.5"/>
    <x v="1"/>
  </r>
  <r>
    <x v="291"/>
    <s v=""/>
    <n v="248"/>
    <d v="2000-01-01T00:00:00"/>
    <d v="2019-09-05T00:00:00"/>
    <n v="248"/>
    <x v="1"/>
  </r>
  <r>
    <x v="291"/>
    <s v=""/>
    <n v="310"/>
    <d v="2019-09-06T00:00:00"/>
    <d v="2029-12-31T00:00:00"/>
    <n v="310"/>
    <x v="0"/>
  </r>
  <r>
    <x v="292"/>
    <s v=""/>
    <n v="310"/>
    <d v="2000-01-01T00:00:00"/>
    <d v="2029-12-31T00:00:00"/>
    <n v="310"/>
    <x v="0"/>
  </r>
  <r>
    <x v="293"/>
    <s v=""/>
    <n v="91"/>
    <d v="2000-01-01T00:00:00"/>
    <d v="2029-12-31T00:00:00"/>
    <n v="91"/>
    <x v="0"/>
  </r>
  <r>
    <x v="293"/>
    <s v=""/>
    <n v="61"/>
    <d v="2000-01-01T00:00:00"/>
    <d v="2029-12-31T00:00:00"/>
    <n v="61"/>
    <x v="0"/>
  </r>
  <r>
    <x v="294"/>
    <s v=""/>
    <n v="279"/>
    <d v="2000-01-01T00:00:00"/>
    <d v="2029-12-31T00:00:00"/>
    <n v="279"/>
    <x v="0"/>
  </r>
  <r>
    <x v="295"/>
    <s v=""/>
    <n v="389.00000000000006"/>
    <d v="2000-01-01T00:00:00"/>
    <d v="2029-12-31T00:00:00"/>
    <n v="389.00000000000006"/>
    <x v="0"/>
  </r>
  <r>
    <x v="295"/>
    <s v=""/>
    <n v="322"/>
    <d v="2000-01-01T00:00:00"/>
    <d v="2029-12-31T00:00:00"/>
    <n v="322"/>
    <x v="0"/>
  </r>
  <r>
    <x v="296"/>
    <s v="USD"/>
    <n v="260"/>
    <d v="2000-01-01T00:00:00"/>
    <d v="2029-12-31T00:00:00"/>
    <n v="228.8"/>
    <x v="0"/>
  </r>
  <r>
    <x v="296"/>
    <s v=""/>
    <n v="188"/>
    <d v="2000-01-01T00:00:00"/>
    <d v="2029-12-31T00:00:00"/>
    <n v="188"/>
    <x v="0"/>
  </r>
  <r>
    <x v="297"/>
    <s v=""/>
    <n v="105000"/>
    <d v="2000-01-01T00:00:00"/>
    <d v="2029-12-31T00:00:00"/>
    <n v="105000"/>
    <x v="0"/>
  </r>
  <r>
    <x v="298"/>
    <s v=""/>
    <n v="289"/>
    <d v="2000-01-01T00:00:00"/>
    <d v="2029-12-31T00:00:00"/>
    <n v="289"/>
    <x v="0"/>
  </r>
  <r>
    <x v="299"/>
    <s v=""/>
    <n v="106"/>
    <d v="2021-01-01T00:00:00"/>
    <d v="2021-12-31T00:00:00"/>
    <n v="106"/>
    <x v="1"/>
  </r>
  <r>
    <x v="299"/>
    <s v=""/>
    <n v="104.99999999999999"/>
    <d v="2022-01-01T00:00:00"/>
    <d v="2022-09-30T00:00:00"/>
    <n v="104.99999999999999"/>
    <x v="1"/>
  </r>
  <r>
    <x v="299"/>
    <s v=""/>
    <n v="110.25"/>
    <d v="2022-10-01T00:00:00"/>
    <d v="2023-03-31T00:00:00"/>
    <n v="110.25"/>
    <x v="1"/>
  </r>
  <r>
    <x v="300"/>
    <s v=""/>
    <n v="110"/>
    <d v="2000-01-01T00:00:00"/>
    <d v="2020-01-13T00:00:00"/>
    <n v="110"/>
    <x v="1"/>
  </r>
  <r>
    <x v="300"/>
    <s v=""/>
    <n v="130"/>
    <d v="2020-01-14T00:00:00"/>
    <d v="2029-12-31T00:00:00"/>
    <n v="130"/>
    <x v="0"/>
  </r>
  <r>
    <x v="301"/>
    <s v=""/>
    <n v="155"/>
    <d v="2000-01-01T00:00:00"/>
    <d v="2020-09-15T00:00:00"/>
    <n v="155"/>
    <x v="1"/>
  </r>
  <r>
    <x v="301"/>
    <s v=""/>
    <n v="161.26000000000002"/>
    <d v="2020-09-16T00:00:00"/>
    <d v="2029-12-31T00:00:00"/>
    <n v="161.26000000000002"/>
    <x v="0"/>
  </r>
  <r>
    <x v="302"/>
    <s v=""/>
    <n v="190.00000000000003"/>
    <d v="2000-01-01T00:00:00"/>
    <d v="2020-09-15T00:00:00"/>
    <n v="190.00000000000003"/>
    <x v="1"/>
  </r>
  <r>
    <x v="302"/>
    <s v=""/>
    <n v="197.26000000000002"/>
    <d v="2020-09-16T00:00:00"/>
    <d v="2029-12-31T00:00:00"/>
    <n v="197.26000000000002"/>
    <x v="0"/>
  </r>
  <r>
    <x v="303"/>
    <s v=""/>
    <n v="216"/>
    <d v="2021-01-01T00:00:00"/>
    <d v="2021-12-31T00:00:00"/>
    <n v="216"/>
    <x v="1"/>
  </r>
  <r>
    <x v="303"/>
    <s v=""/>
    <n v="213"/>
    <d v="2022-01-01T00:00:00"/>
    <d v="2022-12-31T00:00:00"/>
    <n v="213"/>
    <x v="1"/>
  </r>
  <r>
    <x v="303"/>
    <s v=""/>
    <n v="209.99999999999997"/>
    <d v="2023-01-01T00:00:00"/>
    <d v="2023-03-31T00:00:00"/>
    <n v="209.99999999999997"/>
    <x v="1"/>
  </r>
  <r>
    <x v="304"/>
    <s v=""/>
    <n v="240"/>
    <d v="2000-01-01T00:00:00"/>
    <d v="2029-12-31T00:00:00"/>
    <n v="240"/>
    <x v="0"/>
  </r>
  <r>
    <x v="304"/>
    <s v=""/>
    <n v="189"/>
    <d v="2000-01-01T00:00:00"/>
    <d v="2029-12-31T00:00:00"/>
    <n v="189"/>
    <x v="0"/>
  </r>
  <r>
    <x v="305"/>
    <s v=""/>
    <n v="171"/>
    <d v="2000-01-01T00:00:00"/>
    <d v="2023-02-15T00:00:00"/>
    <n v="171"/>
    <x v="1"/>
  </r>
  <r>
    <x v="305"/>
    <s v=""/>
    <n v="209.99999999999997"/>
    <d v="2023-02-16T00:00:00"/>
    <d v="2050-02-16T00:00:00"/>
    <n v="209.99999999999997"/>
    <x v="0"/>
  </r>
  <r>
    <x v="306"/>
    <s v=""/>
    <n v="1291"/>
    <d v="2021-02-02T00:00:00"/>
    <d v="2022-04-30T00:00:00"/>
    <n v="1291"/>
    <x v="1"/>
  </r>
  <r>
    <x v="306"/>
    <s v=""/>
    <n v="1252"/>
    <d v="2022-05-01T00:00:00"/>
    <d v="2029-12-31T00:00:00"/>
    <n v="1252"/>
    <x v="0"/>
  </r>
  <r>
    <x v="307"/>
    <s v=""/>
    <n v="467.99999999999994"/>
    <d v="2000-01-01T00:00:00"/>
    <d v="2029-12-31T00:00:00"/>
    <n v="467.99999999999994"/>
    <x v="0"/>
  </r>
  <r>
    <x v="308"/>
    <s v=""/>
    <n v="254.00000000000003"/>
    <d v="2000-01-01T00:00:00"/>
    <d v="2029-12-31T00:00:00"/>
    <n v="254.00000000000003"/>
    <x v="0"/>
  </r>
  <r>
    <x v="309"/>
    <s v=""/>
    <n v="375"/>
    <d v="2020-12-21T00:00:00"/>
    <d v="2022-09-30T00:00:00"/>
    <n v="375"/>
    <x v="1"/>
  </r>
  <r>
    <x v="309"/>
    <s v=""/>
    <n v="393.75"/>
    <d v="2022-10-01T00:00:00"/>
    <d v="2023-03-31T00:00:00"/>
    <n v="393.75"/>
    <x v="1"/>
  </r>
  <r>
    <x v="310"/>
    <s v=""/>
    <n v="627"/>
    <d v="2020-12-21T00:00:00"/>
    <d v="2022-09-30T00:00:00"/>
    <n v="627"/>
    <x v="1"/>
  </r>
  <r>
    <x v="310"/>
    <s v=""/>
    <n v="658.35"/>
    <d v="2022-10-01T00:00:00"/>
    <d v="2023-03-31T00:00:00"/>
    <n v="658.35"/>
    <x v="1"/>
  </r>
  <r>
    <x v="311"/>
    <s v=""/>
    <n v="227"/>
    <d v="2000-01-01T00:00:00"/>
    <d v="2022-09-30T00:00:00"/>
    <n v="227"/>
    <x v="1"/>
  </r>
  <r>
    <x v="311"/>
    <s v=""/>
    <n v="238.35"/>
    <d v="2022-10-01T00:00:00"/>
    <d v="2023-03-31T00:00:00"/>
    <n v="238.35"/>
    <x v="1"/>
  </r>
  <r>
    <x v="312"/>
    <s v=""/>
    <n v="392"/>
    <d v="2000-01-01T00:00:00"/>
    <d v="2029-12-31T00:00:00"/>
    <n v="392"/>
    <x v="0"/>
  </r>
  <r>
    <x v="312"/>
    <s v=""/>
    <n v="257"/>
    <d v="2000-01-01T00:00:00"/>
    <d v="2029-12-31T00:00:00"/>
    <n v="257"/>
    <x v="0"/>
  </r>
  <r>
    <x v="313"/>
    <s v=""/>
    <n v="177.44"/>
    <d v="2000-01-01T00:00:00"/>
    <d v="2026-12-31T00:00:00"/>
    <n v="177.44"/>
    <x v="0"/>
  </r>
  <r>
    <x v="314"/>
    <s v=""/>
    <n v="300"/>
    <d v="2000-01-01T00:00:00"/>
    <d v="2021-04-28T00:00:00"/>
    <n v="300"/>
    <x v="1"/>
  </r>
  <r>
    <x v="314"/>
    <s v=""/>
    <n v="293"/>
    <d v="2021-04-29T00:00:00"/>
    <d v="2029-12-31T00:00:00"/>
    <n v="293"/>
    <x v="0"/>
  </r>
  <r>
    <x v="315"/>
    <s v=""/>
    <n v="508.00000000000006"/>
    <d v="2022-10-01T00:00:00"/>
    <d v="2029-12-31T00:00:00"/>
    <n v="508.00000000000006"/>
    <x v="0"/>
  </r>
  <r>
    <x v="316"/>
    <s v=""/>
    <n v="245"/>
    <d v="2020-12-21T00:00:00"/>
    <d v="2022-09-30T00:00:00"/>
    <n v="245"/>
    <x v="1"/>
  </r>
  <r>
    <x v="316"/>
    <s v=""/>
    <n v="257.25"/>
    <d v="2022-10-01T00:00:00"/>
    <d v="2023-03-31T00:00:00"/>
    <n v="257.25"/>
    <x v="1"/>
  </r>
  <r>
    <x v="317"/>
    <s v=""/>
    <n v="245"/>
    <d v="2020-12-21T00:00:00"/>
    <d v="2029-12-31T00:00:00"/>
    <n v="245"/>
    <x v="0"/>
  </r>
  <r>
    <x v="318"/>
    <s v=""/>
    <n v="190.00000000000003"/>
    <d v="2000-01-01T00:00:00"/>
    <d v="2029-12-31T00:00:00"/>
    <n v="190.00000000000003"/>
    <x v="0"/>
  </r>
  <r>
    <x v="319"/>
    <s v=""/>
    <n v="187"/>
    <d v="2000-01-01T00:00:00"/>
    <d v="2029-12-31T00:00:00"/>
    <n v="187"/>
    <x v="0"/>
  </r>
  <r>
    <x v="320"/>
    <s v=""/>
    <n v="314"/>
    <d v="2000-01-01T00:00:00"/>
    <d v="2029-12-31T00:00:00"/>
    <n v="314"/>
    <x v="0"/>
  </r>
  <r>
    <x v="321"/>
    <s v=""/>
    <n v="429.00000000000006"/>
    <d v="2000-01-01T00:00:00"/>
    <d v="2029-12-31T00:00:00"/>
    <n v="429.00000000000006"/>
    <x v="0"/>
  </r>
  <r>
    <x v="322"/>
    <s v=""/>
    <n v="383"/>
    <d v="2000-01-01T00:00:00"/>
    <d v="2029-12-31T00:00:00"/>
    <n v="383"/>
    <x v="0"/>
  </r>
  <r>
    <x v="323"/>
    <s v=""/>
    <n v="450"/>
    <d v="2000-01-01T00:00:00"/>
    <d v="2029-12-31T00:00:00"/>
    <n v="450"/>
    <x v="0"/>
  </r>
  <r>
    <x v="324"/>
    <s v=""/>
    <n v="151.5"/>
    <d v="2000-01-01T00:00:00"/>
    <d v="2026-12-31T00:00:00"/>
    <n v="151.5"/>
    <x v="0"/>
  </r>
  <r>
    <x v="325"/>
    <s v=""/>
    <n v="240"/>
    <d v="2000-01-01T00:00:00"/>
    <d v="2029-12-31T00:00:00"/>
    <n v="240"/>
    <x v="0"/>
  </r>
  <r>
    <x v="325"/>
    <s v=""/>
    <n v="189"/>
    <d v="2000-01-01T00:00:00"/>
    <d v="2029-12-31T00:00:00"/>
    <n v="189"/>
    <x v="0"/>
  </r>
  <r>
    <x v="326"/>
    <s v=""/>
    <n v="316.8"/>
    <d v="2021-05-04T00:00:00"/>
    <d v="2022-12-31T00:00:00"/>
    <n v="316.8"/>
    <x v="1"/>
  </r>
  <r>
    <x v="326"/>
    <s v=""/>
    <n v="298.3"/>
    <d v="2023-01-01T00:00:00"/>
    <d v="2023-03-31T00:00:00"/>
    <n v="298.3"/>
    <x v="1"/>
  </r>
  <r>
    <x v="327"/>
    <s v=""/>
    <n v="425"/>
    <d v="2000-01-01T00:00:00"/>
    <d v="2029-12-31T00:00:00"/>
    <n v="425"/>
    <x v="0"/>
  </r>
  <r>
    <x v="328"/>
    <s v=""/>
    <n v="485.00000000000006"/>
    <d v="2021-01-01T00:00:00"/>
    <d v="2029-12-31T00:00:00"/>
    <n v="485.00000000000006"/>
    <x v="0"/>
  </r>
  <r>
    <x v="328"/>
    <s v=""/>
    <n v="470"/>
    <d v="2024-01-01T00:00:00"/>
    <d v="2024-12-31T00:00:00"/>
    <n v="470"/>
    <x v="1"/>
  </r>
  <r>
    <x v="328"/>
    <s v=""/>
    <n v="456"/>
    <d v="2025-01-01T00:00:00"/>
    <d v="2025-12-31T00:00:00"/>
    <n v="456"/>
    <x v="0"/>
  </r>
  <r>
    <x v="328"/>
    <s v=""/>
    <n v="442.99999999999994"/>
    <d v="2026-01-01T00:00:00"/>
    <d v="2026-12-31T00:00:00"/>
    <n v="442.99999999999994"/>
    <x v="0"/>
  </r>
  <r>
    <x v="329"/>
    <s v=""/>
    <n v="278"/>
    <d v="2000-01-01T00:00:00"/>
    <d v="2029-12-31T00:00:00"/>
    <n v="278"/>
    <x v="0"/>
  </r>
  <r>
    <x v="329"/>
    <s v=""/>
    <n v="255"/>
    <d v="2000-01-01T00:00:00"/>
    <d v="2029-12-31T00:00:00"/>
    <n v="255"/>
    <x v="0"/>
  </r>
  <r>
    <x v="330"/>
    <s v=""/>
    <n v="400"/>
    <d v="2000-01-01T00:00:00"/>
    <d v="2022-09-30T00:00:00"/>
    <n v="400"/>
    <x v="1"/>
  </r>
  <r>
    <x v="330"/>
    <s v=""/>
    <n v="419.99999999999994"/>
    <d v="2022-10-01T00:00:00"/>
    <d v="2023-03-31T00:00:00"/>
    <n v="419.99999999999994"/>
    <x v="1"/>
  </r>
  <r>
    <x v="331"/>
    <s v=""/>
    <n v="564"/>
    <d v="2023-01-01T00:00:00"/>
    <d v="2024-12-31T00:00:00"/>
    <n v="564"/>
    <x v="1"/>
  </r>
  <r>
    <x v="331"/>
    <s v=""/>
    <n v="592"/>
    <d v="2025-01-01T00:00:00"/>
    <d v="2025-12-31T00:00:00"/>
    <n v="592"/>
    <x v="0"/>
  </r>
  <r>
    <x v="332"/>
    <s v=""/>
    <n v="1520.0000000000002"/>
    <d v="2000-01-01T00:00:00"/>
    <d v="2029-12-31T00:00:00"/>
    <n v="1520.0000000000002"/>
    <x v="0"/>
  </r>
  <r>
    <x v="333"/>
    <s v=""/>
    <n v="1097"/>
    <d v="2000-01-01T00:00:00"/>
    <d v="2029-12-31T00:00:00"/>
    <n v="1097"/>
    <x v="0"/>
  </r>
  <r>
    <x v="334"/>
    <s v=""/>
    <n v="320"/>
    <d v="2000-01-01T00:00:00"/>
    <d v="2024-12-31T00:00:00"/>
    <n v="320"/>
    <x v="1"/>
  </r>
  <r>
    <x v="335"/>
    <s v=""/>
    <n v="350"/>
    <d v="2022-01-01T00:00:00"/>
    <d v="2025-01-01T00:00:00"/>
    <n v="350"/>
    <x v="1"/>
  </r>
  <r>
    <x v="336"/>
    <s v=""/>
    <n v="530"/>
    <d v="2000-01-01T00:00:00"/>
    <d v="2029-12-31T00:00:00"/>
    <n v="530"/>
    <x v="0"/>
  </r>
  <r>
    <x v="337"/>
    <s v=""/>
    <n v="364"/>
    <d v="2000-01-01T00:00:00"/>
    <d v="2029-12-31T00:00:00"/>
    <n v="364"/>
    <x v="0"/>
  </r>
  <r>
    <x v="338"/>
    <s v=""/>
    <n v="923"/>
    <d v="2000-01-01T00:00:00"/>
    <d v="2029-12-31T00:00:00"/>
    <n v="923"/>
    <x v="0"/>
  </r>
  <r>
    <x v="339"/>
    <s v=""/>
    <n v="394.99999999999994"/>
    <d v="2020-01-01T00:00:00"/>
    <d v="2024-12-31T00:00:00"/>
    <n v="394.99999999999994"/>
    <x v="1"/>
  </r>
  <r>
    <x v="339"/>
    <s v=""/>
    <n v="389.00000000000006"/>
    <d v="2025-01-01T00:00:00"/>
    <d v="2025-12-31T00:00:00"/>
    <n v="389.00000000000006"/>
    <x v="0"/>
  </r>
  <r>
    <x v="340"/>
    <s v=""/>
    <n v="345"/>
    <d v="2000-01-01T00:00:00"/>
    <d v="2024-12-31T00:00:00"/>
    <n v="345"/>
    <x v="1"/>
  </r>
  <r>
    <x v="340"/>
    <s v=""/>
    <n v="335"/>
    <d v="2025-01-01T00:00:00"/>
    <d v="2025-12-31T00:00:00"/>
    <n v="335"/>
    <x v="0"/>
  </r>
  <r>
    <x v="340"/>
    <s v=""/>
    <n v="325"/>
    <d v="2026-01-01T00:00:00"/>
    <d v="2050-12-31T00:00:00"/>
    <n v="325"/>
    <x v="0"/>
  </r>
  <r>
    <x v="341"/>
    <s v=""/>
    <n v="241.99999999999997"/>
    <d v="2023-01-01T00:00:00"/>
    <d v="2024-12-31T00:00:00"/>
    <n v="241.99999999999997"/>
    <x v="1"/>
  </r>
  <r>
    <x v="341"/>
    <s v=""/>
    <n v="238.82000000000002"/>
    <d v="2025-01-01T00:00:00"/>
    <d v="2025-12-31T00:00:00"/>
    <n v="238.82000000000002"/>
    <x v="0"/>
  </r>
  <r>
    <x v="342"/>
    <s v=""/>
    <n v="313"/>
    <d v="2000-01-01T00:00:00"/>
    <d v="2029-12-31T00:00:00"/>
    <n v="313"/>
    <x v="0"/>
  </r>
  <r>
    <x v="342"/>
    <s v=""/>
    <n v="306"/>
    <d v="2024-01-01T00:00:00"/>
    <d v="2024-12-31T00:00:00"/>
    <n v="306"/>
    <x v="1"/>
  </r>
  <r>
    <x v="342"/>
    <s v=""/>
    <n v="298"/>
    <d v="2025-01-01T00:00:00"/>
    <d v="2025-12-31T00:00:00"/>
    <n v="298"/>
    <x v="0"/>
  </r>
  <r>
    <x v="342"/>
    <s v=""/>
    <n v="292"/>
    <d v="2026-01-01T00:00:00"/>
    <d v="2026-12-31T00:00:00"/>
    <n v="292"/>
    <x v="0"/>
  </r>
  <r>
    <x v="343"/>
    <s v=""/>
    <n v="721"/>
    <d v="2000-01-01T00:00:00"/>
    <d v="2029-12-31T00:00:00"/>
    <n v="721"/>
    <x v="0"/>
  </r>
  <r>
    <x v="343"/>
    <s v=""/>
    <n v="661"/>
    <d v="2000-01-01T00:00:00"/>
    <d v="2029-12-31T00:00:00"/>
    <n v="661"/>
    <x v="0"/>
  </r>
  <r>
    <x v="344"/>
    <s v=""/>
    <n v="373"/>
    <d v="2000-01-01T00:00:00"/>
    <d v="2029-12-31T00:00:00"/>
    <n v="373"/>
    <x v="0"/>
  </r>
  <r>
    <x v="344"/>
    <s v=""/>
    <n v="290"/>
    <d v="2000-01-01T00:00:00"/>
    <d v="2029-12-31T00:00:00"/>
    <n v="290"/>
    <x v="0"/>
  </r>
  <r>
    <x v="345"/>
    <s v=""/>
    <n v="361"/>
    <d v="2000-01-01T00:00:00"/>
    <d v="2029-12-31T00:00:00"/>
    <n v="361"/>
    <x v="0"/>
  </r>
  <r>
    <x v="345"/>
    <s v=""/>
    <n v="304"/>
    <d v="2000-01-01T00:00:00"/>
    <d v="2029-12-31T00:00:00"/>
    <n v="304"/>
    <x v="0"/>
  </r>
  <r>
    <x v="346"/>
    <s v=""/>
    <n v="440"/>
    <d v="2000-01-01T00:00:00"/>
    <d v="2029-12-31T00:00:00"/>
    <n v="440"/>
    <x v="0"/>
  </r>
  <r>
    <x v="346"/>
    <s v=""/>
    <n v="380.00000000000006"/>
    <d v="2000-01-01T00:00:00"/>
    <d v="2029-12-31T00:00:00"/>
    <n v="380.00000000000006"/>
    <x v="0"/>
  </r>
  <r>
    <x v="347"/>
    <s v=""/>
    <n v="245"/>
    <d v="2000-01-01T00:00:00"/>
    <d v="2029-12-31T00:00:00"/>
    <n v="245"/>
    <x v="0"/>
  </r>
  <r>
    <x v="348"/>
    <s v=""/>
    <n v="254.00000000000003"/>
    <d v="2000-01-01T00:00:00"/>
    <d v="2029-12-31T00:00:00"/>
    <n v="254.00000000000003"/>
    <x v="0"/>
  </r>
  <r>
    <x v="349"/>
    <s v=""/>
    <n v="286"/>
    <d v="2000-01-01T00:00:00"/>
    <d v="2029-12-31T00:00:00"/>
    <n v="286"/>
    <x v="0"/>
  </r>
  <r>
    <x v="350"/>
    <s v=""/>
    <n v="426"/>
    <d v="2000-01-01T00:00:00"/>
    <d v="2029-12-31T00:00:00"/>
    <n v="426"/>
    <x v="0"/>
  </r>
  <r>
    <x v="350"/>
    <s v=""/>
    <n v="391"/>
    <d v="2000-01-01T00:00:00"/>
    <d v="2029-12-31T00:00:00"/>
    <n v="391"/>
    <x v="0"/>
  </r>
  <r>
    <x v="351"/>
    <s v=""/>
    <n v="280"/>
    <d v="2000-01-01T00:00:00"/>
    <d v="2029-12-31T00:00:00"/>
    <n v="280"/>
    <x v="0"/>
  </r>
  <r>
    <x v="351"/>
    <s v=""/>
    <n v="225"/>
    <d v="2000-01-01T00:00:00"/>
    <d v="2029-12-31T00:00:00"/>
    <n v="225"/>
    <x v="0"/>
  </r>
  <r>
    <x v="352"/>
    <s v=""/>
    <n v="2897"/>
    <d v="2000-01-01T00:00:00"/>
    <d v="2029-12-31T00:00:00"/>
    <n v="2897"/>
    <x v="0"/>
  </r>
  <r>
    <x v="353"/>
    <s v=""/>
    <n v="657"/>
    <d v="2000-01-01T00:00:00"/>
    <d v="2029-12-31T00:00:00"/>
    <n v="657"/>
    <x v="0"/>
  </r>
  <r>
    <x v="353"/>
    <s v=""/>
    <n v="583"/>
    <d v="2000-01-01T00:00:00"/>
    <d v="2029-12-31T00:00:00"/>
    <n v="583"/>
    <x v="0"/>
  </r>
  <r>
    <x v="354"/>
    <s v=""/>
    <n v="272"/>
    <d v="2022-09-30T00:00:00"/>
    <d v="2022-12-31T00:00:00"/>
    <n v="272"/>
    <x v="1"/>
  </r>
  <r>
    <x v="354"/>
    <s v=""/>
    <n v="303"/>
    <d v="2023-01-01T00:00:00"/>
    <d v="2029-12-31T00:00:00"/>
    <n v="303"/>
    <x v="0"/>
  </r>
  <r>
    <x v="354"/>
    <s v=""/>
    <n v="283"/>
    <d v="2023-01-01T00:00:00"/>
    <d v="2029-12-31T00:00:00"/>
    <n v="283"/>
    <x v="0"/>
  </r>
  <r>
    <x v="355"/>
    <s v=""/>
    <n v="579"/>
    <d v="2000-01-01T00:00:00"/>
    <d v="2029-12-31T00:00:00"/>
    <n v="579"/>
    <x v="0"/>
  </r>
  <r>
    <x v="356"/>
    <s v=""/>
    <n v="504"/>
    <d v="2000-01-01T00:00:00"/>
    <d v="2029-12-31T00:00:00"/>
    <n v="504"/>
    <x v="0"/>
  </r>
  <r>
    <x v="355"/>
    <s v=""/>
    <n v="660"/>
    <d v="2024-01-01T00:00:00"/>
    <d v="2050-01-01T00:00:00"/>
    <n v="660"/>
    <x v="0"/>
  </r>
  <r>
    <x v="356"/>
    <s v=""/>
    <n v="680"/>
    <d v="2024-01-01T00:00:00"/>
    <d v="2050-01-01T00:00:00"/>
    <n v="680"/>
    <x v="0"/>
  </r>
  <r>
    <x v="357"/>
    <s v=""/>
    <n v="603.5"/>
    <d v="2000-01-01T00:00:00"/>
    <d v="2029-12-31T00:00:00"/>
    <n v="603.5"/>
    <x v="0"/>
  </r>
  <r>
    <x v="358"/>
    <s v=""/>
    <n v="638"/>
    <d v="2000-01-01T00:00:00"/>
    <d v="2023-12-31T00:00:00"/>
    <n v="638"/>
    <x v="1"/>
  </r>
  <r>
    <x v="357"/>
    <s v=""/>
    <n v="810.00000000000011"/>
    <d v="2024-01-01T00:00:00"/>
    <d v="2050-01-01T00:00:00"/>
    <n v="810.00000000000011"/>
    <x v="0"/>
  </r>
  <r>
    <x v="359"/>
    <s v=""/>
    <n v="879"/>
    <d v="2000-01-01T00:00:00"/>
    <d v="2029-12-31T00:00:00"/>
    <n v="879"/>
    <x v="0"/>
  </r>
  <r>
    <x v="358"/>
    <s v=""/>
    <n v="641"/>
    <d v="2024-01-01T00:00:00"/>
    <d v="2050-01-01T00:00:00"/>
    <n v="641"/>
    <x v="0"/>
  </r>
  <r>
    <x v="360"/>
    <s v=""/>
    <n v="789.99999999999989"/>
    <d v="2000-01-01T00:00:00"/>
    <d v="2029-12-31T00:00:00"/>
    <n v="789.99999999999989"/>
    <x v="0"/>
  </r>
  <r>
    <x v="359"/>
    <s v=""/>
    <n v="1010"/>
    <d v="2024-01-01T00:00:00"/>
    <d v="2050-01-01T00:00:00"/>
    <n v="1010"/>
    <x v="0"/>
  </r>
  <r>
    <x v="361"/>
    <s v=""/>
    <n v="609"/>
    <d v="2000-01-01T00:00:00"/>
    <d v="2029-12-31T00:00:00"/>
    <n v="609"/>
    <x v="0"/>
  </r>
  <r>
    <x v="360"/>
    <s v=""/>
    <n v="900"/>
    <d v="2024-01-01T00:00:00"/>
    <d v="2050-01-01T00:00:00"/>
    <n v="900"/>
    <x v="0"/>
  </r>
  <r>
    <x v="362"/>
    <s v=""/>
    <n v="847"/>
    <d v="2000-01-01T00:00:00"/>
    <d v="2029-12-31T00:00:00"/>
    <n v="847"/>
    <x v="0"/>
  </r>
  <r>
    <x v="361"/>
    <s v=""/>
    <n v="710"/>
    <d v="2024-01-01T00:00:00"/>
    <d v="2050-01-01T00:00:00"/>
    <n v="710"/>
    <x v="0"/>
  </r>
  <r>
    <x v="363"/>
    <s v=""/>
    <n v="668"/>
    <d v="2000-01-01T00:00:00"/>
    <d v="2029-12-31T00:00:00"/>
    <n v="668"/>
    <x v="0"/>
  </r>
  <r>
    <x v="362"/>
    <s v=""/>
    <n v="970.00000000000011"/>
    <d v="2024-01-01T00:00:00"/>
    <d v="2050-01-01T00:00:00"/>
    <n v="970.00000000000011"/>
    <x v="0"/>
  </r>
  <r>
    <x v="364"/>
    <s v=""/>
    <n v="686"/>
    <d v="2024-10-07T00:00:00"/>
    <d v="2029-12-31T00:00:00"/>
    <n v="686"/>
    <x v="0"/>
  </r>
  <r>
    <x v="363"/>
    <s v=""/>
    <n v="760.00000000000011"/>
    <d v="2024-01-01T00:00:00"/>
    <d v="2050-01-01T00:00:00"/>
    <n v="760.00000000000011"/>
    <x v="0"/>
  </r>
  <r>
    <x v="365"/>
    <s v=""/>
    <n v="836"/>
    <d v="2000-01-01T00:00:00"/>
    <d v="2029-12-31T00:00:00"/>
    <n v="836"/>
    <x v="0"/>
  </r>
  <r>
    <x v="364"/>
    <s v=""/>
    <n v="780"/>
    <d v="2024-01-01T00:00:00"/>
    <d v="2024-10-06T00:00:00"/>
    <n v="780"/>
    <x v="1"/>
  </r>
  <r>
    <x v="366"/>
    <s v=""/>
    <n v="206.20000000000002"/>
    <d v="2000-01-01T00:00:00"/>
    <d v="2016-12-31T00:00:00"/>
    <n v="206.20000000000002"/>
    <x v="1"/>
  </r>
  <r>
    <x v="365"/>
    <s v=""/>
    <n v="1150"/>
    <d v="2024-01-01T00:00:00"/>
    <d v="2050-01-01T00:00:00"/>
    <n v="1150"/>
    <x v="0"/>
  </r>
  <r>
    <x v="366"/>
    <s v=""/>
    <n v="180"/>
    <d v="2017-01-01T00:00:00"/>
    <d v="2029-12-31T00:00:00"/>
    <n v="180"/>
    <x v="0"/>
  </r>
  <r>
    <x v="367"/>
    <s v=""/>
    <n v="155.6"/>
    <d v="2000-01-01T00:00:00"/>
    <d v="2016-12-31T00:00:00"/>
    <n v="155.6"/>
    <x v="1"/>
  </r>
  <r>
    <x v="367"/>
    <s v=""/>
    <n v="135"/>
    <d v="2017-01-01T00:00:00"/>
    <d v="2029-12-31T00:00:00"/>
    <n v="135"/>
    <x v="0"/>
  </r>
  <r>
    <x v="368"/>
    <s v="USD"/>
    <n v="400"/>
    <d v="2000-01-01T00:00:00"/>
    <d v="2029-12-31T00:00:00"/>
    <n v="352"/>
    <x v="0"/>
  </r>
  <r>
    <x v="368"/>
    <s v="USD"/>
    <n v="359"/>
    <d v="2000-01-01T00:00:00"/>
    <d v="2029-12-31T00:00:00"/>
    <n v="315.92"/>
    <x v="0"/>
  </r>
  <r>
    <x v="368"/>
    <s v=""/>
    <n v="358.59999999999997"/>
    <d v="2000-01-01T00:00:00"/>
    <d v="2016-12-31T00:00:00"/>
    <n v="358.59999999999997"/>
    <x v="1"/>
  </r>
  <r>
    <x v="368"/>
    <s v=""/>
    <n v="347"/>
    <d v="2017-01-01T00:00:00"/>
    <d v="2022-09-30T00:00:00"/>
    <n v="347"/>
    <x v="1"/>
  </r>
  <r>
    <x v="368"/>
    <s v=""/>
    <n v="364.35"/>
    <d v="2022-10-01T00:00:00"/>
    <d v="2023-03-31T00:00:00"/>
    <n v="364.35"/>
    <x v="1"/>
  </r>
  <r>
    <x v="369"/>
    <s v="USD"/>
    <n v="364"/>
    <d v="2000-01-01T00:00:00"/>
    <d v="2029-12-31T00:00:00"/>
    <n v="320.32"/>
    <x v="0"/>
  </r>
  <r>
    <x v="368"/>
    <s v=""/>
    <n v="378.67"/>
    <d v="2023-04-01T00:00:00"/>
    <d v="2024-12-31T00:00:00"/>
    <n v="378.67"/>
    <x v="1"/>
  </r>
  <r>
    <x v="369"/>
    <s v="USD"/>
    <n v="329"/>
    <d v="2000-01-01T00:00:00"/>
    <d v="2029-12-31T00:00:00"/>
    <n v="289.52"/>
    <x v="0"/>
  </r>
  <r>
    <x v="369"/>
    <s v=""/>
    <n v="275"/>
    <d v="2017-01-01T00:00:00"/>
    <d v="2019-07-11T00:00:00"/>
    <n v="275"/>
    <x v="1"/>
  </r>
  <r>
    <x v="369"/>
    <s v=""/>
    <n v="297.5"/>
    <d v="2019-07-12T00:00:00"/>
    <d v="2022-09-30T00:00:00"/>
    <n v="297.5"/>
    <x v="1"/>
  </r>
  <r>
    <x v="369"/>
    <s v=""/>
    <n v="312.38"/>
    <d v="2022-10-01T00:00:00"/>
    <d v="2024-03-12T00:00:00"/>
    <n v="312.38"/>
    <x v="1"/>
  </r>
  <r>
    <x v="370"/>
    <s v=""/>
    <n v="263.8"/>
    <d v="2019-01-17T00:00:00"/>
    <d v="2022-09-30T00:00:00"/>
    <n v="263.8"/>
    <x v="1"/>
  </r>
  <r>
    <x v="370"/>
    <s v=""/>
    <n v="276.99"/>
    <d v="2022-10-01T00:00:00"/>
    <d v="2023-03-31T00:00:00"/>
    <n v="276.99"/>
    <x v="1"/>
  </r>
  <r>
    <x v="371"/>
    <s v=""/>
    <n v="184.39000000000001"/>
    <d v="2019-01-17T00:00:00"/>
    <d v="2023-03-31T00:00:00"/>
    <n v="184.39000000000001"/>
    <x v="1"/>
  </r>
  <r>
    <x v="370"/>
    <s v=""/>
    <n v="263.8"/>
    <d v="2023-04-01T00:00:00"/>
    <d v="2023-04-30T00:00:00"/>
    <n v="263.8"/>
    <x v="1"/>
  </r>
  <r>
    <x v="372"/>
    <s v=""/>
    <n v="192"/>
    <d v="2021-01-01T00:00:00"/>
    <d v="2021-12-31T00:00:00"/>
    <n v="192"/>
    <x v="1"/>
  </r>
  <r>
    <x v="371"/>
    <s v=""/>
    <n v="184.4"/>
    <d v="2023-04-01T00:00:00"/>
    <d v="2023-04-30T00:00:00"/>
    <n v="184.4"/>
    <x v="1"/>
  </r>
  <r>
    <x v="370"/>
    <s v=""/>
    <n v="288"/>
    <d v="2023-05-01T00:00:00"/>
    <d v="2050-01-01T00:00:00"/>
    <n v="288"/>
    <x v="0"/>
  </r>
  <r>
    <x v="372"/>
    <s v=""/>
    <n v="185"/>
    <d v="2022-01-01T00:00:00"/>
    <d v="2022-09-30T00:00:00"/>
    <n v="185"/>
    <x v="1"/>
  </r>
  <r>
    <x v="371"/>
    <s v=""/>
    <n v="190.00000000000003"/>
    <d v="2023-05-01T00:00:00"/>
    <d v="2050-01-01T00:00:00"/>
    <n v="190.00000000000003"/>
    <x v="0"/>
  </r>
  <r>
    <x v="372"/>
    <s v=""/>
    <n v="194.25000000000003"/>
    <d v="2022-10-01T00:00:00"/>
    <d v="2023-03-31T00:00:00"/>
    <n v="194.25000000000003"/>
    <x v="1"/>
  </r>
  <r>
    <x v="373"/>
    <s v=""/>
    <n v="196.87"/>
    <d v="2021-01-01T00:00:00"/>
    <d v="2021-12-31T00:00:00"/>
    <n v="196.87"/>
    <x v="1"/>
  </r>
  <r>
    <x v="372"/>
    <s v=""/>
    <n v="185"/>
    <d v="2023-04-01T00:00:00"/>
    <d v="2050-01-01T00:00:00"/>
    <n v="185"/>
    <x v="0"/>
  </r>
  <r>
    <x v="373"/>
    <s v=""/>
    <n v="165.5"/>
    <d v="2021-01-01T00:00:00"/>
    <d v="2021-12-31T00:00:00"/>
    <n v="165.5"/>
    <x v="1"/>
  </r>
  <r>
    <x v="373"/>
    <s v=""/>
    <n v="193.9"/>
    <d v="2022-01-01T00:00:00"/>
    <d v="2023-03-31T00:00:00"/>
    <n v="193.9"/>
    <x v="1"/>
  </r>
  <r>
    <x v="373"/>
    <s v=""/>
    <n v="161.5"/>
    <d v="2022-01-01T00:00:00"/>
    <d v="2050-12-31T00:00:00"/>
    <n v="161.5"/>
    <x v="0"/>
  </r>
  <r>
    <x v="374"/>
    <s v=""/>
    <n v="178"/>
    <d v="2021-01-01T00:00:00"/>
    <d v="2021-12-31T00:00:00"/>
    <n v="178"/>
    <x v="1"/>
  </r>
  <r>
    <x v="374"/>
    <s v=""/>
    <n v="175"/>
    <d v="2022-01-01T00:00:00"/>
    <d v="2022-09-30T00:00:00"/>
    <n v="175"/>
    <x v="1"/>
  </r>
  <r>
    <x v="374"/>
    <s v=""/>
    <n v="183.75"/>
    <d v="2022-10-01T00:00:00"/>
    <d v="2023-03-31T00:00:00"/>
    <n v="183.75"/>
    <x v="1"/>
  </r>
  <r>
    <x v="375"/>
    <s v=""/>
    <n v="178"/>
    <d v="2021-01-01T00:00:00"/>
    <d v="2021-12-31T00:00:00"/>
    <n v="178"/>
    <x v="1"/>
  </r>
  <r>
    <x v="374"/>
    <s v=""/>
    <n v="175"/>
    <d v="2023-04-01T00:00:00"/>
    <d v="2023-04-30T00:00:00"/>
    <n v="175"/>
    <x v="1"/>
  </r>
  <r>
    <x v="373"/>
    <s v=""/>
    <n v="175"/>
    <d v="2023-04-01T00:00:00"/>
    <d v="2050-04-30T00:00:00"/>
    <n v="175"/>
    <x v="0"/>
  </r>
  <r>
    <x v="375"/>
    <s v=""/>
    <n v="173"/>
    <d v="2022-01-01T00:00:00"/>
    <d v="2022-09-30T00:00:00"/>
    <n v="173"/>
    <x v="1"/>
  </r>
  <r>
    <x v="374"/>
    <s v=""/>
    <n v="180"/>
    <d v="2023-05-01T00:00:00"/>
    <d v="2050-01-01T00:00:00"/>
    <n v="180"/>
    <x v="0"/>
  </r>
  <r>
    <x v="375"/>
    <s v=""/>
    <n v="181.65"/>
    <d v="2022-10-01T00:00:00"/>
    <d v="2023-03-31T00:00:00"/>
    <n v="181.65"/>
    <x v="1"/>
  </r>
  <r>
    <x v="376"/>
    <s v=""/>
    <n v="332"/>
    <d v="2021-01-01T00:00:00"/>
    <d v="2021-12-31T00:00:00"/>
    <n v="332"/>
    <x v="1"/>
  </r>
  <r>
    <x v="375"/>
    <s v=""/>
    <n v="173"/>
    <d v="2023-04-01T00:00:00"/>
    <d v="2050-01-01T00:00:00"/>
    <n v="173"/>
    <x v="0"/>
  </r>
  <r>
    <x v="376"/>
    <s v=""/>
    <n v="350"/>
    <d v="2022-01-01T00:00:00"/>
    <d v="2022-09-30T00:00:00"/>
    <n v="350"/>
    <x v="1"/>
  </r>
  <r>
    <x v="376"/>
    <s v=""/>
    <n v="367.5"/>
    <d v="2022-10-01T00:00:00"/>
    <d v="2023-03-31T00:00:00"/>
    <n v="367.5"/>
    <x v="1"/>
  </r>
  <r>
    <x v="377"/>
    <s v=""/>
    <n v="462"/>
    <d v="2021-01-01T00:00:00"/>
    <d v="2022-09-30T00:00:00"/>
    <n v="462"/>
    <x v="1"/>
  </r>
  <r>
    <x v="376"/>
    <s v=""/>
    <n v="350"/>
    <d v="2023-04-01T00:00:00"/>
    <d v="2023-04-30T00:00:00"/>
    <n v="350"/>
    <x v="1"/>
  </r>
  <r>
    <x v="377"/>
    <s v=""/>
    <n v="485.09999999999997"/>
    <d v="2022-10-01T00:00:00"/>
    <d v="2023-03-31T00:00:00"/>
    <n v="485.09999999999997"/>
    <x v="1"/>
  </r>
  <r>
    <x v="376"/>
    <s v=""/>
    <n v="355"/>
    <d v="2023-05-01T00:00:00"/>
    <d v="2050-05-01T00:00:00"/>
    <n v="355"/>
    <x v="0"/>
  </r>
  <r>
    <x v="378"/>
    <s v=""/>
    <n v="360"/>
    <d v="2021-01-01T00:00:00"/>
    <d v="2029-12-31T00:00:00"/>
    <n v="360"/>
    <x v="0"/>
  </r>
  <r>
    <x v="377"/>
    <s v=""/>
    <n v="462"/>
    <d v="2023-04-01T00:00:00"/>
    <d v="2023-04-30T00:00:00"/>
    <n v="462"/>
    <x v="1"/>
  </r>
  <r>
    <x v="378"/>
    <s v=""/>
    <n v="415"/>
    <d v="2017-01-01T00:00:00"/>
    <d v="2017-12-31T00:00:00"/>
    <n v="415"/>
    <x v="1"/>
  </r>
  <r>
    <x v="377"/>
    <s v=""/>
    <n v="499.99999999999994"/>
    <d v="2023-05-01T00:00:00"/>
    <d v="2027-01-01T00:00:00"/>
    <n v="499.99999999999994"/>
    <x v="0"/>
  </r>
  <r>
    <x v="378"/>
    <s v=""/>
    <n v="402.99999999999994"/>
    <d v="2018-01-01T00:00:00"/>
    <d v="2018-12-31T00:00:00"/>
    <n v="402.99999999999994"/>
    <x v="1"/>
  </r>
  <r>
    <x v="378"/>
    <s v=""/>
    <n v="382"/>
    <d v="2019-01-01T00:00:00"/>
    <d v="2019-07-11T00:00:00"/>
    <n v="382"/>
    <x v="1"/>
  </r>
  <r>
    <x v="378"/>
    <s v=""/>
    <n v="396.59999999999997"/>
    <d v="2019-07-12T00:00:00"/>
    <d v="2019-12-31T00:00:00"/>
    <n v="396.59999999999997"/>
    <x v="1"/>
  </r>
  <r>
    <x v="378"/>
    <s v=""/>
    <n v="380.00000000000006"/>
    <d v="2020-01-01T00:00:00"/>
    <d v="2023-03-31T00:00:00"/>
    <n v="380.00000000000006"/>
    <x v="1"/>
  </r>
  <r>
    <x v="379"/>
    <s v=""/>
    <n v="263"/>
    <d v="2021-01-01T00:00:00"/>
    <d v="2022-12-31T00:00:00"/>
    <n v="263"/>
    <x v="1"/>
  </r>
  <r>
    <x v="378"/>
    <s v=""/>
    <n v="355.4"/>
    <d v="2023-04-01T00:00:00"/>
    <d v="2024-12-23T00:00:00"/>
    <n v="355.4"/>
    <x v="1"/>
  </r>
  <r>
    <x v="379"/>
    <s v=""/>
    <n v="294"/>
    <d v="2000-01-01T00:00:00"/>
    <d v="2018-12-31T00:00:00"/>
    <n v="294"/>
    <x v="1"/>
  </r>
  <r>
    <x v="379"/>
    <s v=""/>
    <n v="288"/>
    <d v="2019-01-01T00:00:00"/>
    <d v="2019-12-31T00:00:00"/>
    <n v="288"/>
    <x v="1"/>
  </r>
  <r>
    <x v="379"/>
    <s v=""/>
    <n v="280"/>
    <d v="2020-01-01T00:00:00"/>
    <d v="2022-12-31T00:00:00"/>
    <n v="280"/>
    <x v="1"/>
  </r>
  <r>
    <x v="379"/>
    <s v=""/>
    <n v="276.2"/>
    <d v="2023-01-01T00:00:00"/>
    <d v="2024-12-31T00:00:00"/>
    <n v="276.2"/>
    <x v="1"/>
  </r>
  <r>
    <x v="380"/>
    <s v=""/>
    <n v="134"/>
    <d v="2000-01-01T00:00:00"/>
    <d v="2022-09-30T00:00:00"/>
    <n v="134"/>
    <x v="1"/>
  </r>
  <r>
    <x v="380"/>
    <s v=""/>
    <n v="140.70000000000002"/>
    <d v="2022-10-01T00:00:00"/>
    <d v="2023-03-31T00:00:00"/>
    <n v="140.70000000000002"/>
    <x v="1"/>
  </r>
  <r>
    <x v="381"/>
    <s v=""/>
    <n v="270.39999999999998"/>
    <d v="2021-05-19T00:00:00"/>
    <d v="2029-12-31T00:00:00"/>
    <n v="270.39999999999998"/>
    <x v="0"/>
  </r>
  <r>
    <x v="380"/>
    <s v=""/>
    <n v="134"/>
    <d v="2023-04-01T00:00:00"/>
    <d v="2050-01-01T00:00:00"/>
    <n v="134"/>
    <x v="0"/>
  </r>
  <r>
    <x v="382"/>
    <s v=""/>
    <n v="262.5"/>
    <d v="2021-05-19T00:00:00"/>
    <d v="2029-12-31T00:00:00"/>
    <n v="262.5"/>
    <x v="0"/>
  </r>
  <r>
    <x v="383"/>
    <s v=""/>
    <n v="324.8"/>
    <d v="2021-05-19T00:00:00"/>
    <d v="2029-12-31T00:00:00"/>
    <n v="324.8"/>
    <x v="0"/>
  </r>
  <r>
    <x v="384"/>
    <s v=""/>
    <n v="99.45"/>
    <d v="2000-01-01T00:00:00"/>
    <d v="2029-12-31T00:00:00"/>
    <n v="99.45"/>
    <x v="0"/>
  </r>
  <r>
    <x v="385"/>
    <s v=""/>
    <n v="195.07999999999998"/>
    <d v="2000-01-01T00:00:00"/>
    <d v="2029-12-31T00:00:00"/>
    <n v="195.07999999999998"/>
    <x v="0"/>
  </r>
  <r>
    <x v="386"/>
    <s v=""/>
    <n v="114.74999999999999"/>
    <d v="2000-01-01T00:00:00"/>
    <d v="2029-12-31T00:00:00"/>
    <n v="114.74999999999999"/>
    <x v="0"/>
  </r>
  <r>
    <x v="387"/>
    <s v=""/>
    <n v="83.73"/>
    <d v="2000-01-01T00:00:00"/>
    <d v="2021-02-02T00:00:00"/>
    <n v="83.73"/>
    <x v="1"/>
  </r>
  <r>
    <x v="387"/>
    <s v=""/>
    <n v="150"/>
    <d v="2021-02-03T00:00:00"/>
    <d v="2050-12-31T00:00:00"/>
    <n v="150"/>
    <x v="0"/>
  </r>
  <r>
    <x v="388"/>
    <s v=""/>
    <n v="204.67999999999998"/>
    <d v="2000-01-01T00:00:00"/>
    <d v="2029-12-31T00:00:00"/>
    <n v="204.67999999999998"/>
    <x v="0"/>
  </r>
  <r>
    <x v="389"/>
    <s v=""/>
    <n v="222.45000000000002"/>
    <d v="2000-01-01T00:00:00"/>
    <d v="2029-12-31T00:00:00"/>
    <n v="222.45000000000002"/>
    <x v="0"/>
  </r>
  <r>
    <x v="390"/>
    <s v=""/>
    <n v="222.70000000000002"/>
    <d v="2000-01-01T00:00:00"/>
    <d v="2022-07-11T00:00:00"/>
    <n v="222.70000000000002"/>
    <x v="1"/>
  </r>
  <r>
    <x v="390"/>
    <s v=""/>
    <n v="334.86"/>
    <d v="2022-07-12T00:00:00"/>
    <d v="2029-07-12T00:00:00"/>
    <n v="334.86"/>
    <x v="0"/>
  </r>
  <r>
    <x v="391"/>
    <s v=""/>
    <n v="181.39"/>
    <d v="2000-01-01T00:00:00"/>
    <d v="2029-12-31T00:00:00"/>
    <n v="181.39"/>
    <x v="0"/>
  </r>
  <r>
    <x v="392"/>
    <s v=""/>
    <n v="171.11"/>
    <d v="2000-01-01T00:00:00"/>
    <d v="2029-12-31T00:00:00"/>
    <n v="171.11"/>
    <x v="0"/>
  </r>
  <r>
    <x v="393"/>
    <s v=""/>
    <n v="154.01999999999998"/>
    <d v="2000-01-01T00:00:00"/>
    <d v="2029-12-31T00:00:00"/>
    <n v="154.01999999999998"/>
    <x v="0"/>
  </r>
  <r>
    <x v="394"/>
    <s v=""/>
    <n v="231.29"/>
    <d v="2000-01-01T00:00:00"/>
    <d v="2029-12-31T00:00:00"/>
    <n v="231.29"/>
    <x v="0"/>
  </r>
  <r>
    <x v="395"/>
    <s v=""/>
    <n v="72.680000000000007"/>
    <d v="2000-01-01T00:00:00"/>
    <d v="2019-01-31T00:00:00"/>
    <n v="72.680000000000007"/>
    <x v="1"/>
  </r>
  <r>
    <x v="395"/>
    <s v=""/>
    <n v="125.04"/>
    <d v="2019-02-01T00:00:00"/>
    <d v="2029-12-31T00:00:00"/>
    <n v="125.04"/>
    <x v="0"/>
  </r>
  <r>
    <x v="396"/>
    <s v=""/>
    <n v="183.77"/>
    <d v="2000-01-01T00:00:00"/>
    <d v="2029-12-31T00:00:00"/>
    <n v="183.77"/>
    <x v="0"/>
  </r>
  <r>
    <x v="397"/>
    <s v=""/>
    <n v="493.00000000000006"/>
    <d v="2000-01-01T00:00:00"/>
    <d v="2018-11-19T00:00:00"/>
    <n v="493.00000000000006"/>
    <x v="1"/>
  </r>
  <r>
    <x v="397"/>
    <s v=""/>
    <n v="402.99999999999994"/>
    <d v="2018-11-20T00:00:00"/>
    <d v="2020-12-31T00:00:00"/>
    <n v="402.99999999999994"/>
    <x v="1"/>
  </r>
  <r>
    <x v="397"/>
    <s v=""/>
    <n v="375"/>
    <d v="2021-01-01T00:00:00"/>
    <d v="2050-01-01T00:00:00"/>
    <n v="375"/>
    <x v="0"/>
  </r>
  <r>
    <x v="398"/>
    <s v=""/>
    <n v="133"/>
    <d v="2000-01-01T00:00:00"/>
    <d v="2022-07-11T00:00:00"/>
    <n v="133"/>
    <x v="1"/>
  </r>
  <r>
    <x v="398"/>
    <s v=""/>
    <n v="207.26"/>
    <d v="2022-07-12T00:00:00"/>
    <d v="2029-07-12T00:00:00"/>
    <n v="207.26"/>
    <x v="0"/>
  </r>
  <r>
    <x v="399"/>
    <s v=""/>
    <n v="175.69"/>
    <d v="2000-01-01T00:00:00"/>
    <d v="2019-07-11T00:00:00"/>
    <n v="175.69"/>
    <x v="1"/>
  </r>
  <r>
    <x v="399"/>
    <s v=""/>
    <n v="180.1"/>
    <d v="2019-07-12T00:00:00"/>
    <d v="2029-12-31T00:00:00"/>
    <n v="180.1"/>
    <x v="0"/>
  </r>
  <r>
    <x v="400"/>
    <s v=""/>
    <n v="244.38"/>
    <d v="2000-01-01T00:00:00"/>
    <d v="2029-12-31T00:00:00"/>
    <n v="244.38"/>
    <x v="0"/>
  </r>
  <r>
    <x v="401"/>
    <s v=""/>
    <n v="156.4"/>
    <d v="2000-01-01T00:00:00"/>
    <d v="2029-12-31T00:00:00"/>
    <n v="156.4"/>
    <x v="0"/>
  </r>
  <r>
    <x v="402"/>
    <s v=""/>
    <n v="72.25"/>
    <d v="2000-01-01T00:00:00"/>
    <d v="2023-06-07T00:00:00"/>
    <n v="72.25"/>
    <x v="1"/>
  </r>
  <r>
    <x v="403"/>
    <s v=""/>
    <n v="138"/>
    <d v="2000-01-01T00:00:00"/>
    <d v="2029-12-31T00:00:00"/>
    <n v="138"/>
    <x v="0"/>
  </r>
  <r>
    <x v="402"/>
    <s v=""/>
    <n v="115.00000000000001"/>
    <d v="2023-06-08T00:00:00"/>
    <d v="2050-01-01T00:00:00"/>
    <n v="115.00000000000001"/>
    <x v="0"/>
  </r>
  <r>
    <x v="404"/>
    <s v=""/>
    <n v="147.9"/>
    <d v="2000-01-01T00:00:00"/>
    <d v="2029-12-31T00:00:00"/>
    <n v="147.9"/>
    <x v="0"/>
  </r>
  <r>
    <x v="405"/>
    <s v=""/>
    <n v="1300"/>
    <d v="2000-01-01T00:00:00"/>
    <d v="2029-12-31T00:00:00"/>
    <n v="1300"/>
    <x v="0"/>
  </r>
  <r>
    <x v="406"/>
    <s v=""/>
    <n v="209.53"/>
    <d v="2000-01-01T00:00:00"/>
    <d v="2024-06-23T00:00:00"/>
    <n v="209.53"/>
    <x v="1"/>
  </r>
  <r>
    <x v="406"/>
    <s v=""/>
    <n v="127.5"/>
    <d v="2000-01-01T00:00:00"/>
    <d v="2024-06-23T00:00:00"/>
    <n v="127.5"/>
    <x v="1"/>
  </r>
  <r>
    <x v="407"/>
    <s v=""/>
    <n v="391.9"/>
    <d v="2000-01-01T00:00:00"/>
    <d v="2016-12-31T00:00:00"/>
    <n v="391.9"/>
    <x v="1"/>
  </r>
  <r>
    <x v="406"/>
    <s v=""/>
    <n v="146.62"/>
    <d v="2024-06-24T00:00:00"/>
    <d v="2030-12-31T00:00:00"/>
    <n v="146.62"/>
    <x v="0"/>
  </r>
  <r>
    <x v="407"/>
    <s v=""/>
    <n v="419.99999999999994"/>
    <d v="2017-01-01T00:00:00"/>
    <d v="2022-12-31T00:00:00"/>
    <n v="419.99999999999994"/>
    <x v="1"/>
  </r>
  <r>
    <x v="407"/>
    <s v=""/>
    <n v="391.1"/>
    <d v="2023-01-01T00:00:00"/>
    <d v="2023-03-31T00:00:00"/>
    <n v="391.1"/>
    <x v="1"/>
  </r>
  <r>
    <x v="408"/>
    <s v=""/>
    <n v="774.99999999999989"/>
    <d v="2000-01-01T00:00:00"/>
    <d v="2018-10-10T00:00:00"/>
    <n v="774.99999999999989"/>
    <x v="1"/>
  </r>
  <r>
    <x v="407"/>
    <s v=""/>
    <n v="375.3"/>
    <d v="2023-04-01T00:00:00"/>
    <d v="2025-12-31T00:00:00"/>
    <n v="375.3"/>
    <x v="0"/>
  </r>
  <r>
    <x v="408"/>
    <s v=""/>
    <n v="907.04"/>
    <d v="2018-10-11T00:00:00"/>
    <d v="2029-12-31T00:00:00"/>
    <n v="907.04"/>
    <x v="0"/>
  </r>
  <r>
    <x v="409"/>
    <s v=""/>
    <n v="1344"/>
    <d v="2000-01-01T00:00:00"/>
    <d v="2019-05-29T00:00:00"/>
    <n v="1344"/>
    <x v="1"/>
  </r>
  <r>
    <x v="409"/>
    <s v=""/>
    <n v="992.04000000000008"/>
    <d v="2000-01-01T00:00:00"/>
    <d v="2019-05-29T00:00:00"/>
    <n v="992.04000000000008"/>
    <x v="1"/>
  </r>
  <r>
    <x v="409"/>
    <s v=""/>
    <n v="1632"/>
    <d v="2019-05-30T00:00:00"/>
    <d v="2029-12-31T00:00:00"/>
    <n v="1632"/>
    <x v="0"/>
  </r>
  <r>
    <x v="410"/>
    <s v=""/>
    <n v="96.899999999999991"/>
    <d v="2000-01-01T00:00:00"/>
    <d v="2018-10-31T00:00:00"/>
    <n v="96.899999999999991"/>
    <x v="1"/>
  </r>
  <r>
    <x v="410"/>
    <s v=""/>
    <n v="153"/>
    <d v="2018-11-01T00:00:00"/>
    <d v="2029-12-31T00:00:00"/>
    <n v="153"/>
    <x v="0"/>
  </r>
  <r>
    <x v="411"/>
    <s v=""/>
    <n v="807.5"/>
    <d v="2000-01-01T00:00:00"/>
    <d v="2013-12-31T00:00:00"/>
    <n v="807.5"/>
    <x v="1"/>
  </r>
  <r>
    <x v="411"/>
    <s v=""/>
    <n v="147.9"/>
    <d v="2014-01-01T00:00:00"/>
    <d v="2029-12-31T00:00:00"/>
    <n v="147.9"/>
    <x v="0"/>
  </r>
  <r>
    <x v="412"/>
    <s v=""/>
    <n v="834"/>
    <d v="2000-01-01T00:00:00"/>
    <d v="2018-10-10T00:00:00"/>
    <n v="834"/>
    <x v="1"/>
  </r>
  <r>
    <x v="412"/>
    <s v=""/>
    <n v="656"/>
    <d v="2000-01-01T00:00:00"/>
    <d v="2018-10-10T00:00:00"/>
    <n v="656"/>
    <x v="1"/>
  </r>
  <r>
    <x v="412"/>
    <s v=""/>
    <n v="631"/>
    <d v="2000-01-01T00:00:00"/>
    <d v="2018-10-10T00:00:00"/>
    <n v="631"/>
    <x v="1"/>
  </r>
  <r>
    <x v="412"/>
    <s v=""/>
    <n v="983.03000000000009"/>
    <d v="2018-10-11T00:00:00"/>
    <d v="2029-12-31T00:00:00"/>
    <n v="983.03000000000009"/>
    <x v="0"/>
  </r>
  <r>
    <x v="413"/>
    <s v=""/>
    <n v="269.5"/>
    <d v="2000-01-01T00:00:00"/>
    <d v="2017-12-12T00:00:00"/>
    <n v="269.5"/>
    <x v="1"/>
  </r>
  <r>
    <x v="413"/>
    <s v=""/>
    <n v="450.99999999999994"/>
    <d v="2018-01-01T00:00:00"/>
    <d v="2029-12-31T00:00:00"/>
    <n v="450.99999999999994"/>
    <x v="0"/>
  </r>
  <r>
    <x v="414"/>
    <s v=""/>
    <n v="69"/>
    <d v="2000-01-01T00:00:00"/>
    <d v="2029-12-31T00:00:00"/>
    <n v="69"/>
    <x v="0"/>
  </r>
  <r>
    <x v="415"/>
    <s v=""/>
    <n v="117.3"/>
    <d v="2000-01-01T00:00:00"/>
    <d v="2022-08-24T00:00:00"/>
    <n v="117.3"/>
    <x v="1"/>
  </r>
  <r>
    <x v="415"/>
    <s v=""/>
    <n v="126.68400000000001"/>
    <d v="2022-08-25T00:00:00"/>
    <d v="2029-12-31T00:00:00"/>
    <n v="126.68400000000001"/>
    <x v="0"/>
  </r>
  <r>
    <x v="416"/>
    <s v=""/>
    <n v="339.15"/>
    <d v="2000-01-01T00:00:00"/>
    <d v="2019-05-07T00:00:00"/>
    <n v="339.15"/>
    <x v="1"/>
  </r>
  <r>
    <x v="416"/>
    <s v=""/>
    <n v="385.14"/>
    <d v="2019-05-08T00:00:00"/>
    <d v="2029-12-31T00:00:00"/>
    <n v="385.14"/>
    <x v="0"/>
  </r>
  <r>
    <x v="416"/>
    <s v=""/>
    <n v="339.15"/>
    <d v="2019-05-08T00:00:00"/>
    <d v="2029-12-31T00:00:00"/>
    <n v="339.15"/>
    <x v="0"/>
  </r>
  <r>
    <x v="417"/>
    <s v=""/>
    <n v="163.63"/>
    <d v="2000-01-01T00:00:00"/>
    <d v="2029-12-31T00:00:00"/>
    <n v="163.63"/>
    <x v="0"/>
  </r>
  <r>
    <x v="418"/>
    <s v=""/>
    <n v="818.55000000000007"/>
    <d v="2000-01-01T00:00:00"/>
    <d v="2018-11-19T00:00:00"/>
    <n v="818.55000000000007"/>
    <x v="1"/>
  </r>
  <r>
    <x v="418"/>
    <s v=""/>
    <n v="692"/>
    <d v="2018-11-20T00:00:00"/>
    <d v="2020-12-31T00:00:00"/>
    <n v="692"/>
    <x v="1"/>
  </r>
  <r>
    <x v="418"/>
    <s v=""/>
    <n v="650"/>
    <d v="2021-01-01T00:00:00"/>
    <d v="2050-01-01T00:00:00"/>
    <n v="650"/>
    <x v="0"/>
  </r>
  <r>
    <x v="419"/>
    <s v=""/>
    <n v="107.10000000000001"/>
    <d v="2000-01-01T00:00:00"/>
    <d v="2023-04-30T00:00:00"/>
    <n v="107.10000000000001"/>
    <x v="1"/>
  </r>
  <r>
    <x v="420"/>
    <s v=""/>
    <n v="137.69999999999999"/>
    <d v="2000-01-01T00:00:00"/>
    <d v="2023-04-30T00:00:00"/>
    <n v="137.69999999999999"/>
    <x v="1"/>
  </r>
  <r>
    <x v="419"/>
    <s v=""/>
    <n v="117.81"/>
    <d v="2023-05-01T00:00:00"/>
    <d v="2050-01-01T00:00:00"/>
    <n v="117.81"/>
    <x v="0"/>
  </r>
  <r>
    <x v="421"/>
    <s v=""/>
    <n v="148"/>
    <d v="2000-01-01T00:00:00"/>
    <d v="2029-12-31T00:00:00"/>
    <n v="148"/>
    <x v="0"/>
  </r>
  <r>
    <x v="420"/>
    <s v=""/>
    <n v="151.5"/>
    <d v="2023-05-01T00:00:00"/>
    <d v="2050-01-01T00:00:00"/>
    <n v="151.5"/>
    <x v="0"/>
  </r>
  <r>
    <x v="422"/>
    <s v=""/>
    <n v="859.78"/>
    <d v="2000-01-01T00:00:00"/>
    <d v="2019-05-01T00:00:00"/>
    <n v="859.78"/>
    <x v="1"/>
  </r>
  <r>
    <x v="422"/>
    <s v=""/>
    <n v="690"/>
    <d v="2019-05-02T00:00:00"/>
    <d v="2019-05-08T00:00:00"/>
    <n v="690"/>
    <x v="1"/>
  </r>
  <r>
    <x v="422"/>
    <s v=""/>
    <n v="750"/>
    <d v="2019-05-09T00:00:00"/>
    <d v="2029-12-31T00:00:00"/>
    <n v="750"/>
    <x v="0"/>
  </r>
  <r>
    <x v="423"/>
    <s v=""/>
    <n v="777.41000000000008"/>
    <d v="2000-01-01T00:00:00"/>
    <d v="2019-05-01T00:00:00"/>
    <n v="777.41000000000008"/>
    <x v="1"/>
  </r>
  <r>
    <x v="423"/>
    <s v=""/>
    <n v="540"/>
    <d v="2019-05-02T00:00:00"/>
    <d v="2019-05-08T00:00:00"/>
    <n v="540"/>
    <x v="1"/>
  </r>
  <r>
    <x v="423"/>
    <s v=""/>
    <n v="580"/>
    <d v="2019-05-09T00:00:00"/>
    <d v="2029-12-31T00:00:00"/>
    <n v="580"/>
    <x v="0"/>
  </r>
  <r>
    <x v="423"/>
    <s v=""/>
    <n v="640"/>
    <d v="2021-01-01T00:00:00"/>
    <d v="2029-12-31T00:00:00"/>
    <n v="640"/>
    <x v="0"/>
  </r>
  <r>
    <x v="424"/>
    <s v=""/>
    <n v="102"/>
    <d v="2000-01-01T00:00:00"/>
    <d v="2029-12-31T00:00:00"/>
    <n v="102"/>
    <x v="0"/>
  </r>
  <r>
    <x v="425"/>
    <s v=""/>
    <n v="396.28999999999996"/>
    <d v="2000-01-01T00:00:00"/>
    <d v="2018-11-27T00:00:00"/>
    <n v="396.28999999999996"/>
    <x v="1"/>
  </r>
  <r>
    <x v="425"/>
    <s v=""/>
    <n v="553"/>
    <d v="2018-11-28T00:00:00"/>
    <d v="2029-12-31T00:00:00"/>
    <n v="553"/>
    <x v="0"/>
  </r>
  <r>
    <x v="426"/>
    <s v=""/>
    <n v="158.1"/>
    <d v="2000-01-01T00:00:00"/>
    <d v="2029-12-31T00:00:00"/>
    <n v="158.1"/>
    <x v="0"/>
  </r>
  <r>
    <x v="427"/>
    <s v=""/>
    <n v="302"/>
    <d v="2000-01-01T00:00:00"/>
    <d v="2021-12-01T00:00:00"/>
    <n v="302"/>
    <x v="1"/>
  </r>
  <r>
    <x v="427"/>
    <s v=""/>
    <n v="217"/>
    <d v="2000-01-01T00:00:00"/>
    <d v="2021-12-01T00:00:00"/>
    <n v="217"/>
    <x v="1"/>
  </r>
  <r>
    <x v="427"/>
    <s v=""/>
    <n v="220"/>
    <d v="2021-12-02T00:00:00"/>
    <d v="2029-12-31T00:00:00"/>
    <n v="220"/>
    <x v="0"/>
  </r>
  <r>
    <x v="428"/>
    <s v=""/>
    <n v="164.86"/>
    <d v="2000-01-01T00:00:00"/>
    <d v="2020-04-26T00:00:00"/>
    <n v="164.86"/>
    <x v="1"/>
  </r>
  <r>
    <x v="428"/>
    <s v=""/>
    <n v="178"/>
    <d v="2020-04-27T00:00:00"/>
    <d v="2024-08-01T00:00:00"/>
    <n v="178"/>
    <x v="1"/>
  </r>
  <r>
    <x v="429"/>
    <s v=""/>
    <n v="175.7"/>
    <d v="2000-01-01T00:00:00"/>
    <d v="2029-12-31T00:00:00"/>
    <n v="175.7"/>
    <x v="0"/>
  </r>
  <r>
    <x v="428"/>
    <s v=""/>
    <n v="200"/>
    <d v="2024-08-02T00:00:00"/>
    <d v="2029-12-31T00:00:00"/>
    <n v="200"/>
    <x v="0"/>
  </r>
  <r>
    <x v="430"/>
    <s v=""/>
    <n v="104.58999999999999"/>
    <d v="2000-01-01T00:00:00"/>
    <d v="2019-09-09T00:00:00"/>
    <n v="104.58999999999999"/>
    <x v="1"/>
  </r>
  <r>
    <x v="430"/>
    <s v=""/>
    <n v="170"/>
    <d v="2019-09-10T00:00:00"/>
    <d v="2029-12-31T00:00:00"/>
    <n v="170"/>
    <x v="0"/>
  </r>
  <r>
    <x v="431"/>
    <s v=""/>
    <n v="131.23999999999998"/>
    <d v="2000-01-01T00:00:00"/>
    <d v="2029-12-31T00:00:00"/>
    <n v="131.23999999999998"/>
    <x v="0"/>
  </r>
  <r>
    <x v="432"/>
    <s v=""/>
    <n v="395.25"/>
    <d v="2000-01-01T00:00:00"/>
    <d v="2029-12-31T00:00:00"/>
    <n v="395.25"/>
    <x v="0"/>
  </r>
  <r>
    <x v="433"/>
    <s v=""/>
    <n v="83.53"/>
    <d v="2000-01-01T00:00:00"/>
    <d v="2018-12-31T00:00:00"/>
    <n v="83.53"/>
    <x v="1"/>
  </r>
  <r>
    <x v="433"/>
    <s v=""/>
    <n v="116"/>
    <d v="2019-01-01T00:00:00"/>
    <d v="2023-04-30T00:00:00"/>
    <n v="116"/>
    <x v="1"/>
  </r>
  <r>
    <x v="434"/>
    <s v=""/>
    <n v="124.87"/>
    <d v="2000-01-01T00:00:00"/>
    <d v="2029-12-31T00:00:00"/>
    <n v="124.87"/>
    <x v="0"/>
  </r>
  <r>
    <x v="433"/>
    <s v=""/>
    <n v="124.99999999999999"/>
    <d v="2023-05-01T00:00:00"/>
    <d v="2050-01-01T00:00:00"/>
    <n v="124.99999999999999"/>
    <x v="0"/>
  </r>
  <r>
    <x v="435"/>
    <s v=""/>
    <n v="86.7"/>
    <d v="2000-01-01T00:00:00"/>
    <d v="2029-12-31T00:00:00"/>
    <n v="86.7"/>
    <x v="0"/>
  </r>
  <r>
    <x v="433"/>
    <s v=""/>
    <n v="150"/>
    <d v="2023-05-01T00:00:00"/>
    <d v="2050-01-01T00:00:00"/>
    <n v="150"/>
    <x v="0"/>
  </r>
  <r>
    <x v="436"/>
    <s v=""/>
    <n v="210.18"/>
    <d v="2000-01-01T00:00:00"/>
    <d v="2029-12-31T00:00:00"/>
    <n v="210.18"/>
    <x v="0"/>
  </r>
  <r>
    <x v="437"/>
    <s v=""/>
    <n v="149.22999999999999"/>
    <d v="2000-01-01T00:00:00"/>
    <d v="2029-12-31T00:00:00"/>
    <n v="149.22999999999999"/>
    <x v="0"/>
  </r>
  <r>
    <x v="438"/>
    <s v=""/>
    <n v="185"/>
    <d v="2000-01-01T00:00:00"/>
    <d v="2029-12-31T00:00:00"/>
    <n v="185"/>
    <x v="0"/>
  </r>
  <r>
    <x v="439"/>
    <s v=""/>
    <n v="249.99999999999997"/>
    <d v="2000-01-01T00:00:00"/>
    <d v="2029-12-31T00:00:00"/>
    <n v="249.99999999999997"/>
    <x v="0"/>
  </r>
  <r>
    <x v="440"/>
    <s v=""/>
    <n v="161"/>
    <d v="2000-01-01T00:00:00"/>
    <d v="2029-12-31T00:00:00"/>
    <n v="161"/>
    <x v="0"/>
  </r>
  <r>
    <x v="441"/>
    <s v=""/>
    <n v="550"/>
    <d v="2000-01-01T00:00:00"/>
    <d v="2029-12-31T00:00:00"/>
    <n v="550"/>
    <x v="0"/>
  </r>
  <r>
    <x v="442"/>
    <s v=""/>
    <n v="550"/>
    <d v="2000-01-01T00:00:00"/>
    <d v="2029-12-31T00:00:00"/>
    <n v="550"/>
    <x v="0"/>
  </r>
  <r>
    <x v="443"/>
    <s v=""/>
    <n v="136"/>
    <d v="2000-01-01T00:00:00"/>
    <d v="2029-12-31T00:00:00"/>
    <n v="136"/>
    <x v="0"/>
  </r>
  <r>
    <x v="444"/>
    <s v=""/>
    <n v="129"/>
    <d v="2000-01-01T00:00:00"/>
    <d v="2022-08-24T00:00:00"/>
    <n v="129"/>
    <x v="1"/>
  </r>
  <r>
    <x v="444"/>
    <s v=""/>
    <n v="102"/>
    <d v="2000-01-01T00:00:00"/>
    <d v="2022-08-24T00:00:00"/>
    <n v="102"/>
    <x v="1"/>
  </r>
  <r>
    <x v="444"/>
    <s v=""/>
    <n v="89"/>
    <d v="2000-01-01T00:00:00"/>
    <d v="2022-08-24T00:00:00"/>
    <n v="89"/>
    <x v="1"/>
  </r>
  <r>
    <x v="444"/>
    <s v=""/>
    <n v="139.32000000000002"/>
    <d v="2022-08-25T00:00:00"/>
    <d v="2029-12-31T00:00:00"/>
    <n v="139.32000000000002"/>
    <x v="0"/>
  </r>
  <r>
    <x v="445"/>
    <s v=""/>
    <n v="111.00000000000001"/>
    <d v="2000-01-01T00:00:00"/>
    <d v="2029-12-31T00:00:00"/>
    <n v="111.00000000000001"/>
    <x v="0"/>
  </r>
  <r>
    <x v="446"/>
    <s v=""/>
    <n v="164"/>
    <d v="2000-01-01T00:00:00"/>
    <d v="2029-12-31T00:00:00"/>
    <n v="164"/>
    <x v="0"/>
  </r>
  <r>
    <x v="447"/>
    <s v=""/>
    <n v="143"/>
    <d v="2000-01-01T00:00:00"/>
    <d v="2029-12-31T00:00:00"/>
    <n v="143"/>
    <x v="0"/>
  </r>
  <r>
    <x v="448"/>
    <s v=""/>
    <n v="189"/>
    <d v="2000-01-01T00:00:00"/>
    <d v="2029-12-31T00:00:00"/>
    <n v="189"/>
    <x v="0"/>
  </r>
  <r>
    <x v="449"/>
    <s v=""/>
    <n v="333.46"/>
    <d v="2000-01-01T00:00:00"/>
    <d v="2029-12-31T00:00:00"/>
    <n v="333.46"/>
    <x v="0"/>
  </r>
  <r>
    <x v="450"/>
    <s v=""/>
    <n v="310"/>
    <d v="2000-01-01T00:00:00"/>
    <d v="2029-12-31T00:00:00"/>
    <n v="310"/>
    <x v="0"/>
  </r>
  <r>
    <x v="449"/>
    <s v=""/>
    <n v="400"/>
    <d v="2033-06-08T00:00:00"/>
    <d v="2050-01-01T00:00:00"/>
    <n v="400"/>
    <x v="0"/>
  </r>
  <r>
    <x v="451"/>
    <s v=""/>
    <n v="89"/>
    <d v="2000-01-01T00:00:00"/>
    <d v="2021-05-18T00:00:00"/>
    <n v="89"/>
    <x v="1"/>
  </r>
  <r>
    <x v="451"/>
    <s v=""/>
    <n v="120"/>
    <d v="2021-05-19T00:00:00"/>
    <d v="2029-12-31T00:00:00"/>
    <n v="120"/>
    <x v="0"/>
  </r>
  <r>
    <x v="452"/>
    <s v=""/>
    <n v="160.93"/>
    <d v="2000-01-01T00:00:00"/>
    <d v="2029-12-31T00:00:00"/>
    <n v="160.93"/>
    <x v="0"/>
  </r>
  <r>
    <x v="453"/>
    <s v=""/>
    <n v="370"/>
    <d v="2000-01-01T00:00:00"/>
    <d v="2022-08-24T00:00:00"/>
    <n v="370"/>
    <x v="1"/>
  </r>
  <r>
    <x v="453"/>
    <s v=""/>
    <n v="399.6"/>
    <d v="2022-08-25T00:00:00"/>
    <d v="2029-12-31T00:00:00"/>
    <n v="399.6"/>
    <x v="0"/>
  </r>
  <r>
    <x v="454"/>
    <s v=""/>
    <n v="267"/>
    <d v="2000-01-01T00:00:00"/>
    <d v="2021-03-09T00:00:00"/>
    <n v="267"/>
    <x v="1"/>
  </r>
  <r>
    <x v="454"/>
    <s v=""/>
    <n v="290"/>
    <d v="2021-03-09T00:00:00"/>
    <d v="2030-01-01T00:00:00"/>
    <n v="290"/>
    <x v="0"/>
  </r>
  <r>
    <x v="455"/>
    <s v=""/>
    <n v="613"/>
    <d v="2000-01-01T00:00:00"/>
    <d v="2017-12-31T00:00:00"/>
    <n v="613"/>
    <x v="1"/>
  </r>
  <r>
    <x v="455"/>
    <s v=""/>
    <n v="530"/>
    <d v="2018-01-01T00:00:00"/>
    <d v="2029-12-31T00:00:00"/>
    <n v="530"/>
    <x v="0"/>
  </r>
  <r>
    <x v="456"/>
    <s v=""/>
    <n v="225"/>
    <d v="2000-01-01T00:00:00"/>
    <d v="2029-12-31T00:00:00"/>
    <n v="225"/>
    <x v="0"/>
  </r>
  <r>
    <x v="457"/>
    <s v=""/>
    <n v="76"/>
    <d v="2000-01-01T00:00:00"/>
    <d v="2023-03-02T00:00:00"/>
    <n v="76"/>
    <x v="1"/>
  </r>
  <r>
    <x v="457"/>
    <s v=""/>
    <n v="150"/>
    <d v="2023-03-03T00:00:00"/>
    <d v="2050-02-15T00:00:00"/>
    <n v="150"/>
    <x v="0"/>
  </r>
  <r>
    <x v="458"/>
    <s v=""/>
    <n v="169"/>
    <d v="2000-01-01T00:00:00"/>
    <d v="2023-03-02T00:00:00"/>
    <n v="169"/>
    <x v="1"/>
  </r>
  <r>
    <x v="458"/>
    <s v=""/>
    <n v="200"/>
    <d v="2023-03-03T00:00:00"/>
    <d v="2050-02-12T00:00:00"/>
    <n v="200"/>
    <x v="0"/>
  </r>
  <r>
    <x v="459"/>
    <s v=""/>
    <n v="177"/>
    <d v="2000-01-01T00:00:00"/>
    <d v="2023-06-22T00:00:00"/>
    <n v="177"/>
    <x v="1"/>
  </r>
  <r>
    <x v="460"/>
    <s v=""/>
    <n v="309"/>
    <d v="2000-01-01T00:00:00"/>
    <d v="2029-12-31T00:00:00"/>
    <n v="309"/>
    <x v="0"/>
  </r>
  <r>
    <x v="459"/>
    <s v=""/>
    <n v="200"/>
    <d v="2023-06-23T00:00:00"/>
    <d v="2050-01-01T00:00:00"/>
    <n v="200"/>
    <x v="0"/>
  </r>
  <r>
    <x v="461"/>
    <s v=""/>
    <n v="164"/>
    <d v="2000-01-01T00:00:00"/>
    <d v="2029-12-31T00:00:00"/>
    <n v="164"/>
    <x v="0"/>
  </r>
  <r>
    <x v="461"/>
    <s v=""/>
    <n v="135"/>
    <d v="2000-01-01T00:00:00"/>
    <d v="2029-12-31T00:00:00"/>
    <n v="135"/>
    <x v="0"/>
  </r>
  <r>
    <x v="461"/>
    <s v=""/>
    <n v="126"/>
    <d v="2000-01-01T00:00:00"/>
    <d v="2029-12-31T00:00:00"/>
    <n v="126"/>
    <x v="0"/>
  </r>
  <r>
    <x v="462"/>
    <s v=""/>
    <n v="195"/>
    <d v="2000-01-01T00:00:00"/>
    <d v="2022-08-11T00:00:00"/>
    <n v="195"/>
    <x v="1"/>
  </r>
  <r>
    <x v="462"/>
    <s v=""/>
    <n v="309"/>
    <d v="2022-08-12T00:00:00"/>
    <d v="2029-12-31T00:00:00"/>
    <n v="309"/>
    <x v="0"/>
  </r>
  <r>
    <x v="463"/>
    <s v=""/>
    <n v="569.07999999999993"/>
    <d v="2000-01-01T00:00:00"/>
    <d v="2029-12-31T00:00:00"/>
    <n v="569.07999999999993"/>
    <x v="0"/>
  </r>
  <r>
    <x v="464"/>
    <s v=""/>
    <n v="82"/>
    <d v="2000-01-01T00:00:00"/>
    <d v="2029-12-31T00:00:00"/>
    <n v="82"/>
    <x v="0"/>
  </r>
  <r>
    <x v="464"/>
    <s v=""/>
    <n v="69"/>
    <d v="2000-01-01T00:00:00"/>
    <d v="2029-12-31T00:00:00"/>
    <n v="69"/>
    <x v="0"/>
  </r>
  <r>
    <x v="465"/>
    <s v=""/>
    <n v="314"/>
    <d v="2000-01-01T00:00:00"/>
    <d v="2018-01-31T00:00:00"/>
    <n v="314"/>
    <x v="1"/>
  </r>
  <r>
    <x v="465"/>
    <s v=""/>
    <n v="326"/>
    <d v="2019-02-01T00:00:00"/>
    <d v="2029-12-31T00:00:00"/>
    <n v="326"/>
    <x v="0"/>
  </r>
  <r>
    <x v="466"/>
    <s v=""/>
    <n v="795"/>
    <d v="2000-01-01T00:00:00"/>
    <d v="2029-12-31T00:00:00"/>
    <n v="795"/>
    <x v="0"/>
  </r>
  <r>
    <x v="467"/>
    <s v=""/>
    <n v="326"/>
    <d v="2000-01-01T00:00:00"/>
    <d v="2022-09-30T00:00:00"/>
    <n v="326"/>
    <x v="1"/>
  </r>
  <r>
    <x v="467"/>
    <s v=""/>
    <n v="342.3"/>
    <d v="2022-10-01T00:00:00"/>
    <d v="2023-03-31T00:00:00"/>
    <n v="342.3"/>
    <x v="1"/>
  </r>
  <r>
    <x v="468"/>
    <s v=""/>
    <n v="61.2"/>
    <d v="2000-01-01T00:00:00"/>
    <d v="2029-12-31T00:00:00"/>
    <n v="61.2"/>
    <x v="0"/>
  </r>
  <r>
    <x v="469"/>
    <s v=""/>
    <n v="561"/>
    <d v="2000-01-01T00:00:00"/>
    <d v="2029-12-31T00:00:00"/>
    <n v="561"/>
    <x v="0"/>
  </r>
  <r>
    <x v="470"/>
    <s v=""/>
    <n v="188"/>
    <d v="2000-01-01T00:00:00"/>
    <d v="2030-12-30T00:00:00"/>
    <n v="188"/>
    <x v="0"/>
  </r>
  <r>
    <x v="471"/>
    <s v=""/>
    <n v="217.99999999999997"/>
    <d v="2000-01-01T00:00:00"/>
    <d v="2029-12-31T00:00:00"/>
    <n v="217.99999999999997"/>
    <x v="0"/>
  </r>
  <r>
    <x v="472"/>
    <s v=""/>
    <n v="233"/>
    <d v="2000-01-01T00:00:00"/>
    <d v="2029-12-31T00:00:00"/>
    <n v="233"/>
    <x v="0"/>
  </r>
  <r>
    <x v="473"/>
    <s v=""/>
    <n v="258"/>
    <d v="2000-01-01T00:00:00"/>
    <d v="2029-12-31T00:00:00"/>
    <n v="258"/>
    <x v="0"/>
  </r>
  <r>
    <x v="474"/>
    <s v=""/>
    <n v="363"/>
    <d v="2000-01-01T00:00:00"/>
    <d v="2029-12-31T00:00:00"/>
    <n v="363"/>
    <x v="0"/>
  </r>
  <r>
    <x v="475"/>
    <s v=""/>
    <n v="367"/>
    <d v="2000-01-01T00:00:00"/>
    <d v="2029-12-31T00:00:00"/>
    <n v="367"/>
    <x v="0"/>
  </r>
  <r>
    <x v="476"/>
    <s v=""/>
    <n v="375"/>
    <d v="2000-01-01T00:00:00"/>
    <d v="2029-12-31T00:00:00"/>
    <n v="375"/>
    <x v="0"/>
  </r>
  <r>
    <x v="477"/>
    <s v=""/>
    <n v="4556"/>
    <d v="2022-11-01T00:00:00"/>
    <d v="2029-12-31T00:00:00"/>
    <n v="4556"/>
    <x v="0"/>
  </r>
  <r>
    <x v="478"/>
    <s v=""/>
    <n v="6086"/>
    <d v="2000-01-01T00:00:00"/>
    <d v="2029-12-31T00:00:00"/>
    <n v="6086"/>
    <x v="0"/>
  </r>
  <r>
    <x v="479"/>
    <s v=""/>
    <n v="142.80000000000001"/>
    <d v="2000-01-01T00:00:00"/>
    <d v="2022-08-30T00:00:00"/>
    <n v="142.80000000000001"/>
    <x v="1"/>
  </r>
  <r>
    <x v="479"/>
    <s v=""/>
    <n v="170"/>
    <d v="2022-08-31T00:00:00"/>
    <d v="2029-12-31T00:00:00"/>
    <n v="170"/>
    <x v="0"/>
  </r>
  <r>
    <x v="480"/>
    <s v=""/>
    <n v="458.99999999999994"/>
    <d v="2000-01-01T00:00:00"/>
    <d v="2029-12-31T00:00:00"/>
    <n v="458.99999999999994"/>
    <x v="0"/>
  </r>
  <r>
    <x v="481"/>
    <s v=""/>
    <n v="220"/>
    <d v="2000-01-01T00:00:00"/>
    <d v="2029-12-31T00:00:00"/>
    <n v="220"/>
    <x v="0"/>
  </r>
  <r>
    <x v="481"/>
    <s v=""/>
    <n v="187"/>
    <d v="2000-01-01T00:00:00"/>
    <d v="2029-12-31T00:00:00"/>
    <n v="187"/>
    <x v="0"/>
  </r>
  <r>
    <x v="482"/>
    <s v=""/>
    <n v="320"/>
    <d v="2000-01-01T00:00:00"/>
    <d v="2029-12-31T00:00:00"/>
    <n v="320"/>
    <x v="0"/>
  </r>
  <r>
    <x v="482"/>
    <s v=""/>
    <n v="253.29999999999998"/>
    <d v="2000-01-01T00:00:00"/>
    <d v="2029-12-31T00:00:00"/>
    <n v="253.29999999999998"/>
    <x v="0"/>
  </r>
  <r>
    <x v="483"/>
    <s v=""/>
    <n v="255"/>
    <d v="2000-01-01T00:00:00"/>
    <d v="2029-12-31T00:00:00"/>
    <n v="255"/>
    <x v="0"/>
  </r>
  <r>
    <x v="484"/>
    <s v=""/>
    <n v="2269.5"/>
    <d v="2000-01-01T00:00:00"/>
    <d v="2029-12-31T00:00:00"/>
    <n v="2269.5"/>
    <x v="0"/>
  </r>
  <r>
    <x v="485"/>
    <s v=""/>
    <n v="431.04"/>
    <d v="2000-01-01T00:00:00"/>
    <d v="2022-12-20T00:00:00"/>
    <n v="431.04"/>
    <x v="1"/>
  </r>
  <r>
    <x v="485"/>
    <s v=""/>
    <n v="474"/>
    <d v="2022-12-21T00:00:00"/>
    <d v="2029-12-31T00:00:00"/>
    <n v="474"/>
    <x v="0"/>
  </r>
  <r>
    <x v="486"/>
    <s v=""/>
    <n v="241.99999999999997"/>
    <d v="2000-01-01T00:00:00"/>
    <d v="2020-09-30T00:00:00"/>
    <n v="241.99999999999997"/>
    <x v="1"/>
  </r>
  <r>
    <x v="486"/>
    <s v=""/>
    <n v="285"/>
    <d v="2020-10-01T00:00:00"/>
    <d v="2029-12-31T00:00:00"/>
    <n v="285"/>
    <x v="0"/>
  </r>
  <r>
    <x v="487"/>
    <s v=""/>
    <n v="727.01"/>
    <d v="2000-01-01T00:00:00"/>
    <d v="2029-12-31T00:00:00"/>
    <n v="727.01"/>
    <x v="0"/>
  </r>
  <r>
    <x v="488"/>
    <s v=""/>
    <n v="496"/>
    <d v="2000-01-01T00:00:00"/>
    <d v="2029-12-31T00:00:00"/>
    <n v="496"/>
    <x v="0"/>
  </r>
  <r>
    <x v="489"/>
    <s v=""/>
    <n v="340"/>
    <d v="2000-01-01T00:00:00"/>
    <d v="2029-12-31T00:00:00"/>
    <n v="340"/>
    <x v="0"/>
  </r>
  <r>
    <x v="490"/>
    <s v=""/>
    <n v="566"/>
    <d v="2000-01-01T00:00:00"/>
    <d v="2021-12-31T00:00:00"/>
    <n v="566"/>
    <x v="1"/>
  </r>
  <r>
    <x v="490"/>
    <s v=""/>
    <n v="610"/>
    <d v="2021-01-26T00:00:00"/>
    <d v="2021-12-31T00:00:00"/>
    <n v="610"/>
    <x v="1"/>
  </r>
  <r>
    <x v="490"/>
    <s v=""/>
    <n v="2125"/>
    <d v="2022-01-01T00:00:00"/>
    <d v="2029-12-31T00:00:00"/>
    <n v="2125"/>
    <x v="0"/>
  </r>
  <r>
    <x v="491"/>
    <s v=""/>
    <n v="382.5"/>
    <d v="2000-01-01T00:00:00"/>
    <d v="2029-12-31T00:00:00"/>
    <n v="382.5"/>
    <x v="0"/>
  </r>
  <r>
    <x v="492"/>
    <s v=""/>
    <n v="723.31999999999994"/>
    <d v="2000-01-01T00:00:00"/>
    <d v="2029-12-31T00:00:00"/>
    <n v="723.31999999999994"/>
    <x v="0"/>
  </r>
  <r>
    <x v="493"/>
    <s v=""/>
    <n v="1159.57"/>
    <d v="2000-01-01T00:00:00"/>
    <d v="2029-12-31T00:00:00"/>
    <n v="1159.57"/>
    <x v="0"/>
  </r>
  <r>
    <x v="494"/>
    <s v=""/>
    <n v="969.00000000000011"/>
    <d v="2000-01-01T00:00:00"/>
    <d v="2029-12-31T00:00:00"/>
    <n v="969.00000000000011"/>
    <x v="0"/>
  </r>
  <r>
    <x v="495"/>
    <s v=""/>
    <n v="535.5"/>
    <d v="2000-01-01T00:00:00"/>
    <d v="2029-12-31T00:00:00"/>
    <n v="535.5"/>
    <x v="0"/>
  </r>
  <r>
    <x v="496"/>
    <s v=""/>
    <n v="527"/>
    <d v="2000-01-01T00:00:00"/>
    <d v="2029-12-31T00:00:00"/>
    <n v="527"/>
    <x v="0"/>
  </r>
  <r>
    <x v="497"/>
    <s v=""/>
    <n v="501.5"/>
    <d v="2000-01-01T00:00:00"/>
    <d v="2029-12-31T00:00:00"/>
    <n v="501.5"/>
    <x v="0"/>
  </r>
  <r>
    <x v="498"/>
    <s v=""/>
    <n v="705.5"/>
    <d v="2000-01-01T00:00:00"/>
    <d v="2029-12-31T00:00:00"/>
    <n v="705.5"/>
    <x v="0"/>
  </r>
  <r>
    <x v="499"/>
    <s v=""/>
    <n v="603.5"/>
    <d v="2000-01-01T00:00:00"/>
    <d v="2029-12-31T00:00:00"/>
    <n v="603.5"/>
    <x v="0"/>
  </r>
  <r>
    <x v="500"/>
    <s v=""/>
    <n v="501.5"/>
    <d v="2000-01-01T00:00:00"/>
    <d v="2029-12-31T00:00:00"/>
    <n v="501.5"/>
    <x v="0"/>
  </r>
  <r>
    <x v="501"/>
    <s v=""/>
    <n v="536.35"/>
    <d v="2000-01-01T00:00:00"/>
    <d v="2029-12-31T00:00:00"/>
    <n v="536.35"/>
    <x v="0"/>
  </r>
  <r>
    <x v="502"/>
    <s v=""/>
    <n v="3338.2000000000003"/>
    <d v="2000-01-01T00:00:00"/>
    <d v="2029-12-31T00:00:00"/>
    <n v="3338.2000000000003"/>
    <x v="0"/>
  </r>
  <r>
    <x v="503"/>
    <s v=""/>
    <n v="1010"/>
    <d v="2000-01-01T00:00:00"/>
    <d v="2029-12-31T00:00:00"/>
    <n v="1010"/>
    <x v="0"/>
  </r>
  <r>
    <x v="504"/>
    <s v=""/>
    <n v="608.4"/>
    <d v="2000-01-01T00:00:00"/>
    <d v="2016-12-31T00:00:00"/>
    <n v="608.4"/>
    <x v="1"/>
  </r>
  <r>
    <x v="504"/>
    <s v=""/>
    <n v="570"/>
    <d v="2017-01-01T00:00:00"/>
    <d v="2029-12-31T00:00:00"/>
    <n v="570"/>
    <x v="0"/>
  </r>
  <r>
    <x v="505"/>
    <s v=""/>
    <n v="917.99999999999989"/>
    <d v="2000-01-01T00:00:00"/>
    <d v="2029-12-31T00:00:00"/>
    <n v="917.99999999999989"/>
    <x v="0"/>
  </r>
  <r>
    <x v="506"/>
    <s v="USD"/>
    <n v="373"/>
    <d v="2000-01-01T00:00:00"/>
    <d v="2029-12-31T00:00:00"/>
    <n v="328.24"/>
    <x v="0"/>
  </r>
  <r>
    <x v="506"/>
    <s v=""/>
    <n v="344.2"/>
    <d v="2000-01-01T00:00:00"/>
    <d v="2019-07-11T00:00:00"/>
    <n v="344.2"/>
    <x v="1"/>
  </r>
  <r>
    <x v="506"/>
    <s v=""/>
    <n v="380.00000000000006"/>
    <d v="2019-07-12T00:00:00"/>
    <d v="2029-12-31T00:00:00"/>
    <n v="380.00000000000006"/>
    <x v="0"/>
  </r>
  <r>
    <x v="507"/>
    <s v=""/>
    <n v="3362.8399999999997"/>
    <d v="2000-01-01T00:00:00"/>
    <d v="2029-12-31T00:00:00"/>
    <n v="3362.8399999999997"/>
    <x v="0"/>
  </r>
  <r>
    <x v="508"/>
    <s v=""/>
    <n v="267.75"/>
    <d v="2000-01-01T00:00:00"/>
    <d v="2029-12-31T00:00:00"/>
    <n v="267.75"/>
    <x v="0"/>
  </r>
  <r>
    <x v="509"/>
    <s v=""/>
    <n v="1068.3699999999999"/>
    <d v="2000-01-01T00:00:00"/>
    <d v="2019-01-31T00:00:00"/>
    <n v="1068.3699999999999"/>
    <x v="1"/>
  </r>
  <r>
    <x v="509"/>
    <s v=""/>
    <n v="1036.24"/>
    <d v="2019-02-01T00:00:00"/>
    <d v="2029-12-31T00:00:00"/>
    <n v="1036.24"/>
    <x v="0"/>
  </r>
  <r>
    <x v="509"/>
    <s v=""/>
    <n v="986.55"/>
    <d v="2019-05-06T00:00:00"/>
    <d v="2029-12-31T00:00:00"/>
    <n v="986.55"/>
    <x v="0"/>
  </r>
  <r>
    <x v="510"/>
    <s v=""/>
    <n v="1641.52"/>
    <d v="2000-01-01T00:00:00"/>
    <d v="2019-01-31T00:00:00"/>
    <n v="1641.52"/>
    <x v="1"/>
  </r>
  <r>
    <x v="510"/>
    <s v=""/>
    <n v="1592.22"/>
    <d v="2019-02-01T00:00:00"/>
    <d v="2029-12-31T00:00:00"/>
    <n v="1592.22"/>
    <x v="0"/>
  </r>
  <r>
    <x v="510"/>
    <s v=""/>
    <n v="1517.3000000000002"/>
    <d v="2019-05-06T00:00:00"/>
    <d v="2029-12-31T00:00:00"/>
    <n v="1517.3000000000002"/>
    <x v="0"/>
  </r>
  <r>
    <x v="511"/>
    <s v=""/>
    <n v="726"/>
    <d v="2000-01-01T00:00:00"/>
    <d v="2016-12-31T00:00:00"/>
    <n v="726"/>
    <x v="1"/>
  </r>
  <r>
    <x v="511"/>
    <s v=""/>
    <n v="718.74"/>
    <d v="2017-01-01T00:00:00"/>
    <d v="2017-12-31T00:00:00"/>
    <n v="718.74"/>
    <x v="1"/>
  </r>
  <r>
    <x v="511"/>
    <s v=""/>
    <n v="718.69999999999993"/>
    <d v="2018-01-01T00:00:00"/>
    <d v="2018-12-31T00:00:00"/>
    <n v="718.69999999999993"/>
    <x v="1"/>
  </r>
  <r>
    <x v="511"/>
    <s v=""/>
    <n v="707.91"/>
    <d v="2019-01-17T00:00:00"/>
    <d v="2022-09-30T00:00:00"/>
    <n v="707.91"/>
    <x v="1"/>
  </r>
  <r>
    <x v="511"/>
    <s v=""/>
    <n v="743.31"/>
    <d v="2022-10-01T00:00:00"/>
    <d v="2023-03-31T00:00:00"/>
    <n v="743.31"/>
    <x v="1"/>
  </r>
  <r>
    <x v="512"/>
    <s v=""/>
    <n v="1378.6999999999998"/>
    <d v="2000-01-01T00:00:00"/>
    <d v="2029-12-31T00:00:00"/>
    <n v="1378.6999999999998"/>
    <x v="0"/>
  </r>
  <r>
    <x v="511"/>
    <s v=""/>
    <n v="707.91"/>
    <d v="2023-04-01T00:00:00"/>
    <d v="2050-01-01T00:00:00"/>
    <n v="707.91"/>
    <x v="0"/>
  </r>
  <r>
    <x v="513"/>
    <s v=""/>
    <n v="792.19999999999993"/>
    <d v="2000-01-01T00:00:00"/>
    <d v="2029-12-31T00:00:00"/>
    <n v="792.19999999999993"/>
    <x v="0"/>
  </r>
  <r>
    <x v="514"/>
    <s v=""/>
    <n v="1312"/>
    <d v="2000-01-01T00:00:00"/>
    <d v="2029-12-31T00:00:00"/>
    <n v="1312"/>
    <x v="0"/>
  </r>
  <r>
    <x v="515"/>
    <s v=""/>
    <n v="1071"/>
    <d v="2000-01-01T00:00:00"/>
    <d v="2029-12-31T00:00:00"/>
    <n v="1071"/>
    <x v="0"/>
  </r>
  <r>
    <x v="516"/>
    <s v=""/>
    <n v="1552.95"/>
    <d v="2000-01-01T00:00:00"/>
    <d v="2029-12-31T00:00:00"/>
    <n v="1552.95"/>
    <x v="0"/>
  </r>
  <r>
    <x v="517"/>
    <s v=""/>
    <n v="1657.5"/>
    <d v="2000-01-01T00:00:00"/>
    <d v="2029-12-31T00:00:00"/>
    <n v="1657.5"/>
    <x v="0"/>
  </r>
  <r>
    <x v="518"/>
    <s v=""/>
    <n v="2180"/>
    <d v="2000-01-01T00:00:00"/>
    <d v="2029-12-31T00:00:00"/>
    <n v="2180"/>
    <x v="0"/>
  </r>
  <r>
    <x v="519"/>
    <s v=""/>
    <n v="1141"/>
    <d v="2000-01-01T00:00:00"/>
    <d v="2029-12-31T00:00:00"/>
    <n v="1141"/>
    <x v="0"/>
  </r>
  <r>
    <x v="520"/>
    <s v=""/>
    <n v="1326"/>
    <d v="2000-01-01T00:00:00"/>
    <d v="2029-12-31T00:00:00"/>
    <n v="1326"/>
    <x v="0"/>
  </r>
  <r>
    <x v="521"/>
    <s v=""/>
    <n v="1014.7"/>
    <d v="2000-01-01T00:00:00"/>
    <d v="2029-12-31T00:00:00"/>
    <n v="1014.7"/>
    <x v="0"/>
  </r>
  <r>
    <x v="522"/>
    <s v=""/>
    <n v="706.35"/>
    <d v="2000-01-01T00:00:00"/>
    <d v="2029-12-31T00:00:00"/>
    <n v="706.35"/>
    <x v="0"/>
  </r>
  <r>
    <x v="523"/>
    <s v=""/>
    <n v="1153.71"/>
    <d v="2000-01-01T00:00:00"/>
    <d v="2029-12-31T00:00:00"/>
    <n v="1153.71"/>
    <x v="0"/>
  </r>
  <r>
    <x v="524"/>
    <s v=""/>
    <n v="1886.6000000000001"/>
    <d v="2000-01-01T00:00:00"/>
    <d v="2021-08-03T00:00:00"/>
    <n v="1886.6000000000001"/>
    <x v="1"/>
  </r>
  <r>
    <x v="524"/>
    <s v=""/>
    <n v="1450"/>
    <d v="2021-08-04T00:00:00"/>
    <d v="2029-12-31T00:00:00"/>
    <n v="1450"/>
    <x v="0"/>
  </r>
  <r>
    <x v="525"/>
    <s v=""/>
    <n v="283.2"/>
    <d v="2000-01-01T00:00:00"/>
    <d v="2029-12-31T00:00:00"/>
    <n v="283.2"/>
    <x v="0"/>
  </r>
  <r>
    <x v="526"/>
    <s v=""/>
    <n v="702"/>
    <d v="2000-01-01T00:00:00"/>
    <d v="2029-12-31T00:00:00"/>
    <n v="702"/>
    <x v="0"/>
  </r>
  <r>
    <x v="527"/>
    <s v="USD"/>
    <n v="819.45"/>
    <d v="2000-01-01T00:00:00"/>
    <d v="2029-12-31T00:00:00"/>
    <n v="721.1160000000001"/>
    <x v="0"/>
  </r>
  <r>
    <x v="528"/>
    <s v=""/>
    <n v="1636"/>
    <d v="2000-01-01T00:00:00"/>
    <d v="2016-06-23T00:00:00"/>
    <n v="1636"/>
    <x v="1"/>
  </r>
  <r>
    <x v="528"/>
    <s v=""/>
    <n v="1305"/>
    <d v="2016-06-24T00:00:00"/>
    <d v="2029-12-31T00:00:00"/>
    <n v="1305"/>
    <x v="0"/>
  </r>
  <r>
    <x v="528"/>
    <s v=""/>
    <n v="1240.3"/>
    <d v="2017-01-01T00:00:00"/>
    <d v="2017-12-31T00:00:00"/>
    <n v="1240.3"/>
    <x v="1"/>
  </r>
  <r>
    <x v="528"/>
    <s v=""/>
    <n v="1179"/>
    <d v="2018-01-01T00:00:00"/>
    <d v="2018-11-30T00:00:00"/>
    <n v="1179"/>
    <x v="1"/>
  </r>
  <r>
    <x v="528"/>
    <s v=""/>
    <n v="1150"/>
    <d v="2018-12-01T00:00:00"/>
    <d v="2029-12-31T00:00:00"/>
    <n v="1150"/>
    <x v="0"/>
  </r>
  <r>
    <x v="528"/>
    <s v=""/>
    <n v="1370.25"/>
    <d v="2022-10-01T00:00:00"/>
    <d v="2023-03-31T00:00:00"/>
    <n v="1370.25"/>
    <x v="1"/>
  </r>
  <r>
    <x v="529"/>
    <s v=""/>
    <n v="912"/>
    <d v="2000-01-01T00:00:00"/>
    <d v="2019-12-31T00:00:00"/>
    <n v="912"/>
    <x v="1"/>
  </r>
  <r>
    <x v="529"/>
    <s v=""/>
    <n v="893.8"/>
    <d v="2020-01-01T00:00:00"/>
    <d v="2021-12-31T00:00:00"/>
    <n v="893.8"/>
    <x v="1"/>
  </r>
  <r>
    <x v="529"/>
    <s v=""/>
    <n v="884.8"/>
    <d v="2022-01-01T00:00:00"/>
    <d v="2022-09-30T00:00:00"/>
    <n v="884.8"/>
    <x v="1"/>
  </r>
  <r>
    <x v="529"/>
    <s v=""/>
    <n v="929.04000000000008"/>
    <d v="2022-10-01T00:00:00"/>
    <d v="2023-03-31T00:00:00"/>
    <n v="929.04000000000008"/>
    <x v="1"/>
  </r>
  <r>
    <x v="530"/>
    <s v=""/>
    <n v="1121"/>
    <d v="2000-01-01T00:00:00"/>
    <d v="2029-12-31T00:00:00"/>
    <n v="1121"/>
    <x v="0"/>
  </r>
  <r>
    <x v="531"/>
    <s v=""/>
    <n v="10000"/>
    <d v="2000-01-01T00:00:00"/>
    <d v="2029-12-31T00:00:00"/>
    <n v="10000"/>
    <x v="0"/>
  </r>
  <r>
    <x v="532"/>
    <s v=""/>
    <n v="691.48"/>
    <d v="2000-01-01T00:00:00"/>
    <d v="2016-12-31T00:00:00"/>
    <n v="691.48"/>
    <x v="1"/>
  </r>
  <r>
    <x v="532"/>
    <s v=""/>
    <n v="663.82"/>
    <d v="2017-01-01T00:00:00"/>
    <d v="2017-12-31T00:00:00"/>
    <n v="663.82"/>
    <x v="1"/>
  </r>
  <r>
    <x v="532"/>
    <s v=""/>
    <n v="637.2672"/>
    <d v="2018-01-01T00:00:00"/>
    <d v="2018-12-31T00:00:00"/>
    <n v="637.2672"/>
    <x v="1"/>
  </r>
  <r>
    <x v="532"/>
    <s v=""/>
    <n v="627.70000000000005"/>
    <d v="2019-01-17T00:00:00"/>
    <d v="2029-12-31T00:00:00"/>
    <n v="627.70000000000005"/>
    <x v="0"/>
  </r>
  <r>
    <x v="533"/>
    <s v=""/>
    <n v="911"/>
    <d v="2000-01-01T00:00:00"/>
    <d v="2019-06-30T00:00:00"/>
    <n v="911"/>
    <x v="1"/>
  </r>
  <r>
    <x v="533"/>
    <s v=""/>
    <n v="965.99999999999989"/>
    <d v="2019-07-01T00:00:00"/>
    <d v="2022-09-30T00:00:00"/>
    <n v="965.99999999999989"/>
    <x v="1"/>
  </r>
  <r>
    <x v="533"/>
    <s v=""/>
    <n v="1014.3"/>
    <d v="2022-10-01T00:00:00"/>
    <d v="2023-03-31T00:00:00"/>
    <n v="1014.3"/>
    <x v="1"/>
  </r>
  <r>
    <x v="534"/>
    <s v=""/>
    <n v="149"/>
    <d v="2000-01-01T00:00:00"/>
    <d v="2021-01-31T00:00:00"/>
    <n v="149"/>
    <x v="1"/>
  </r>
  <r>
    <x v="534"/>
    <s v=""/>
    <n v="255"/>
    <d v="2020-02-01T00:00:00"/>
    <d v="2050-01-01T00:00:00"/>
    <n v="255"/>
    <x v="0"/>
  </r>
  <r>
    <x v="535"/>
    <s v=""/>
    <n v="230.00000000000003"/>
    <d v="2000-01-01T00:00:00"/>
    <d v="2023-03-02T00:00:00"/>
    <n v="230.00000000000003"/>
    <x v="1"/>
  </r>
  <r>
    <x v="535"/>
    <s v=""/>
    <n v="350"/>
    <d v="2023-03-03T00:00:00"/>
    <d v="2050-02-15T00:00:00"/>
    <n v="350"/>
    <x v="0"/>
  </r>
  <r>
    <x v="536"/>
    <s v=""/>
    <n v="310"/>
    <d v="2000-01-01T00:00:00"/>
    <d v="2022-09-30T00:00:00"/>
    <n v="310"/>
    <x v="1"/>
  </r>
  <r>
    <x v="536"/>
    <s v=""/>
    <n v="325.5"/>
    <d v="2022-10-01T00:00:00"/>
    <d v="2023-03-31T00:00:00"/>
    <n v="325.5"/>
    <x v="1"/>
  </r>
  <r>
    <x v="537"/>
    <s v=""/>
    <n v="925.2"/>
    <d v="2017-01-01T00:00:00"/>
    <d v="2017-12-31T00:00:00"/>
    <n v="925.2"/>
    <x v="1"/>
  </r>
  <r>
    <x v="537"/>
    <s v=""/>
    <n v="915.9"/>
    <d v="2018-01-01T00:00:00"/>
    <d v="2018-12-31T00:00:00"/>
    <n v="915.9"/>
    <x v="1"/>
  </r>
  <r>
    <x v="537"/>
    <s v=""/>
    <n v="884"/>
    <d v="2019-01-01T00:00:00"/>
    <d v="2019-12-31T00:00:00"/>
    <n v="884"/>
    <x v="1"/>
  </r>
  <r>
    <x v="537"/>
    <s v=""/>
    <n v="880"/>
    <d v="2020-01-01T00:00:00"/>
    <d v="2020-12-31T00:00:00"/>
    <n v="880"/>
    <x v="1"/>
  </r>
  <r>
    <x v="537"/>
    <s v=""/>
    <n v="865"/>
    <d v="2021-01-01T00:00:00"/>
    <d v="2022-09-30T00:00:00"/>
    <n v="865"/>
    <x v="1"/>
  </r>
  <r>
    <x v="537"/>
    <s v=""/>
    <n v="908.25000000000011"/>
    <d v="2022-10-01T00:00:00"/>
    <d v="2023-03-31T00:00:00"/>
    <n v="908.25000000000011"/>
    <x v="1"/>
  </r>
  <r>
    <x v="538"/>
    <s v=""/>
    <n v="565"/>
    <d v="2000-01-01T00:00:00"/>
    <d v="2017-12-31T00:00:00"/>
    <n v="565"/>
    <x v="1"/>
  </r>
  <r>
    <x v="538"/>
    <s v=""/>
    <n v="542.4"/>
    <d v="2018-01-01T00:00:00"/>
    <d v="2018-12-31T00:00:00"/>
    <n v="542.4"/>
    <x v="1"/>
  </r>
  <r>
    <x v="538"/>
    <s v=""/>
    <n v="531.54999999999995"/>
    <d v="2019-01-01T00:00:00"/>
    <d v="2019-07-11T00:00:00"/>
    <n v="531.54999999999995"/>
    <x v="1"/>
  </r>
  <r>
    <x v="538"/>
    <s v=""/>
    <n v="621.59999999999991"/>
    <d v="2019-07-12T00:00:00"/>
    <d v="2029-12-31T00:00:00"/>
    <n v="621.59999999999991"/>
    <x v="0"/>
  </r>
  <r>
    <x v="539"/>
    <s v=""/>
    <n v="1801"/>
    <d v="2000-01-01T00:00:00"/>
    <d v="2029-12-31T00:00:00"/>
    <n v="1801"/>
    <x v="0"/>
  </r>
  <r>
    <x v="540"/>
    <s v=""/>
    <n v="1079"/>
    <d v="2000-01-01T00:00:00"/>
    <d v="2029-12-31T00:00:00"/>
    <n v="1079"/>
    <x v="0"/>
  </r>
  <r>
    <x v="541"/>
    <s v=""/>
    <n v="1500"/>
    <d v="2000-01-01T00:00:00"/>
    <d v="2022-08-24T00:00:00"/>
    <n v="1500"/>
    <x v="1"/>
  </r>
  <r>
    <x v="541"/>
    <s v=""/>
    <n v="1620.0000000000002"/>
    <d v="2022-08-25T00:00:00"/>
    <d v="2029-12-31T00:00:00"/>
    <n v="1620.0000000000002"/>
    <x v="0"/>
  </r>
  <r>
    <x v="542"/>
    <s v=""/>
    <n v="843"/>
    <d v="2000-01-01T00:00:00"/>
    <d v="2029-12-31T00:00:00"/>
    <n v="843"/>
    <x v="0"/>
  </r>
  <r>
    <x v="543"/>
    <s v=""/>
    <n v="4731"/>
    <d v="2000-01-01T00:00:00"/>
    <d v="2029-12-31T00:00:00"/>
    <n v="4731"/>
    <x v="0"/>
  </r>
  <r>
    <x v="544"/>
    <s v=""/>
    <n v="1400"/>
    <d v="2000-01-01T00:00:00"/>
    <d v="2029-12-31T00:00:00"/>
    <n v="1400"/>
    <x v="0"/>
  </r>
  <r>
    <x v="544"/>
    <s v=""/>
    <n v="1300"/>
    <d v="2000-01-01T00:00:00"/>
    <d v="2029-12-31T00:00:00"/>
    <n v="1300"/>
    <x v="0"/>
  </r>
  <r>
    <x v="544"/>
    <s v=""/>
    <n v="1058"/>
    <d v="2000-01-01T00:00:00"/>
    <d v="2029-12-31T00:00:00"/>
    <n v="1058"/>
    <x v="0"/>
  </r>
  <r>
    <x v="545"/>
    <s v=""/>
    <n v="1852"/>
    <d v="2000-01-01T00:00:00"/>
    <d v="2018-11-30T00:00:00"/>
    <n v="1852"/>
    <x v="1"/>
  </r>
  <r>
    <x v="545"/>
    <s v=""/>
    <n v="1815"/>
    <d v="2018-12-01T00:00:00"/>
    <d v="2029-12-31T00:00:00"/>
    <n v="1815"/>
    <x v="0"/>
  </r>
  <r>
    <x v="39"/>
    <s v=""/>
    <n v="1895"/>
    <d v="2022-09-20T00:00:00"/>
    <d v="2022-09-30T00:00:00"/>
    <n v="1895"/>
    <x v="1"/>
  </r>
  <r>
    <x v="39"/>
    <s v=""/>
    <n v="1989.0000000000002"/>
    <d v="2022-10-01T00:00:00"/>
    <d v="2023-02-14T00:00:00"/>
    <n v="1989.0000000000002"/>
    <x v="1"/>
  </r>
  <r>
    <x v="39"/>
    <s v=""/>
    <n v="1999.9999999999998"/>
    <d v="2023-02-15T00:00:00"/>
    <d v="2024-04-30T00:00:00"/>
    <n v="1999.9999999999998"/>
    <x v="1"/>
  </r>
  <r>
    <x v="546"/>
    <s v=""/>
    <n v="1472"/>
    <d v="2000-01-01T00:00:00"/>
    <d v="2023-02-14T00:00:00"/>
    <n v="1472"/>
    <x v="1"/>
  </r>
  <r>
    <x v="546"/>
    <s v=""/>
    <n v="1600"/>
    <d v="2023-02-15T00:00:00"/>
    <d v="2023-03-31T00:00:00"/>
    <n v="1600"/>
    <x v="1"/>
  </r>
  <r>
    <x v="547"/>
    <s v=""/>
    <n v="1229"/>
    <d v="2000-01-01T00:00:00"/>
    <d v="2029-12-31T00:00:00"/>
    <n v="1229"/>
    <x v="0"/>
  </r>
  <r>
    <x v="548"/>
    <s v=""/>
    <n v="1890"/>
    <d v="2020-01-01T00:00:00"/>
    <d v="2040-12-31T00:00:00"/>
    <n v="1890"/>
    <x v="0"/>
  </r>
  <r>
    <x v="549"/>
    <s v=""/>
    <n v="1690.9999999999998"/>
    <d v="2000-01-01T00:00:00"/>
    <d v="2029-12-31T00:00:00"/>
    <n v="1690.9999999999998"/>
    <x v="0"/>
  </r>
  <r>
    <x v="550"/>
    <s v=""/>
    <n v="1100"/>
    <d v="2000-01-01T00:00:00"/>
    <d v="2029-12-31T00:00:00"/>
    <n v="1100"/>
    <x v="0"/>
  </r>
  <r>
    <x v="550"/>
    <s v=""/>
    <n v="1155"/>
    <d v="2018-01-01T00:00:00"/>
    <d v="2050-01-01T00:00:00"/>
    <n v="1155"/>
    <x v="0"/>
  </r>
  <r>
    <x v="550"/>
    <s v=""/>
    <n v="1100"/>
    <d v="2018-01-01T00:00:00"/>
    <d v="2050-01-01T00:00:00"/>
    <n v="1100"/>
    <x v="0"/>
  </r>
  <r>
    <x v="551"/>
    <s v=""/>
    <n v="999.99999999999989"/>
    <d v="2000-01-01T00:00:00"/>
    <d v="2029-12-31T00:00:00"/>
    <n v="999.99999999999989"/>
    <x v="0"/>
  </r>
  <r>
    <x v="551"/>
    <s v=""/>
    <n v="956"/>
    <d v="2019-11-07T00:00:00"/>
    <d v="2020-01-21T00:00:00"/>
    <n v="956"/>
    <x v="1"/>
  </r>
  <r>
    <x v="551"/>
    <s v=""/>
    <n v="1062.5"/>
    <d v="2020-01-22T00:00:00"/>
    <d v="2029-12-31T00:00:00"/>
    <n v="1062.5"/>
    <x v="0"/>
  </r>
  <r>
    <x v="552"/>
    <s v=""/>
    <n v="1308"/>
    <d v="2000-01-01T00:00:00"/>
    <d v="2029-12-31T00:00:00"/>
    <n v="1308"/>
    <x v="0"/>
  </r>
  <r>
    <x v="553"/>
    <s v=""/>
    <n v="980"/>
    <d v="2000-01-01T00:00:00"/>
    <d v="2029-12-31T00:00:00"/>
    <n v="980"/>
    <x v="0"/>
  </r>
  <r>
    <x v="553"/>
    <s v=""/>
    <n v="693"/>
    <d v="2000-01-01T00:00:00"/>
    <d v="2029-12-31T00:00:00"/>
    <n v="693"/>
    <x v="0"/>
  </r>
  <r>
    <x v="554"/>
    <s v=""/>
    <n v="1279"/>
    <d v="2000-01-01T00:00:00"/>
    <d v="2029-12-31T00:00:00"/>
    <n v="1279"/>
    <x v="0"/>
  </r>
  <r>
    <x v="554"/>
    <s v=""/>
    <n v="941"/>
    <d v="2000-01-01T00:00:00"/>
    <d v="2029-12-31T00:00:00"/>
    <n v="941"/>
    <x v="0"/>
  </r>
  <r>
    <x v="555"/>
    <s v=""/>
    <n v="850"/>
    <d v="2019-09-06T00:00:00"/>
    <d v="2019-09-06T00:00:00"/>
    <n v="850"/>
    <x v="1"/>
  </r>
  <r>
    <x v="555"/>
    <s v=""/>
    <n v="779"/>
    <d v="2019-09-07T00:00:00"/>
    <d v="2023-06-01T00:00:00"/>
    <n v="779"/>
    <x v="1"/>
  </r>
  <r>
    <x v="556"/>
    <s v=""/>
    <n v="1578"/>
    <d v="2000-01-01T00:00:00"/>
    <d v="2029-12-31T00:00:00"/>
    <n v="1578"/>
    <x v="0"/>
  </r>
  <r>
    <x v="557"/>
    <s v=""/>
    <n v="299"/>
    <d v="2000-01-01T00:00:00"/>
    <d v="2019-01-31T00:00:00"/>
    <n v="299"/>
    <x v="1"/>
  </r>
  <r>
    <x v="557"/>
    <s v=""/>
    <n v="327"/>
    <d v="2019-02-01T00:00:00"/>
    <d v="2019-06-30T00:00:00"/>
    <n v="327"/>
    <x v="1"/>
  </r>
  <r>
    <x v="557"/>
    <s v=""/>
    <n v="347"/>
    <d v="2019-07-01T00:00:00"/>
    <d v="2026-12-31T00:00:00"/>
    <n v="347"/>
    <x v="0"/>
  </r>
  <r>
    <x v="558"/>
    <s v=""/>
    <n v="267"/>
    <d v="2000-01-01T00:00:00"/>
    <d v="2019-06-30T00:00:00"/>
    <n v="267"/>
    <x v="1"/>
  </r>
  <r>
    <x v="558"/>
    <s v=""/>
    <n v="283"/>
    <d v="2019-07-01T00:00:00"/>
    <d v="2029-12-31T00:00:00"/>
    <n v="283"/>
    <x v="0"/>
  </r>
  <r>
    <x v="559"/>
    <s v=""/>
    <n v="373"/>
    <d v="2000-01-01T00:00:00"/>
    <d v="2019-06-30T00:00:00"/>
    <n v="373"/>
    <x v="1"/>
  </r>
  <r>
    <x v="559"/>
    <s v=""/>
    <n v="394.99999999999994"/>
    <d v="2019-07-01T00:00:00"/>
    <d v="2029-12-31T00:00:00"/>
    <n v="394.99999999999994"/>
    <x v="0"/>
  </r>
  <r>
    <x v="560"/>
    <s v=""/>
    <n v="624"/>
    <d v="2019-03-01T00:00:00"/>
    <d v="2019-12-31T00:00:00"/>
    <n v="624"/>
    <x v="1"/>
  </r>
  <r>
    <x v="560"/>
    <s v=""/>
    <n v="613"/>
    <d v="2020-01-01T00:00:00"/>
    <d v="2021-01-24T00:00:00"/>
    <n v="613"/>
    <x v="1"/>
  </r>
  <r>
    <x v="560"/>
    <s v=""/>
    <n v="740"/>
    <d v="2021-01-25T00:00:00"/>
    <d v="2029-12-31T00:00:00"/>
    <n v="740"/>
    <x v="0"/>
  </r>
  <r>
    <x v="560"/>
    <s v=""/>
    <n v="777.00000000000011"/>
    <d v="2022-10-01T00:00:00"/>
    <d v="2023-03-31T00:00:00"/>
    <n v="777.00000000000011"/>
    <x v="1"/>
  </r>
  <r>
    <x v="561"/>
    <s v=""/>
    <n v="528"/>
    <d v="2019-03-01T00:00:00"/>
    <d v="2019-12-31T00:00:00"/>
    <n v="528"/>
    <x v="1"/>
  </r>
  <r>
    <x v="561"/>
    <s v=""/>
    <n v="518"/>
    <d v="2020-01-01T00:00:00"/>
    <d v="2020-11-30T00:00:00"/>
    <n v="518"/>
    <x v="1"/>
  </r>
  <r>
    <x v="561"/>
    <s v=""/>
    <n v="503"/>
    <d v="2020-12-01T00:00:00"/>
    <d v="2021-12-31T00:00:00"/>
    <n v="503"/>
    <x v="1"/>
  </r>
  <r>
    <x v="561"/>
    <s v=""/>
    <n v="503"/>
    <d v="2022-01-01T00:00:00"/>
    <d v="2024-12-31T00:00:00"/>
    <n v="503"/>
    <x v="1"/>
  </r>
  <r>
    <x v="562"/>
    <s v=""/>
    <n v="1150"/>
    <d v="2000-01-01T00:00:00"/>
    <d v="2029-12-31T00:00:00"/>
    <n v="1150"/>
    <x v="0"/>
  </r>
  <r>
    <x v="561"/>
    <s v=""/>
    <n v="497.97"/>
    <d v="2025-01-01T00:00:00"/>
    <d v="2025-12-31T00:00:00"/>
    <n v="497.97"/>
    <x v="0"/>
  </r>
  <r>
    <x v="562"/>
    <s v=""/>
    <n v="1020"/>
    <d v="2000-01-01T00:00:00"/>
    <d v="2029-12-31T00:00:00"/>
    <n v="1020"/>
    <x v="0"/>
  </r>
  <r>
    <x v="563"/>
    <s v=""/>
    <n v="1436"/>
    <d v="2000-01-01T00:00:00"/>
    <d v="2022-09-30T00:00:00"/>
    <n v="1436"/>
    <x v="1"/>
  </r>
  <r>
    <x v="563"/>
    <s v=""/>
    <n v="1507.8"/>
    <d v="2022-10-01T00:00:00"/>
    <d v="2023-03-31T00:00:00"/>
    <n v="1507.8"/>
    <x v="1"/>
  </r>
  <r>
    <x v="564"/>
    <s v=""/>
    <n v="826.19999999999993"/>
    <d v="2000-01-01T00:00:00"/>
    <d v="2022-09-30T00:00:00"/>
    <n v="826.19999999999993"/>
    <x v="1"/>
  </r>
  <r>
    <x v="564"/>
    <s v=""/>
    <n v="867.51"/>
    <d v="2022-10-01T00:00:00"/>
    <d v="2023-03-31T00:00:00"/>
    <n v="867.51"/>
    <x v="1"/>
  </r>
  <r>
    <x v="565"/>
    <s v=""/>
    <n v="760.00000000000011"/>
    <d v="2000-01-01T00:00:00"/>
    <d v="2029-12-31T00:00:00"/>
    <n v="760.00000000000011"/>
    <x v="0"/>
  </r>
  <r>
    <x v="566"/>
    <s v=""/>
    <n v="747"/>
    <d v="2000-01-01T00:00:00"/>
    <d v="2029-12-31T00:00:00"/>
    <n v="747"/>
    <x v="0"/>
  </r>
  <r>
    <x v="567"/>
    <s v=""/>
    <n v="670"/>
    <d v="2000-01-01T00:00:00"/>
    <d v="2021-11-21T00:00:00"/>
    <n v="670"/>
    <x v="1"/>
  </r>
  <r>
    <x v="567"/>
    <s v=""/>
    <n v="690"/>
    <d v="2021-11-22T00:00:00"/>
    <d v="2029-12-31T00:00:00"/>
    <n v="690"/>
    <x v="0"/>
  </r>
  <r>
    <x v="568"/>
    <s v=""/>
    <n v="1899.9999999999998"/>
    <d v="2000-01-01T00:00:00"/>
    <d v="2026-12-31T00:00:00"/>
    <n v="1899.9999999999998"/>
    <x v="0"/>
  </r>
  <r>
    <x v="569"/>
    <s v=""/>
    <n v="625"/>
    <d v="2020-01-01T00:00:00"/>
    <d v="2020-11-30T00:00:00"/>
    <n v="625"/>
    <x v="1"/>
  </r>
  <r>
    <x v="569"/>
    <s v=""/>
    <n v="615"/>
    <d v="2020-12-01T00:00:00"/>
    <d v="2020-12-31T00:00:00"/>
    <n v="615"/>
    <x v="1"/>
  </r>
  <r>
    <x v="569"/>
    <s v=""/>
    <n v="605"/>
    <d v="2021-01-01T00:00:00"/>
    <d v="2029-12-31T00:00:00"/>
    <n v="605"/>
    <x v="0"/>
  </r>
  <r>
    <x v="570"/>
    <s v=""/>
    <n v="1560"/>
    <d v="2000-01-01T00:00:00"/>
    <d v="2029-12-31T00:00:00"/>
    <n v="1560"/>
    <x v="0"/>
  </r>
  <r>
    <x v="571"/>
    <s v=""/>
    <n v="894"/>
    <d v="2000-01-01T00:00:00"/>
    <d v="2030-12-31T00:00:00"/>
    <n v="894"/>
    <x v="0"/>
  </r>
  <r>
    <x v="572"/>
    <s v=""/>
    <n v="715"/>
    <d v="2000-01-01T00:00:00"/>
    <d v="2029-12-31T00:00:00"/>
    <n v="715"/>
    <x v="0"/>
  </r>
  <r>
    <x v="573"/>
    <s v=""/>
    <n v="880"/>
    <d v="2000-01-01T00:00:00"/>
    <d v="2020-12-31T00:00:00"/>
    <n v="880"/>
    <x v="1"/>
  </r>
  <r>
    <x v="573"/>
    <s v=""/>
    <n v="853.99999999999989"/>
    <d v="2021-01-01T00:00:00"/>
    <d v="2021-12-31T00:00:00"/>
    <n v="853.99999999999989"/>
    <x v="1"/>
  </r>
  <r>
    <x v="574"/>
    <s v=""/>
    <n v="534"/>
    <d v="2000-01-01T00:00:00"/>
    <d v="2029-12-31T00:00:00"/>
    <n v="534"/>
    <x v="0"/>
  </r>
  <r>
    <x v="574"/>
    <s v=""/>
    <n v="464"/>
    <d v="2000-01-01T00:00:00"/>
    <d v="2029-12-31T00:00:00"/>
    <n v="464"/>
    <x v="0"/>
  </r>
  <r>
    <x v="575"/>
    <s v=""/>
    <n v="1448"/>
    <d v="2000-01-01T00:00:00"/>
    <d v="2029-12-31T00:00:00"/>
    <n v="1448"/>
    <x v="0"/>
  </r>
  <r>
    <x v="576"/>
    <s v=""/>
    <n v="1536"/>
    <d v="2000-01-01T00:00:00"/>
    <d v="2029-12-31T00:00:00"/>
    <n v="1536"/>
    <x v="0"/>
  </r>
  <r>
    <x v="577"/>
    <s v=""/>
    <n v="1862"/>
    <d v="2000-01-01T00:00:00"/>
    <d v="2022-09-30T00:00:00"/>
    <n v="1862"/>
    <x v="1"/>
  </r>
  <r>
    <x v="577"/>
    <s v=""/>
    <n v="1955.1000000000001"/>
    <d v="2022-10-01T00:00:00"/>
    <d v="2023-03-31T00:00:00"/>
    <n v="1955.1000000000001"/>
    <x v="1"/>
  </r>
  <r>
    <x v="578"/>
    <s v=""/>
    <n v="1466"/>
    <d v="2000-01-01T00:00:00"/>
    <d v="2029-12-31T00:00:00"/>
    <n v="1466"/>
    <x v="0"/>
  </r>
  <r>
    <x v="579"/>
    <s v=""/>
    <n v="1621"/>
    <d v="2000-01-01T00:00:00"/>
    <d v="2029-12-31T00:00:00"/>
    <n v="1621"/>
    <x v="0"/>
  </r>
  <r>
    <x v="580"/>
    <s v=""/>
    <n v="1264"/>
    <d v="2000-01-01T00:00:00"/>
    <d v="2029-12-31T00:00:00"/>
    <n v="1264"/>
    <x v="0"/>
  </r>
  <r>
    <x v="580"/>
    <s v=""/>
    <n v="1168"/>
    <d v="2000-01-01T00:00:00"/>
    <d v="2029-12-31T00:00:00"/>
    <n v="1168"/>
    <x v="0"/>
  </r>
  <r>
    <x v="581"/>
    <s v=""/>
    <n v="384"/>
    <d v="2000-01-01T00:00:00"/>
    <d v="2022-09-30T00:00:00"/>
    <n v="384"/>
    <x v="1"/>
  </r>
  <r>
    <x v="581"/>
    <s v=""/>
    <n v="403.2"/>
    <d v="2022-10-01T00:00:00"/>
    <d v="2023-03-31T00:00:00"/>
    <n v="403.2"/>
    <x v="1"/>
  </r>
  <r>
    <x v="582"/>
    <s v=""/>
    <n v="365"/>
    <d v="2000-01-01T00:00:00"/>
    <d v="2022-09-30T00:00:00"/>
    <n v="365"/>
    <x v="1"/>
  </r>
  <r>
    <x v="582"/>
    <s v=""/>
    <n v="383.24999999999994"/>
    <d v="2022-10-01T00:00:00"/>
    <d v="2023-03-31T00:00:00"/>
    <n v="383.24999999999994"/>
    <x v="1"/>
  </r>
  <r>
    <x v="583"/>
    <s v=""/>
    <n v="1326"/>
    <d v="2000-01-01T00:00:00"/>
    <d v="2029-12-31T00:00:00"/>
    <n v="1326"/>
    <x v="0"/>
  </r>
  <r>
    <x v="583"/>
    <s v=""/>
    <n v="1261"/>
    <d v="2000-01-01T00:00:00"/>
    <d v="2029-12-31T00:00:00"/>
    <n v="1261"/>
    <x v="0"/>
  </r>
  <r>
    <x v="584"/>
    <s v=""/>
    <n v="1456"/>
    <d v="2000-01-01T00:00:00"/>
    <d v="2029-12-31T00:00:00"/>
    <n v="1456"/>
    <x v="0"/>
  </r>
  <r>
    <x v="584"/>
    <s v=""/>
    <n v="1394"/>
    <d v="2000-01-01T00:00:00"/>
    <d v="2029-12-31T00:00:00"/>
    <n v="1394"/>
    <x v="0"/>
  </r>
  <r>
    <x v="585"/>
    <s v=""/>
    <n v="1817"/>
    <d v="2000-01-01T00:00:00"/>
    <d v="2029-12-31T00:00:00"/>
    <n v="1817"/>
    <x v="0"/>
  </r>
  <r>
    <x v="585"/>
    <s v=""/>
    <n v="1760"/>
    <d v="2000-01-01T00:00:00"/>
    <d v="2029-12-31T00:00:00"/>
    <n v="1760"/>
    <x v="0"/>
  </r>
  <r>
    <x v="586"/>
    <s v=""/>
    <n v="1221"/>
    <d v="2000-01-01T00:00:00"/>
    <d v="2029-12-31T00:00:00"/>
    <n v="1221"/>
    <x v="0"/>
  </r>
  <r>
    <x v="586"/>
    <s v=""/>
    <n v="1171"/>
    <d v="2000-01-01T00:00:00"/>
    <d v="2029-12-31T00:00:00"/>
    <n v="1171"/>
    <x v="0"/>
  </r>
  <r>
    <x v="587"/>
    <s v=""/>
    <n v="1237"/>
    <d v="2000-01-01T00:00:00"/>
    <d v="2029-12-31T00:00:00"/>
    <n v="1237"/>
    <x v="0"/>
  </r>
  <r>
    <x v="587"/>
    <s v=""/>
    <n v="1180"/>
    <d v="2000-01-01T00:00:00"/>
    <d v="2029-12-31T00:00:00"/>
    <n v="1180"/>
    <x v="0"/>
  </r>
  <r>
    <x v="588"/>
    <s v=""/>
    <n v="1545.3000000000002"/>
    <d v="2022-01-01T00:00:00"/>
    <d v="2022-09-30T00:00:00"/>
    <n v="1545.3000000000002"/>
    <x v="1"/>
  </r>
  <r>
    <x v="588"/>
    <s v=""/>
    <n v="1669.2"/>
    <d v="2022-10-01T00:00:00"/>
    <d v="2022-12-31T00:00:00"/>
    <n v="1669.2"/>
    <x v="1"/>
  </r>
  <r>
    <x v="588"/>
    <s v=""/>
    <n v="1652.4999999999998"/>
    <d v="2023-01-01T00:00:00"/>
    <d v="2023-03-31T00:00:00"/>
    <n v="1652.4999999999998"/>
    <x v="1"/>
  </r>
  <r>
    <x v="589"/>
    <s v=""/>
    <n v="1074.8999999999999"/>
    <d v="2000-01-01T00:00:00"/>
    <d v="2022-05-10T00:00:00"/>
    <n v="1074.8999999999999"/>
    <x v="1"/>
  </r>
  <r>
    <x v="588"/>
    <s v=""/>
    <n v="1536.8000000000002"/>
    <d v="2023-04-01T00:00:00"/>
    <d v="2024-12-31T00:00:00"/>
    <n v="1536.8000000000002"/>
    <x v="1"/>
  </r>
  <r>
    <x v="589"/>
    <s v=""/>
    <n v="1116"/>
    <d v="2022-07-25T00:00:00"/>
    <d v="2022-09-30T00:00:00"/>
    <n v="1116"/>
    <x v="1"/>
  </r>
  <r>
    <x v="589"/>
    <s v=""/>
    <n v="1160.6400000000001"/>
    <d v="2022-10-01T00:00:00"/>
    <d v="2022-12-31T00:00:00"/>
    <n v="1160.6400000000001"/>
    <x v="1"/>
  </r>
  <r>
    <x v="590"/>
    <s v=""/>
    <n v="1536.8000000000002"/>
    <d v="2023-12-01T00:00:00"/>
    <d v="2029-12-31T00:00:00"/>
    <n v="1536.8000000000002"/>
    <x v="0"/>
  </r>
  <r>
    <x v="589"/>
    <s v=""/>
    <n v="1149"/>
    <d v="2023-01-01T00:00:00"/>
    <d v="2023-03-31T00:00:00"/>
    <n v="1149"/>
    <x v="1"/>
  </r>
  <r>
    <x v="590"/>
    <s v=""/>
    <n v="1536"/>
    <d v="2024-01-01T00:00:00"/>
    <d v="2024-12-31T00:00:00"/>
    <n v="1536"/>
    <x v="1"/>
  </r>
  <r>
    <x v="591"/>
    <s v=""/>
    <n v="1756.9999999999998"/>
    <d v="2000-01-01T00:00:00"/>
    <d v="2022-09-30T00:00:00"/>
    <n v="1756.9999999999998"/>
    <x v="1"/>
  </r>
  <r>
    <x v="589"/>
    <s v=""/>
    <n v="1068.5999999999999"/>
    <d v="2023-04-01T00:00:00"/>
    <d v="2023-12-31T00:00:00"/>
    <n v="1068.5999999999999"/>
    <x v="1"/>
  </r>
  <r>
    <x v="591"/>
    <s v=""/>
    <n v="1827.28"/>
    <d v="2022-10-01T00:00:00"/>
    <d v="2022-12-31T00:00:00"/>
    <n v="1827.28"/>
    <x v="1"/>
  </r>
  <r>
    <x v="589"/>
    <s v=""/>
    <n v="1068.1000000000001"/>
    <d v="2024-01-01T00:00:00"/>
    <d v="2024-12-31T00:00:00"/>
    <n v="1068.1000000000001"/>
    <x v="1"/>
  </r>
  <r>
    <x v="591"/>
    <s v=""/>
    <n v="1809"/>
    <d v="2023-01-01T00:00:00"/>
    <d v="2024-03-31T00:00:00"/>
    <n v="1809"/>
    <x v="1"/>
  </r>
  <r>
    <x v="592"/>
    <s v=""/>
    <n v="1682.3999999999999"/>
    <d v="2023-12-01T00:00:00"/>
    <d v="2024-12-31T00:00:00"/>
    <n v="1682.3999999999999"/>
    <x v="1"/>
  </r>
  <r>
    <x v="593"/>
    <s v=""/>
    <n v="1170"/>
    <d v="2000-01-01T00:00:00"/>
    <d v="2022-09-30T00:00:00"/>
    <n v="1170"/>
    <x v="1"/>
  </r>
  <r>
    <x v="593"/>
    <s v=""/>
    <n v="1216.8"/>
    <d v="2022-10-01T00:00:00"/>
    <d v="2022-12-31T00:00:00"/>
    <n v="1216.8"/>
    <x v="1"/>
  </r>
  <r>
    <x v="593"/>
    <s v=""/>
    <n v="1204.6320000000001"/>
    <d v="2023-01-01T00:00:00"/>
    <d v="2023-03-31T00:00:00"/>
    <n v="1204.6320000000001"/>
    <x v="1"/>
  </r>
  <r>
    <x v="594"/>
    <s v=""/>
    <n v="1143"/>
    <d v="2000-01-01T00:00:00"/>
    <d v="2022-09-30T00:00:00"/>
    <n v="1143"/>
    <x v="1"/>
  </r>
  <r>
    <x v="593"/>
    <s v=""/>
    <n v="1120.3"/>
    <d v="2023-04-01T00:00:00"/>
    <d v="2024-12-31T00:00:00"/>
    <n v="1120.3"/>
    <x v="1"/>
  </r>
  <r>
    <x v="594"/>
    <s v=""/>
    <n v="1188.72"/>
    <d v="2022-10-01T00:00:00"/>
    <d v="2022-12-31T00:00:00"/>
    <n v="1188.72"/>
    <x v="1"/>
  </r>
  <r>
    <x v="594"/>
    <s v=""/>
    <n v="1176.8"/>
    <d v="2023-01-01T00:00:00"/>
    <d v="2023-03-31T00:00:00"/>
    <n v="1176.8"/>
    <x v="1"/>
  </r>
  <r>
    <x v="595"/>
    <s v=""/>
    <n v="1185"/>
    <d v="2000-01-01T00:00:00"/>
    <d v="2022-09-30T00:00:00"/>
    <n v="1185"/>
    <x v="1"/>
  </r>
  <r>
    <x v="594"/>
    <s v=""/>
    <n v="1094.44"/>
    <d v="2023-04-01T00:00:00"/>
    <d v="2024-12-31T00:00:00"/>
    <n v="1094.44"/>
    <x v="1"/>
  </r>
  <r>
    <x v="595"/>
    <s v=""/>
    <n v="1232.4000000000001"/>
    <d v="2022-10-01T00:00:00"/>
    <d v="2022-12-31T00:00:00"/>
    <n v="1232.4000000000001"/>
    <x v="1"/>
  </r>
  <r>
    <x v="595"/>
    <s v=""/>
    <n v="1220.0999999999999"/>
    <d v="2023-01-01T00:00:00"/>
    <d v="2023-03-31T00:00:00"/>
    <n v="1220.0999999999999"/>
    <x v="1"/>
  </r>
  <r>
    <x v="596"/>
    <s v=""/>
    <n v="410"/>
    <d v="2000-01-01T00:00:00"/>
    <d v="2029-12-31T00:00:00"/>
    <n v="410"/>
    <x v="0"/>
  </r>
  <r>
    <x v="595"/>
    <s v=""/>
    <n v="1134.7"/>
    <d v="2023-04-01T00:00:00"/>
    <d v="2024-12-31T00:00:00"/>
    <n v="1134.7"/>
    <x v="1"/>
  </r>
  <r>
    <x v="596"/>
    <s v=""/>
    <n v="360"/>
    <d v="2000-01-01T00:00:00"/>
    <d v="2029-12-31T00:00:00"/>
    <n v="360"/>
    <x v="0"/>
  </r>
  <r>
    <x v="597"/>
    <s v=""/>
    <n v="426"/>
    <d v="2000-01-01T00:00:00"/>
    <d v="2029-12-31T00:00:00"/>
    <n v="426"/>
    <x v="0"/>
  </r>
  <r>
    <x v="597"/>
    <s v=""/>
    <n v="481"/>
    <d v="2000-01-01T00:00:00"/>
    <d v="2029-12-31T00:00:00"/>
    <n v="481"/>
    <x v="0"/>
  </r>
  <r>
    <x v="598"/>
    <s v=""/>
    <n v="1620.0000000000002"/>
    <d v="2000-01-01T00:00:00"/>
    <d v="2029-12-31T00:00:00"/>
    <n v="1620.0000000000002"/>
    <x v="0"/>
  </r>
  <r>
    <x v="599"/>
    <s v=""/>
    <n v="1100"/>
    <d v="2000-01-01T00:00:00"/>
    <d v="2022-03-02T00:00:00"/>
    <n v="1100"/>
    <x v="1"/>
  </r>
  <r>
    <x v="599"/>
    <s v=""/>
    <n v="1335"/>
    <d v="2022-03-03T00:00:00"/>
    <d v="2022-03-29T00:00:00"/>
    <n v="1335"/>
    <x v="1"/>
  </r>
  <r>
    <x v="599"/>
    <s v=""/>
    <n v="1420"/>
    <d v="2022-03-30T00:00:00"/>
    <d v="2029-12-31T00:00:00"/>
    <n v="1420"/>
    <x v="0"/>
  </r>
  <r>
    <x v="600"/>
    <s v=""/>
    <n v="934.99999999999989"/>
    <d v="2000-01-01T00:00:00"/>
    <d v="2029-12-31T00:00:00"/>
    <n v="934.99999999999989"/>
    <x v="0"/>
  </r>
  <r>
    <x v="601"/>
    <s v=""/>
    <n v="804"/>
    <d v="2000-01-01T00:00:00"/>
    <d v="2029-12-31T00:00:00"/>
    <n v="804"/>
    <x v="0"/>
  </r>
  <r>
    <x v="602"/>
    <s v=""/>
    <n v="810.00000000000011"/>
    <d v="2021-06-22T00:00:00"/>
    <d v="2022-12-31T00:00:00"/>
    <n v="810.00000000000011"/>
    <x v="1"/>
  </r>
  <r>
    <x v="602"/>
    <s v=""/>
    <n v="761.4"/>
    <d v="2023-01-01T00:00:00"/>
    <d v="2023-03-31T00:00:00"/>
    <n v="761.4"/>
    <x v="1"/>
  </r>
  <r>
    <x v="602"/>
    <s v=""/>
    <n v="716.4"/>
    <n v="-53688"/>
    <n v="-53688"/>
    <n v="716.4"/>
    <x v="1"/>
  </r>
  <r>
    <x v="603"/>
    <s v=""/>
    <n v="630.9"/>
    <d v="2021-06-22T00:00:00"/>
    <d v="2022-09-30T00:00:00"/>
    <n v="630.9"/>
    <x v="1"/>
  </r>
  <r>
    <x v="603"/>
    <s v=""/>
    <n v="662.45"/>
    <d v="2022-10-01T00:00:00"/>
    <d v="2023-03-31T00:00:00"/>
    <n v="662.45"/>
    <x v="1"/>
  </r>
  <r>
    <x v="604"/>
    <s v=""/>
    <n v="795"/>
    <d v="2000-01-01T00:00:00"/>
    <d v="2029-12-31T00:00:00"/>
    <n v="795"/>
    <x v="0"/>
  </r>
  <r>
    <x v="605"/>
    <s v=""/>
    <n v="894"/>
    <d v="2000-01-01T00:00:00"/>
    <d v="2022-09-30T00:00:00"/>
    <n v="894"/>
    <x v="1"/>
  </r>
  <r>
    <x v="605"/>
    <s v=""/>
    <n v="938.7"/>
    <d v="2022-10-01T00:00:00"/>
    <d v="2023-03-31T00:00:00"/>
    <n v="938.7"/>
    <x v="1"/>
  </r>
  <r>
    <x v="606"/>
    <s v=""/>
    <n v="2563"/>
    <d v="2023-01-01T00:00:00"/>
    <d v="2024-12-31T00:00:00"/>
    <n v="2563"/>
    <x v="1"/>
  </r>
  <r>
    <x v="606"/>
    <s v=""/>
    <n v="2435"/>
    <d v="2025-01-01T00:00:00"/>
    <d v="2025-12-31T00:00:00"/>
    <n v="2435"/>
    <x v="0"/>
  </r>
  <r>
    <x v="607"/>
    <s v=""/>
    <n v="860"/>
    <d v="2000-01-01T00:00:00"/>
    <d v="2022-09-30T00:00:00"/>
    <n v="860"/>
    <x v="1"/>
  </r>
  <r>
    <x v="607"/>
    <s v=""/>
    <n v="902.99999999999989"/>
    <d v="2022-10-01T00:00:00"/>
    <d v="2023-03-31T00:00:00"/>
    <n v="902.99999999999989"/>
    <x v="1"/>
  </r>
  <r>
    <x v="608"/>
    <s v=""/>
    <n v="1089"/>
    <d v="2000-01-01T00:00:00"/>
    <d v="2029-12-31T00:00:00"/>
    <n v="1089"/>
    <x v="0"/>
  </r>
  <r>
    <x v="608"/>
    <s v=""/>
    <n v="1034"/>
    <d v="2000-01-01T00:00:00"/>
    <d v="2029-12-31T00:00:00"/>
    <n v="1034"/>
    <x v="0"/>
  </r>
  <r>
    <x v="609"/>
    <s v=""/>
    <n v="1312"/>
    <d v="2023-01-01T00:00:00"/>
    <d v="2024-12-31T00:00:00"/>
    <n v="1312"/>
    <x v="1"/>
  </r>
  <r>
    <x v="609"/>
    <s v=""/>
    <n v="1296.3"/>
    <d v="2025-01-01T00:00:00"/>
    <d v="2025-12-31T00:00:00"/>
    <n v="1296.3"/>
    <x v="0"/>
  </r>
  <r>
    <x v="610"/>
    <s v=""/>
    <n v="1094"/>
    <d v="2000-01-01T00:00:00"/>
    <d v="2029-12-31T00:00:00"/>
    <n v="1094"/>
    <x v="0"/>
  </r>
  <r>
    <x v="610"/>
    <s v=""/>
    <n v="909"/>
    <d v="2000-01-01T00:00:00"/>
    <d v="2029-12-31T00:00:00"/>
    <n v="909"/>
    <x v="0"/>
  </r>
  <r>
    <x v="611"/>
    <s v=""/>
    <n v="1370"/>
    <d v="2000-01-01T00:00:00"/>
    <d v="2029-12-31T00:00:00"/>
    <n v="1370"/>
    <x v="0"/>
  </r>
  <r>
    <x v="611"/>
    <s v=""/>
    <n v="1213"/>
    <d v="2000-01-01T00:00:00"/>
    <d v="2029-12-31T00:00:00"/>
    <n v="1213"/>
    <x v="0"/>
  </r>
  <r>
    <x v="612"/>
    <s v=""/>
    <n v="850"/>
    <d v="2000-01-01T00:00:00"/>
    <d v="2029-12-31T00:00:00"/>
    <n v="850"/>
    <x v="0"/>
  </r>
  <r>
    <x v="612"/>
    <s v=""/>
    <n v="830"/>
    <d v="2024-01-01T00:00:00"/>
    <d v="2024-12-31T00:00:00"/>
    <n v="830"/>
    <x v="1"/>
  </r>
  <r>
    <x v="612"/>
    <s v=""/>
    <n v="810.00000000000011"/>
    <d v="2025-01-01T00:00:00"/>
    <d v="2025-12-31T00:00:00"/>
    <n v="810.00000000000011"/>
    <x v="0"/>
  </r>
  <r>
    <x v="612"/>
    <s v=""/>
    <n v="789.99999999999989"/>
    <d v="2026-01-01T00:00:00"/>
    <d v="2026-12-31T00:00:00"/>
    <n v="789.99999999999989"/>
    <x v="0"/>
  </r>
  <r>
    <x v="613"/>
    <s v=""/>
    <n v="2350"/>
    <d v="2000-01-01T00:00:00"/>
    <d v="2026-12-31T00:00:00"/>
    <n v="2350"/>
    <x v="0"/>
  </r>
  <r>
    <x v="614"/>
    <s v=""/>
    <n v="2550"/>
    <d v="2000-01-01T00:00:00"/>
    <d v="2029-12-31T00:00:00"/>
    <n v="2550"/>
    <x v="0"/>
  </r>
  <r>
    <x v="615"/>
    <s v=""/>
    <n v="2250"/>
    <d v="2000-01-01T00:00:00"/>
    <d v="2029-12-31T00:00:00"/>
    <n v="2250"/>
    <x v="0"/>
  </r>
  <r>
    <x v="616"/>
    <s v=""/>
    <n v="965.99999999999989"/>
    <d v="2023-01-01T00:00:00"/>
    <d v="2024-12-31T00:00:00"/>
    <n v="965.99999999999989"/>
    <x v="1"/>
  </r>
  <r>
    <x v="617"/>
    <s v=""/>
    <n v="1266"/>
    <d v="2023-01-01T00:00:00"/>
    <d v="2024-12-31T00:00:00"/>
    <n v="1266"/>
    <x v="1"/>
  </r>
  <r>
    <x v="618"/>
    <s v=""/>
    <n v="1013"/>
    <d v="2023-01-01T00:00:00"/>
    <d v="2024-12-31T00:00:00"/>
    <n v="1013"/>
    <x v="1"/>
  </r>
  <r>
    <x v="619"/>
    <s v=""/>
    <n v="1170"/>
    <d v="2023-01-01T00:00:00"/>
    <d v="2024-12-31T00:00:00"/>
    <n v="1170"/>
    <x v="1"/>
  </r>
  <r>
    <x v="620"/>
    <s v=""/>
    <n v="1800"/>
    <d v="2020-01-01T00:00:00"/>
    <d v="2050-01-01T00:00:00"/>
    <n v="1800"/>
    <x v="0"/>
  </r>
  <r>
    <x v="621"/>
    <s v=""/>
    <n v="2156"/>
    <d v="2000-01-01T00:00:00"/>
    <d v="2025-12-31T00:00:00"/>
    <n v="2156"/>
    <x v="0"/>
  </r>
  <r>
    <x v="621"/>
    <s v=""/>
    <n v="2113"/>
    <d v="2026-01-01T00:00:00"/>
    <d v="2026-12-31T00:00:00"/>
    <n v="2113"/>
    <x v="0"/>
  </r>
  <r>
    <x v="621"/>
    <s v=""/>
    <n v="2092"/>
    <d v="2027-01-01T00:00:00"/>
    <d v="2027-12-31T00:00:00"/>
    <n v="2092"/>
    <x v="0"/>
  </r>
  <r>
    <x v="621"/>
    <s v=""/>
    <n v="2071"/>
    <d v="2028-01-01T00:00:00"/>
    <d v="2035-12-31T00:00:00"/>
    <n v="2071"/>
    <x v="0"/>
  </r>
  <r>
    <x v="622"/>
    <s v=""/>
    <n v="2203"/>
    <d v="2000-01-01T00:00:00"/>
    <d v="2025-12-31T00:00:00"/>
    <n v="2203"/>
    <x v="0"/>
  </r>
  <r>
    <x v="622"/>
    <s v=""/>
    <n v="2160"/>
    <d v="2026-01-01T00:00:00"/>
    <d v="2026-12-31T00:00:00"/>
    <n v="2160"/>
    <x v="0"/>
  </r>
  <r>
    <x v="622"/>
    <s v=""/>
    <n v="2138"/>
    <d v="2027-01-01T00:00:00"/>
    <d v="2027-12-31T00:00:00"/>
    <n v="2138"/>
    <x v="0"/>
  </r>
  <r>
    <x v="622"/>
    <s v=""/>
    <n v="2177"/>
    <d v="2028-01-01T00:00:00"/>
    <d v="2035-12-31T00:00:00"/>
    <n v="2177"/>
    <x v="0"/>
  </r>
  <r>
    <x v="623"/>
    <s v=""/>
    <n v="730"/>
    <d v="2000-01-01T00:00:00"/>
    <d v="2025-12-31T00:00:00"/>
    <n v="730"/>
    <x v="0"/>
  </r>
  <r>
    <x v="623"/>
    <s v=""/>
    <n v="716"/>
    <d v="2026-01-01T00:00:00"/>
    <d v="2026-12-31T00:00:00"/>
    <n v="716"/>
    <x v="0"/>
  </r>
  <r>
    <x v="623"/>
    <s v=""/>
    <n v="709"/>
    <d v="2027-01-01T00:00:00"/>
    <d v="2027-12-31T00:00:00"/>
    <n v="709"/>
    <x v="0"/>
  </r>
  <r>
    <x v="623"/>
    <s v=""/>
    <n v="701"/>
    <d v="2028-01-01T00:00:00"/>
    <d v="2035-12-31T00:00:00"/>
    <n v="701"/>
    <x v="0"/>
  </r>
  <r>
    <x v="624"/>
    <s v=""/>
    <n v="990"/>
    <d v="2021-07-16T00:00:00"/>
    <d v="2029-12-31T00:00:00"/>
    <n v="990"/>
    <x v="0"/>
  </r>
  <r>
    <x v="625"/>
    <s v=""/>
    <n v="1815"/>
    <d v="2000-01-01T00:00:00"/>
    <d v="2029-12-31T00:00:00"/>
    <n v="1815"/>
    <x v="0"/>
  </r>
  <r>
    <x v="625"/>
    <s v=""/>
    <n v="1905.75"/>
    <d v="2022-10-01T00:00:00"/>
    <d v="2023-03-31T00:00:00"/>
    <n v="1905.75"/>
    <x v="1"/>
  </r>
  <r>
    <x v="626"/>
    <s v=""/>
    <n v="1472"/>
    <d v="2000-01-01T00:00:00"/>
    <d v="2022-09-30T00:00:00"/>
    <n v="1472"/>
    <x v="1"/>
  </r>
  <r>
    <x v="626"/>
    <s v=""/>
    <n v="1545.6000000000001"/>
    <d v="2022-10-01T00:00:00"/>
    <d v="2023-03-31T00:00:00"/>
    <n v="1545.6000000000001"/>
    <x v="1"/>
  </r>
  <r>
    <x v="626"/>
    <s v=""/>
    <n v="1472"/>
    <d v="2023-04-01T00:00:00"/>
    <d v="2023-12-31T00:00:00"/>
    <n v="1472"/>
    <x v="1"/>
  </r>
  <r>
    <x v="627"/>
    <s v=""/>
    <n v="573.19999999999993"/>
    <d v="2000-01-01T00:00:00"/>
    <d v="2022-09-30T00:00:00"/>
    <n v="573.19999999999993"/>
    <x v="1"/>
  </r>
  <r>
    <x v="627"/>
    <s v=""/>
    <n v="601.86"/>
    <d v="2022-10-01T00:00:00"/>
    <d v="2023-03-31T00:00:00"/>
    <n v="601.86"/>
    <x v="1"/>
  </r>
  <r>
    <x v="628"/>
    <s v=""/>
    <n v="898.2"/>
    <d v="2000-01-01T00:00:00"/>
    <d v="2021-12-31T00:00:00"/>
    <n v="898.2"/>
    <x v="1"/>
  </r>
  <r>
    <x v="628"/>
    <s v=""/>
    <n v="853.6"/>
    <d v="2022-01-01T00:00:00"/>
    <d v="2022-09-30T00:00:00"/>
    <n v="853.6"/>
    <x v="1"/>
  </r>
  <r>
    <x v="628"/>
    <s v=""/>
    <n v="896.28"/>
    <d v="2022-10-01T00:00:00"/>
    <d v="2022-12-31T00:00:00"/>
    <n v="896.28"/>
    <x v="1"/>
  </r>
  <r>
    <x v="628"/>
    <s v=""/>
    <n v="887.3"/>
    <d v="2023-01-01T00:00:00"/>
    <d v="2023-03-31T00:00:00"/>
    <n v="887.3"/>
    <x v="1"/>
  </r>
  <r>
    <x v="629"/>
    <s v=""/>
    <n v="627.70000000000005"/>
    <d v="2019-01-17T00:00:00"/>
    <d v="2029-12-31T00:00:00"/>
    <n v="627.70000000000005"/>
    <x v="0"/>
  </r>
  <r>
    <x v="628"/>
    <s v=""/>
    <n v="828"/>
    <d v="2023-04-01T00:00:00"/>
    <d v="2023-12-31T00:00:00"/>
    <n v="828"/>
    <x v="1"/>
  </r>
  <r>
    <x v="26"/>
    <s v=""/>
    <n v="1815"/>
    <d v="2000-01-01T00:00:00"/>
    <d v="2023-12-31T00:00:00"/>
    <n v="1815"/>
    <x v="1"/>
  </r>
  <r>
    <x v="628"/>
    <s v=""/>
    <n v="813.09600000000012"/>
    <d v="2024-01-01T00:00:00"/>
    <d v="2024-12-31T00:00:00"/>
    <n v="813.09600000000012"/>
    <x v="1"/>
  </r>
  <r>
    <x v="26"/>
    <s v=""/>
    <n v="1905.75"/>
    <d v="2022-10-01T00:00:00"/>
    <d v="2023-03-31T00:00:00"/>
    <n v="1905.75"/>
    <x v="1"/>
  </r>
  <r>
    <x v="630"/>
    <s v=""/>
    <n v="1472"/>
    <d v="2000-01-01T00:00:00"/>
    <d v="2022-09-30T00:00:00"/>
    <n v="1472"/>
    <x v="1"/>
  </r>
  <r>
    <x v="26"/>
    <s v=""/>
    <n v="1920"/>
    <d v="2023-04-01T00:00:00"/>
    <d v="2023-12-31T00:00:00"/>
    <n v="1920"/>
    <x v="1"/>
  </r>
  <r>
    <x v="630"/>
    <s v=""/>
    <n v="1545.6000000000001"/>
    <d v="2022-10-01T00:00:00"/>
    <d v="2023-03-31T00:00:00"/>
    <n v="1545.6000000000001"/>
    <x v="1"/>
  </r>
  <r>
    <x v="26"/>
    <s v=""/>
    <n v="1815"/>
    <d v="2024-01-01T00:00:00"/>
    <d v="2024-04-30T00:00:00"/>
    <n v="1815"/>
    <x v="1"/>
  </r>
  <r>
    <x v="26"/>
    <s v=""/>
    <n v="1778.6999999999998"/>
    <d v="2025-01-01T00:00:00"/>
    <d v="2025-12-31T00:00:00"/>
    <n v="1778.6999999999998"/>
    <x v="0"/>
  </r>
  <r>
    <x v="631"/>
    <s v=""/>
    <n v="221"/>
    <d v="2000-01-01T00:00:00"/>
    <d v="2029-12-31T00:00:00"/>
    <n v="221"/>
    <x v="0"/>
  </r>
  <r>
    <x v="630"/>
    <s v=""/>
    <n v="1600"/>
    <d v="2023-04-01T00:00:00"/>
    <d v="2023-12-31T00:00:00"/>
    <n v="1600"/>
    <x v="1"/>
  </r>
  <r>
    <x v="632"/>
    <s v=""/>
    <n v="125.79999999999998"/>
    <d v="2000-01-01T00:00:00"/>
    <d v="2029-12-31T00:00:00"/>
    <n v="125.79999999999998"/>
    <x v="0"/>
  </r>
  <r>
    <x v="630"/>
    <s v=""/>
    <n v="1472"/>
    <d v="2024-01-01T00:00:00"/>
    <d v="2024-04-30T00:00:00"/>
    <n v="1472"/>
    <x v="1"/>
  </r>
  <r>
    <x v="633"/>
    <s v=""/>
    <n v="383.52"/>
    <d v="2000-01-01T00:00:00"/>
    <d v="2026-12-31T00:00:00"/>
    <n v="383.52"/>
    <x v="0"/>
  </r>
  <r>
    <x v="630"/>
    <s v=""/>
    <n v="1427.8"/>
    <d v="2024-05-01T00:00:00"/>
    <d v="2024-12-31T00:00:00"/>
    <n v="1427.8"/>
    <x v="1"/>
  </r>
  <r>
    <x v="634"/>
    <s v=""/>
    <n v="123.00000000000001"/>
    <d v="2000-01-01T00:00:00"/>
    <d v="2029-12-31T00:00:00"/>
    <n v="123.00000000000001"/>
    <x v="0"/>
  </r>
  <r>
    <x v="630"/>
    <s v=""/>
    <n v="1442.56"/>
    <d v="2025-01-01T00:00:00"/>
    <d v="2025-12-31T00:00:00"/>
    <n v="1442.56"/>
    <x v="0"/>
  </r>
  <r>
    <x v="635"/>
    <s v=""/>
    <n v="141.1"/>
    <d v="2000-01-01T00:00:00"/>
    <d v="2029-12-31T00:00:00"/>
    <n v="141.1"/>
    <x v="0"/>
  </r>
  <r>
    <x v="636"/>
    <s v=""/>
    <n v="81.900000000000006"/>
    <d v="2000-01-01T00:00:00"/>
    <d v="2029-12-31T00:00:00"/>
    <n v="81.900000000000006"/>
    <x v="0"/>
  </r>
  <r>
    <x v="637"/>
    <s v=""/>
    <n v="217.17000000000002"/>
    <d v="2000-01-01T00:00:00"/>
    <d v="2029-12-31T00:00:00"/>
    <n v="217.17000000000002"/>
    <x v="0"/>
  </r>
  <r>
    <x v="638"/>
    <s v=""/>
    <n v="280.5"/>
    <d v="2000-01-01T00:00:00"/>
    <d v="2029-12-31T00:00:00"/>
    <n v="280.5"/>
    <x v="0"/>
  </r>
  <r>
    <x v="639"/>
    <s v=""/>
    <n v="195"/>
    <d v="2000-01-01T00:00:00"/>
    <d v="2019-12-30T00:00:00"/>
    <n v="195"/>
    <x v="1"/>
  </r>
  <r>
    <x v="639"/>
    <s v=""/>
    <n v="300"/>
    <d v="2020-01-01T00:00:00"/>
    <d v="2029-01-01T00:00:00"/>
    <n v="300"/>
    <x v="0"/>
  </r>
  <r>
    <x v="640"/>
    <s v=""/>
    <n v="110.5"/>
    <d v="2000-01-01T00:00:00"/>
    <d v="2023-04-30T00:00:00"/>
    <n v="110.5"/>
    <x v="1"/>
  </r>
  <r>
    <x v="641"/>
    <s v=""/>
    <n v="390.1"/>
    <d v="2000-01-01T00:00:00"/>
    <d v="2029-12-31T00:00:00"/>
    <n v="390.1"/>
    <x v="0"/>
  </r>
  <r>
    <x v="640"/>
    <s v=""/>
    <n v="121.5"/>
    <d v="2023-05-01T00:00:00"/>
    <d v="2050-01-01T00:00:00"/>
    <n v="121.5"/>
    <x v="0"/>
  </r>
  <r>
    <x v="641"/>
    <s v=""/>
    <n v="280.3"/>
    <d v="2000-01-01T00:00:00"/>
    <d v="2029-12-31T00:00:00"/>
    <n v="280.3"/>
    <x v="0"/>
  </r>
  <r>
    <x v="642"/>
    <s v=""/>
    <n v="375.7"/>
    <d v="2000-01-01T00:00:00"/>
    <d v="2029-12-31T00:00:00"/>
    <n v="375.7"/>
    <x v="0"/>
  </r>
  <r>
    <x v="642"/>
    <s v=""/>
    <n v="264.43"/>
    <d v="2000-01-01T00:00:00"/>
    <d v="2029-12-31T00:00:00"/>
    <n v="264.43"/>
    <x v="0"/>
  </r>
  <r>
    <x v="643"/>
    <s v=""/>
    <n v="161.5"/>
    <d v="2000-01-01T00:00:00"/>
    <d v="2029-12-31T00:00:00"/>
    <n v="161.5"/>
    <x v="0"/>
  </r>
  <r>
    <x v="644"/>
    <s v=""/>
    <n v="164.9"/>
    <d v="2000-01-01T00:00:00"/>
    <d v="2029-12-31T00:00:00"/>
    <n v="164.9"/>
    <x v="0"/>
  </r>
  <r>
    <x v="645"/>
    <s v=""/>
    <n v="190.00000000000003"/>
    <d v="2000-01-01T00:00:00"/>
    <d v="2017-12-31T00:00:00"/>
    <n v="190.00000000000003"/>
    <x v="1"/>
  </r>
  <r>
    <x v="645"/>
    <s v=""/>
    <n v="186.20000000000002"/>
    <d v="2018-01-01T00:00:00"/>
    <d v="2021-07-14T00:00:00"/>
    <n v="186.20000000000002"/>
    <x v="1"/>
  </r>
  <r>
    <x v="645"/>
    <s v=""/>
    <n v="201"/>
    <d v="2021-07-15T00:00:00"/>
    <d v="2029-12-31T00:00:00"/>
    <n v="201"/>
    <x v="0"/>
  </r>
  <r>
    <x v="646"/>
    <s v=""/>
    <n v="154.70000000000002"/>
    <d v="2000-01-01T00:00:00"/>
    <d v="2029-12-31T00:00:00"/>
    <n v="154.70000000000002"/>
    <x v="0"/>
  </r>
  <r>
    <x v="647"/>
    <s v=""/>
    <n v="213"/>
    <d v="2000-01-01T00:00:00"/>
    <d v="2017-12-31T00:00:00"/>
    <n v="213"/>
    <x v="1"/>
  </r>
  <r>
    <x v="647"/>
    <s v=""/>
    <n v="206.6"/>
    <d v="2018-01-01T00:00:00"/>
    <d v="2019-07-11T00:00:00"/>
    <n v="206.6"/>
    <x v="1"/>
  </r>
  <r>
    <x v="647"/>
    <s v=""/>
    <n v="210.9"/>
    <d v="2019-07-12T00:00:00"/>
    <d v="2029-12-31T00:00:00"/>
    <n v="210.9"/>
    <x v="0"/>
  </r>
  <r>
    <x v="647"/>
    <s v=""/>
    <n v="206.70000000000002"/>
    <d v="2020-01-01T00:00:00"/>
    <d v="2029-12-31T00:00:00"/>
    <n v="206.70000000000002"/>
    <x v="0"/>
  </r>
  <r>
    <x v="648"/>
    <s v=""/>
    <n v="300"/>
    <d v="2000-01-01T00:00:00"/>
    <d v="2029-12-31T00:00:00"/>
    <n v="300"/>
    <x v="0"/>
  </r>
  <r>
    <x v="649"/>
    <s v=""/>
    <n v="137.28"/>
    <d v="2000-01-01T00:00:00"/>
    <d v="2029-12-31T00:00:00"/>
    <n v="137.28"/>
    <x v="0"/>
  </r>
  <r>
    <x v="650"/>
    <s v=""/>
    <n v="71"/>
    <d v="2000-01-01T00:00:00"/>
    <d v="2029-12-31T00:00:00"/>
    <n v="71"/>
    <x v="0"/>
  </r>
  <r>
    <x v="650"/>
    <s v=""/>
    <n v="57"/>
    <d v="2000-01-01T00:00:00"/>
    <d v="2029-12-31T00:00:00"/>
    <n v="57"/>
    <x v="0"/>
  </r>
  <r>
    <x v="651"/>
    <s v=""/>
    <n v="161"/>
    <d v="2000-01-01T00:00:00"/>
    <d v="2029-12-31T00:00:00"/>
    <n v="161"/>
    <x v="0"/>
  </r>
  <r>
    <x v="652"/>
    <s v=""/>
    <n v="173"/>
    <d v="2000-01-01T00:00:00"/>
    <d v="2019-01-31T00:00:00"/>
    <n v="173"/>
    <x v="1"/>
  </r>
  <r>
    <x v="652"/>
    <s v=""/>
    <n v="180"/>
    <d v="2019-02-01T00:00:00"/>
    <d v="2029-12-31T00:00:00"/>
    <n v="180"/>
    <x v="0"/>
  </r>
  <r>
    <x v="653"/>
    <s v=""/>
    <n v="268"/>
    <d v="2000-01-01T00:00:00"/>
    <d v="2029-12-31T00:00:00"/>
    <n v="268"/>
    <x v="0"/>
  </r>
  <r>
    <x v="654"/>
    <s v=""/>
    <n v="565"/>
    <d v="2000-01-01T00:00:00"/>
    <d v="2029-12-31T00:00:00"/>
    <n v="565"/>
    <x v="0"/>
  </r>
  <r>
    <x v="655"/>
    <s v=""/>
    <n v="154"/>
    <d v="2000-01-01T00:00:00"/>
    <d v="2029-12-31T00:00:00"/>
    <n v="154"/>
    <x v="0"/>
  </r>
  <r>
    <x v="656"/>
    <s v=""/>
    <n v="169"/>
    <d v="2000-01-01T00:00:00"/>
    <d v="2029-12-31T00:00:00"/>
    <n v="169"/>
    <x v="0"/>
  </r>
  <r>
    <x v="657"/>
    <s v=""/>
    <n v="282"/>
    <d v="2000-01-01T00:00:00"/>
    <d v="2029-12-31T00:00:00"/>
    <n v="282"/>
    <x v="0"/>
  </r>
  <r>
    <x v="658"/>
    <s v=""/>
    <n v="162"/>
    <d v="2000-01-01T00:00:00"/>
    <d v="2022-09-30T00:00:00"/>
    <n v="162"/>
    <x v="1"/>
  </r>
  <r>
    <x v="658"/>
    <s v=""/>
    <n v="170.1"/>
    <d v="2022-10-01T00:00:00"/>
    <d v="2023-03-31T00:00:00"/>
    <n v="170.1"/>
    <x v="1"/>
  </r>
  <r>
    <x v="659"/>
    <s v=""/>
    <n v="181"/>
    <d v="2000-01-01T00:00:00"/>
    <d v="2022-09-30T00:00:00"/>
    <n v="181"/>
    <x v="1"/>
  </r>
  <r>
    <x v="659"/>
    <s v=""/>
    <n v="190.04999999999998"/>
    <d v="2022-10-01T00:00:00"/>
    <d v="2023-03-31T00:00:00"/>
    <n v="190.04999999999998"/>
    <x v="1"/>
  </r>
  <r>
    <x v="660"/>
    <s v=""/>
    <n v="249.99999999999997"/>
    <d v="2000-01-01T00:00:00"/>
    <d v="2019-05-29T00:00:00"/>
    <n v="249.99999999999997"/>
    <x v="1"/>
  </r>
  <r>
    <x v="660"/>
    <s v=""/>
    <n v="550.46"/>
    <d v="2019-05-30T00:00:00"/>
    <d v="2029-12-31T00:00:00"/>
    <n v="550.46"/>
    <x v="0"/>
  </r>
  <r>
    <x v="661"/>
    <s v=""/>
    <n v="140.751"/>
    <d v="2000-01-01T00:00:00"/>
    <d v="2029-12-31T00:00:00"/>
    <n v="140.751"/>
    <x v="0"/>
  </r>
  <r>
    <x v="577"/>
    <s v=""/>
    <n v="1862"/>
    <d v="2023-04-01T00:00:00"/>
    <d v="2050-04-01T00:00:00"/>
    <n v="1862"/>
    <x v="0"/>
  </r>
  <r>
    <x v="536"/>
    <s v=""/>
    <n v="310"/>
    <d v="2023-04-01T00:00:00"/>
    <d v="2026-04-04T00:00:00"/>
    <n v="310"/>
    <x v="0"/>
  </r>
  <r>
    <x v="563"/>
    <s v=""/>
    <n v="1436"/>
    <d v="2023-04-01T00:00:00"/>
    <d v="2027-01-01T00:00:00"/>
    <n v="1436"/>
    <x v="0"/>
  </r>
  <r>
    <x v="227"/>
    <s v=""/>
    <n v="134"/>
    <d v="2023-04-01T00:00:00"/>
    <d v="2050-01-01T00:00:00"/>
    <n v="134"/>
    <x v="0"/>
  </r>
  <r>
    <x v="228"/>
    <s v=""/>
    <n v="145"/>
    <d v="2023-04-01T00:00:00"/>
    <d v="2050-01-01T00:00:00"/>
    <n v="145"/>
    <x v="0"/>
  </r>
  <r>
    <x v="266"/>
    <s v=""/>
    <n v="134"/>
    <d v="2023-04-01T00:00:00"/>
    <d v="2050-01-01T00:00:00"/>
    <n v="134"/>
    <x v="0"/>
  </r>
  <r>
    <x v="269"/>
    <s v=""/>
    <n v="386"/>
    <d v="2023-05-01T00:00:00"/>
    <d v="2050-01-01T00:00:00"/>
    <n v="386"/>
    <x v="0"/>
  </r>
  <r>
    <x v="270"/>
    <s v=""/>
    <n v="474.99999999999994"/>
    <d v="2023-04-01T00:00:00"/>
    <d v="2050-01-01T00:00:00"/>
    <n v="474.99999999999994"/>
    <x v="0"/>
  </r>
  <r>
    <x v="272"/>
    <s v=""/>
    <n v="306"/>
    <d v="2023-04-01T00:00:00"/>
    <d v="2050-01-01T00:00:00"/>
    <n v="306"/>
    <x v="0"/>
  </r>
  <r>
    <x v="276"/>
    <s v=""/>
    <n v="169"/>
    <d v="2023-04-01T00:00:00"/>
    <d v="2050-01-01T00:00:00"/>
    <n v="169"/>
    <x v="0"/>
  </r>
  <r>
    <x v="277"/>
    <s v=""/>
    <n v="169"/>
    <d v="2023-04-01T00:00:00"/>
    <d v="2050-01-01T00:00:00"/>
    <n v="169"/>
    <x v="0"/>
  </r>
  <r>
    <x v="278"/>
    <s v=""/>
    <n v="329"/>
    <d v="2023-04-01T00:00:00"/>
    <d v="2050-01-01T00:00:00"/>
    <n v="329"/>
    <x v="0"/>
  </r>
  <r>
    <x v="281"/>
    <s v=""/>
    <n v="895"/>
    <d v="2023-04-01T00:00:00"/>
    <d v="2050-01-01T00:00:00"/>
    <n v="895"/>
    <x v="0"/>
  </r>
  <r>
    <x v="282"/>
    <s v=""/>
    <n v="350"/>
    <d v="2023-04-01T00:00:00"/>
    <d v="2050-01-01T00:00:00"/>
    <n v="350"/>
    <x v="0"/>
  </r>
  <r>
    <x v="288"/>
    <s v=""/>
    <n v="243"/>
    <d v="2023-04-01T00:00:00"/>
    <d v="2050-01-01T00:00:00"/>
    <n v="243"/>
    <x v="0"/>
  </r>
  <r>
    <x v="289"/>
    <s v=""/>
    <n v="230.00000000000003"/>
    <d v="2023-04-01T00:00:00"/>
    <d v="2050-01-01T00:00:00"/>
    <n v="230.00000000000003"/>
    <x v="0"/>
  </r>
  <r>
    <x v="290"/>
    <s v=""/>
    <n v="170"/>
    <d v="2023-04-01T00:00:00"/>
    <d v="2050-01-01T00:00:00"/>
    <n v="170"/>
    <x v="0"/>
  </r>
  <r>
    <x v="309"/>
    <s v=""/>
    <n v="375"/>
    <d v="2023-04-01T00:00:00"/>
    <d v="2050-01-01T00:00:00"/>
    <n v="375"/>
    <x v="0"/>
  </r>
  <r>
    <x v="310"/>
    <s v=""/>
    <n v="627"/>
    <d v="2023-04-01T00:00:00"/>
    <d v="2050-01-01T00:00:00"/>
    <n v="627"/>
    <x v="0"/>
  </r>
  <r>
    <x v="311"/>
    <s v=""/>
    <n v="227"/>
    <d v="2023-04-01T00:00:00"/>
    <d v="2050-01-01T00:00:00"/>
    <n v="227"/>
    <x v="0"/>
  </r>
  <r>
    <x v="316"/>
    <s v=""/>
    <n v="245"/>
    <d v="2023-04-01T00:00:00"/>
    <d v="2050-01-01T00:00:00"/>
    <n v="245"/>
    <x v="0"/>
  </r>
  <r>
    <x v="330"/>
    <s v=""/>
    <n v="400"/>
    <d v="2023-04-01T00:00:00"/>
    <d v="2023-05-30T00:00:00"/>
    <n v="400"/>
    <x v="1"/>
  </r>
  <r>
    <x v="533"/>
    <s v=""/>
    <n v="965.99999999999989"/>
    <d v="2023-04-01T00:00:00"/>
    <d v="2050-01-01T00:00:00"/>
    <n v="965.99999999999989"/>
    <x v="0"/>
  </r>
  <r>
    <x v="330"/>
    <s v=""/>
    <n v="431"/>
    <d v="2023-05-31T00:00:00"/>
    <d v="2050-01-01T00:00:00"/>
    <n v="431"/>
    <x v="0"/>
  </r>
  <r>
    <x v="581"/>
    <s v=""/>
    <n v="384"/>
    <d v="2023-04-01T00:00:00"/>
    <d v="2050-01-01T00:00:00"/>
    <n v="384"/>
    <x v="0"/>
  </r>
  <r>
    <x v="582"/>
    <s v=""/>
    <n v="365"/>
    <d v="2023-04-01T00:00:00"/>
    <d v="2050-01-01T00:00:00"/>
    <n v="365"/>
    <x v="0"/>
  </r>
  <r>
    <x v="658"/>
    <s v=""/>
    <n v="162"/>
    <d v="2023-04-01T00:00:00"/>
    <d v="2050-01-01T00:00:00"/>
    <n v="162"/>
    <x v="0"/>
  </r>
  <r>
    <x v="659"/>
    <s v=""/>
    <n v="181"/>
    <d v="2023-04-01T00:00:00"/>
    <d v="2050-01-01T00:00:00"/>
    <n v="181"/>
    <x v="0"/>
  </r>
  <r>
    <x v="467"/>
    <s v=""/>
    <n v="326"/>
    <d v="2023-04-01T00:00:00"/>
    <d v="2050-01-01T00:00:00"/>
    <n v="326"/>
    <x v="0"/>
  </r>
  <r>
    <x v="564"/>
    <s v=""/>
    <n v="826.19999999999993"/>
    <d v="2023-04-01T00:00:00"/>
    <d v="2050-01-01T00:00:00"/>
    <n v="826.19999999999993"/>
    <x v="0"/>
  </r>
  <r>
    <x v="196"/>
    <s v=""/>
    <n v="531"/>
    <d v="2023-04-01T00:00:00"/>
    <d v="2026-01-01T00:00:00"/>
    <n v="531"/>
    <x v="0"/>
  </r>
  <r>
    <x v="529"/>
    <s v=""/>
    <n v="884.8"/>
    <d v="2023-04-01T00:00:00"/>
    <d v="2050-01-01T00:00:00"/>
    <n v="884.8"/>
    <x v="0"/>
  </r>
  <r>
    <x v="258"/>
    <s v=""/>
    <n v="561.80000000000007"/>
    <d v="2023-04-01T00:00:00"/>
    <d v="2050-01-01T00:00:00"/>
    <n v="561.80000000000007"/>
    <x v="0"/>
  </r>
  <r>
    <x v="259"/>
    <s v=""/>
    <n v="604.1"/>
    <d v="2023-04-01T00:00:00"/>
    <d v="2026-01-01T00:00:00"/>
    <n v="604.1"/>
    <x v="0"/>
  </r>
  <r>
    <x v="254"/>
    <s v=""/>
    <n v="537.6"/>
    <d v="2023-04-01T00:00:00"/>
    <d v="2050-01-01T00:00:00"/>
    <n v="537.6"/>
    <x v="0"/>
  </r>
  <r>
    <x v="255"/>
    <s v=""/>
    <n v="537.6"/>
    <d v="2023-04-01T00:00:00"/>
    <d v="2050-01-01T00:00:00"/>
    <n v="537.6"/>
    <x v="0"/>
  </r>
  <r>
    <x v="627"/>
    <s v=""/>
    <n v="573.19999999999993"/>
    <d v="2023-04-01T00:00:00"/>
    <d v="2050-01-01T00:00:00"/>
    <n v="573.19999999999993"/>
    <x v="0"/>
  </r>
  <r>
    <x v="605"/>
    <s v=""/>
    <n v="894"/>
    <d v="2023-04-01T00:00:00"/>
    <d v="2026-01-01T00:00:00"/>
    <n v="894"/>
    <x v="0"/>
  </r>
  <r>
    <x v="263"/>
    <s v=""/>
    <n v="361.20000000000005"/>
    <d v="2023-04-01T00:00:00"/>
    <d v="2029-01-01T00:00:00"/>
    <n v="361.20000000000005"/>
    <x v="0"/>
  </r>
  <r>
    <x v="299"/>
    <s v=""/>
    <n v="100"/>
    <d v="2023-04-01T00:00:00"/>
    <d v="2050-01-01T00:00:00"/>
    <n v="100"/>
    <x v="0"/>
  </r>
  <r>
    <x v="607"/>
    <s v=""/>
    <n v="860"/>
    <d v="2023-04-01T00:00:00"/>
    <d v="2050-01-01T00:00:00"/>
    <n v="860"/>
    <x v="0"/>
  </r>
  <r>
    <x v="612"/>
    <s v=""/>
    <n v="850"/>
    <d v="2023-04-01T00:00:00"/>
    <d v="2040-01-01T00:00:00"/>
    <n v="850"/>
    <x v="0"/>
  </r>
  <r>
    <x v="506"/>
    <s v=""/>
    <n v="380.00000000000006"/>
    <d v="2023-04-01T00:00:00"/>
    <d v="2050-01-01T00:00:00"/>
    <n v="380.00000000000006"/>
    <x v="0"/>
  </r>
  <r>
    <x v="303"/>
    <s v=""/>
    <n v="213"/>
    <d v="2023-04-01T00:00:00"/>
    <d v="2023-12-31T00:00:00"/>
    <n v="213"/>
    <x v="1"/>
  </r>
  <r>
    <x v="27"/>
    <s v=""/>
    <n v="216"/>
    <d v="2023-04-01T00:00:00"/>
    <d v="2023-12-31T00:00:00"/>
    <n v="216"/>
    <x v="1"/>
  </r>
  <r>
    <x v="303"/>
    <s v=""/>
    <n v="207"/>
    <d v="2024-01-01T00:00:00"/>
    <d v="2050-01-01T00:00:00"/>
    <n v="207"/>
    <x v="0"/>
  </r>
  <r>
    <x v="545"/>
    <s v=""/>
    <n v="1920"/>
    <d v="2023-04-01T00:00:00"/>
    <d v="2050-01-01T00:00:00"/>
    <n v="1920"/>
    <x v="0"/>
  </r>
  <r>
    <x v="27"/>
    <s v=""/>
    <n v="214.6"/>
    <d v="2024-01-01T00:00:00"/>
    <d v="2024-04-30T00:00:00"/>
    <n v="214.6"/>
    <x v="1"/>
  </r>
  <r>
    <x v="39"/>
    <s v=""/>
    <n v="2020"/>
    <d v="2023-04-01T00:00:00"/>
    <d v="2023-12-31T00:00:00"/>
    <n v="2020"/>
    <x v="1"/>
  </r>
  <r>
    <x v="27"/>
    <s v=""/>
    <n v="206.02"/>
    <d v="2025-01-01T00:00:00"/>
    <d v="2025-12-31T00:00:00"/>
    <n v="206.02"/>
    <x v="0"/>
  </r>
  <r>
    <x v="546"/>
    <s v=""/>
    <n v="1600"/>
    <d v="2023-04-01T00:00:00"/>
    <d v="2050-01-01T00:00:00"/>
    <n v="1600"/>
    <x v="0"/>
  </r>
  <r>
    <x v="39"/>
    <s v=""/>
    <n v="1999.9999999999998"/>
    <d v="2024-01-01T00:00:00"/>
    <d v="2024-04-30T00:00:00"/>
    <n v="1999.9999999999998"/>
    <x v="1"/>
  </r>
  <r>
    <x v="284"/>
    <s v=""/>
    <n v="260"/>
    <d v="2023-04-01T00:00:00"/>
    <d v="2024-01-01T00:00:00"/>
    <n v="260"/>
    <x v="1"/>
  </r>
  <r>
    <x v="283"/>
    <s v=""/>
    <n v="470"/>
    <d v="2023-04-01T00:00:00"/>
    <d v="2050-01-01T00:00:00"/>
    <n v="470"/>
    <x v="0"/>
  </r>
  <r>
    <x v="284"/>
    <s v=""/>
    <n v="252.2"/>
    <d v="2025-01-01T00:00:00"/>
    <d v="2025-12-31T00:00:00"/>
    <n v="252.2"/>
    <x v="0"/>
  </r>
  <r>
    <x v="569"/>
    <s v=""/>
    <n v="580"/>
    <d v="2023-04-01T00:00:00"/>
    <d v="2024-01-01T00:00:00"/>
    <n v="580"/>
    <x v="1"/>
  </r>
  <r>
    <x v="560"/>
    <s v=""/>
    <n v="783"/>
    <d v="2023-04-01T00:00:00"/>
    <d v="2050-01-01T00:00:00"/>
    <n v="783"/>
    <x v="0"/>
  </r>
  <r>
    <x v="569"/>
    <s v=""/>
    <n v="574.19999999999993"/>
    <d v="2025-01-01T00:00:00"/>
    <d v="2025-12-31T00:00:00"/>
    <n v="574.19999999999993"/>
    <x v="0"/>
  </r>
  <r>
    <x v="267"/>
    <s v=""/>
    <n v="330"/>
    <d v="2023-04-01T00:00:00"/>
    <d v="2024-01-01T00:00:00"/>
    <n v="330"/>
    <x v="1"/>
  </r>
  <r>
    <x v="603"/>
    <s v=""/>
    <n v="610"/>
    <d v="2023-04-01T00:00:00"/>
    <d v="2023-12-31T00:00:00"/>
    <n v="610"/>
    <x v="1"/>
  </r>
  <r>
    <x v="267"/>
    <s v=""/>
    <n v="323.39999999999998"/>
    <d v="2025-01-01T00:00:00"/>
    <d v="2025-12-31T00:00:00"/>
    <n v="323.39999999999998"/>
    <x v="0"/>
  </r>
  <r>
    <x v="326"/>
    <s v=""/>
    <n v="315"/>
    <d v="2023-04-01T00:00:00"/>
    <d v="2050-01-01T00:00:00"/>
    <n v="315"/>
    <x v="0"/>
  </r>
  <r>
    <x v="603"/>
    <s v=""/>
    <n v="593.1"/>
    <d v="2024-01-01T00:00:00"/>
    <d v="2050-01-01T00:00:00"/>
    <n v="593.1"/>
    <x v="0"/>
  </r>
  <r>
    <x v="362"/>
    <s v="USD"/>
    <n v="1050"/>
    <d v="2024-01-01T00:00:00"/>
    <d v="2050-01-01T00:00:00"/>
    <n v="924"/>
    <x v="0"/>
  </r>
  <r>
    <x v="602"/>
    <s v=""/>
    <n v="765"/>
    <d v="2023-04-01T00:00:00"/>
    <d v="2050-01-01T00:00:00"/>
    <n v="765"/>
    <x v="0"/>
  </r>
  <r>
    <x v="662"/>
    <s v=""/>
    <n v="178"/>
    <d v="2023-04-11T00:00:00"/>
    <d v="2050-01-01T00:00:00"/>
    <n v="178"/>
    <x v="0"/>
  </r>
  <r>
    <x v="663"/>
    <s v=""/>
    <n v="231.28000000000003"/>
    <d v="2023-04-01T00:00:00"/>
    <d v="2050-01-01T00:00:00"/>
    <n v="231.28000000000003"/>
    <x v="0"/>
  </r>
  <r>
    <x v="632"/>
    <s v=""/>
    <n v="146.6"/>
    <d v="2023-04-01T00:00:00"/>
    <d v="2050-01-01T00:00:00"/>
    <n v="146.6"/>
    <x v="0"/>
  </r>
  <r>
    <x v="664"/>
    <s v=""/>
    <n v="670"/>
    <d v="2023-04-01T00:00:00"/>
    <d v="2050-01-01T00:00:00"/>
    <n v="670"/>
    <x v="0"/>
  </r>
  <r>
    <x v="664"/>
    <s v=""/>
    <n v="645"/>
    <d v="2023-04-01T00:00:00"/>
    <d v="2050-01-01T00:00:00"/>
    <n v="645"/>
    <x v="0"/>
  </r>
  <r>
    <x v="665"/>
    <s v=""/>
    <n v="450"/>
    <d v="2023-05-01T00:00:00"/>
    <d v="2050-01-01T00:00:00"/>
    <n v="450"/>
    <x v="0"/>
  </r>
  <r>
    <x v="666"/>
    <s v=""/>
    <n v="400.97"/>
    <d v="2023-05-01T00:00:00"/>
    <d v="2050-05-01T00:00:00"/>
    <n v="400.97"/>
    <x v="0"/>
  </r>
  <r>
    <x v="667"/>
    <s v=""/>
    <n v="180"/>
    <d v="2023-05-01T00:00:00"/>
    <d v="2050-05-01T00:00:00"/>
    <n v="180"/>
    <x v="0"/>
  </r>
  <r>
    <x v="668"/>
    <s v=""/>
    <n v="162"/>
    <d v="2023-05-01T00:00:00"/>
    <d v="2050-01-01T00:00:00"/>
    <n v="162"/>
    <x v="0"/>
  </r>
  <r>
    <x v="668"/>
    <s v=""/>
    <n v="215"/>
    <d v="2023-05-01T00:00:00"/>
    <d v="2050-01-01T00:00:00"/>
    <n v="215"/>
    <x v="0"/>
  </r>
  <r>
    <x v="669"/>
    <s v=""/>
    <n v="884"/>
    <d v="2023-05-01T00:00:00"/>
    <d v="2050-01-01T00:00:00"/>
    <n v="884"/>
    <x v="0"/>
  </r>
  <r>
    <x v="670"/>
    <s v=""/>
    <n v="340"/>
    <d v="2023-05-01T00:00:00"/>
    <d v="2050-01-01T00:00:00"/>
    <n v="340"/>
    <x v="0"/>
  </r>
  <r>
    <x v="670"/>
    <s v=""/>
    <n v="280"/>
    <d v="2023-05-01T00:00:00"/>
    <d v="2050-01-01T00:00:00"/>
    <n v="280"/>
    <x v="0"/>
  </r>
  <r>
    <x v="671"/>
    <s v=""/>
    <n v="308"/>
    <d v="2023-05-01T00:00:00"/>
    <d v="2050-01-01T00:00:00"/>
    <n v="308"/>
    <x v="0"/>
  </r>
  <r>
    <x v="671"/>
    <s v=""/>
    <n v="261"/>
    <d v="2023-05-01T00:00:00"/>
    <d v="2050-01-01T00:00:00"/>
    <n v="261"/>
    <x v="0"/>
  </r>
  <r>
    <x v="672"/>
    <s v=""/>
    <n v="310"/>
    <d v="2023-05-01T00:00:00"/>
    <d v="2050-01-01T00:00:00"/>
    <n v="310"/>
    <x v="0"/>
  </r>
  <r>
    <x v="672"/>
    <s v=""/>
    <n v="245"/>
    <d v="2023-05-01T00:00:00"/>
    <d v="2050-01-01T00:00:00"/>
    <n v="245"/>
    <x v="0"/>
  </r>
  <r>
    <x v="672"/>
    <s v=""/>
    <n v="220"/>
    <d v="2023-05-01T00:00:00"/>
    <d v="2050-01-01T00:00:00"/>
    <n v="220"/>
    <x v="0"/>
  </r>
  <r>
    <x v="673"/>
    <s v=""/>
    <n v="240"/>
    <d v="2023-05-01T00:00:00"/>
    <d v="2050-01-01T00:00:00"/>
    <n v="240"/>
    <x v="0"/>
  </r>
  <r>
    <x v="537"/>
    <s v=""/>
    <n v="908.25000000000011"/>
    <d v="2023-05-01T00:00:00"/>
    <d v="2050-01-01T00:00:00"/>
    <n v="908.25000000000011"/>
    <x v="0"/>
  </r>
  <r>
    <x v="674"/>
    <s v=""/>
    <n v="535"/>
    <d v="2023-05-01T00:00:00"/>
    <d v="2050-01-01T00:00:00"/>
    <n v="535"/>
    <x v="0"/>
  </r>
  <r>
    <x v="675"/>
    <s v=""/>
    <n v="594"/>
    <d v="2023-05-01T00:00:00"/>
    <d v="2050-01-01T00:00:00"/>
    <n v="594"/>
    <x v="0"/>
  </r>
  <r>
    <x v="676"/>
    <s v=""/>
    <n v="1010"/>
    <d v="2023-05-01T00:00:00"/>
    <d v="2050-01-01T00:00:00"/>
    <n v="1010"/>
    <x v="0"/>
  </r>
  <r>
    <x v="677"/>
    <s v=""/>
    <n v="1061"/>
    <d v="2023-05-01T00:00:00"/>
    <d v="2050-01-01T00:00:00"/>
    <n v="1061"/>
    <x v="0"/>
  </r>
  <r>
    <x v="677"/>
    <s v=""/>
    <n v="1022"/>
    <d v="2023-05-01T00:00:00"/>
    <d v="2050-01-01T00:00:00"/>
    <n v="1022"/>
    <x v="0"/>
  </r>
  <r>
    <x v="678"/>
    <s v=""/>
    <n v="1450"/>
    <d v="2023-05-01T00:00:00"/>
    <d v="2050-01-01T00:00:00"/>
    <n v="1450"/>
    <x v="0"/>
  </r>
  <r>
    <x v="678"/>
    <s v=""/>
    <n v="1413"/>
    <d v="2023-05-01T00:00:00"/>
    <d v="2050-01-01T00:00:00"/>
    <n v="1413"/>
    <x v="0"/>
  </r>
  <r>
    <x v="679"/>
    <s v=""/>
    <n v="305.45999999999998"/>
    <d v="2023-05-01T00:00:00"/>
    <d v="2024-05-03T00:00:00"/>
    <n v="305.45999999999998"/>
    <x v="1"/>
  </r>
  <r>
    <x v="680"/>
    <s v=""/>
    <n v="7184"/>
    <d v="2023-04-01T00:00:00"/>
    <d v="2050-01-01T00:00:00"/>
    <n v="7184"/>
    <x v="0"/>
  </r>
  <r>
    <x v="679"/>
    <s v=""/>
    <n v="311.32"/>
    <d v="2024-05-03T00:00:00"/>
    <d v="2025-12-31T00:00:00"/>
    <n v="311.32"/>
    <x v="0"/>
  </r>
  <r>
    <x v="680"/>
    <s v=""/>
    <n v="4973"/>
    <d v="2023-04-01T00:00:00"/>
    <d v="2050-01-01T00:00:00"/>
    <n v="4973"/>
    <x v="0"/>
  </r>
  <r>
    <x v="681"/>
    <s v=""/>
    <n v="180"/>
    <d v="2023-06-01T00:00:00"/>
    <d v="2050-01-01T00:00:00"/>
    <n v="180"/>
    <x v="0"/>
  </r>
  <r>
    <x v="682"/>
    <s v=""/>
    <n v="465"/>
    <d v="2023-06-02T00:00:00"/>
    <d v="2050-01-01T00:00:00"/>
    <n v="465"/>
    <x v="0"/>
  </r>
  <r>
    <x v="683"/>
    <s v=""/>
    <n v="396.00000000000006"/>
    <d v="2023-06-02T00:00:00"/>
    <d v="2027-01-01T00:00:00"/>
    <n v="396.00000000000006"/>
    <x v="0"/>
  </r>
  <r>
    <x v="555"/>
    <s v=""/>
    <n v="850"/>
    <d v="2023-06-02T00:00:00"/>
    <d v="2050-01-01T00:00:00"/>
    <n v="850"/>
    <x v="0"/>
  </r>
  <r>
    <x v="555"/>
    <s v=""/>
    <n v="820"/>
    <d v="2023-06-02T00:00:00"/>
    <d v="2050-01-01T00:00:00"/>
    <n v="820"/>
    <x v="0"/>
  </r>
  <r>
    <x v="555"/>
    <s v=""/>
    <n v="800"/>
    <d v="2023-06-02T00:00:00"/>
    <d v="2050-01-01T00:00:00"/>
    <n v="800"/>
    <x v="0"/>
  </r>
  <r>
    <x v="684"/>
    <s v=""/>
    <n v="370"/>
    <d v="2023-06-16T00:00:00"/>
    <d v="2050-01-01T00:00:00"/>
    <n v="370"/>
    <x v="0"/>
  </r>
  <r>
    <x v="685"/>
    <s v=""/>
    <n v="1151.28"/>
    <d v="2023-06-21T00:00:00"/>
    <d v="2050-01-01T00:00:00"/>
    <n v="1151.28"/>
    <x v="0"/>
  </r>
  <r>
    <x v="686"/>
    <s v=""/>
    <n v="290.73"/>
    <d v="2023-06-01T00:00:00"/>
    <d v="2024-05-03T00:00:00"/>
    <n v="290.73"/>
    <x v="1"/>
  </r>
  <r>
    <x v="687"/>
    <s v=""/>
    <n v="350"/>
    <d v="2023-06-27T00:00:00"/>
    <d v="2050-01-01T00:00:00"/>
    <n v="350"/>
    <x v="0"/>
  </r>
  <r>
    <x v="686"/>
    <s v=""/>
    <n v="283.26"/>
    <d v="2024-05-03T00:00:00"/>
    <d v="2025-12-31T00:00:00"/>
    <n v="283.26"/>
    <x v="0"/>
  </r>
  <r>
    <x v="688"/>
    <s v=""/>
    <n v="662.6"/>
    <d v="2023-07-03T00:00:00"/>
    <d v="2050-01-01T00:00:00"/>
    <n v="662.6"/>
    <x v="0"/>
  </r>
  <r>
    <x v="157"/>
    <s v=""/>
    <n v="130"/>
    <d v="2023-07-05T00:00:00"/>
    <d v="2050-01-01T00:00:00"/>
    <n v="130"/>
    <x v="0"/>
  </r>
  <r>
    <x v="689"/>
    <s v=""/>
    <n v="514"/>
    <d v="2023-07-26T00:00:00"/>
    <d v="2050-01-01T00:00:00"/>
    <n v="514"/>
    <x v="0"/>
  </r>
  <r>
    <x v="690"/>
    <s v=""/>
    <n v="225.99999999999997"/>
    <d v="2023-08-01T00:00:00"/>
    <d v="2050-01-01T00:00:00"/>
    <n v="225.99999999999997"/>
    <x v="0"/>
  </r>
  <r>
    <x v="690"/>
    <s v=""/>
    <n v="196"/>
    <d v="2023-08-01T00:00:00"/>
    <d v="2050-01-01T00:00:00"/>
    <n v="196"/>
    <x v="0"/>
  </r>
  <r>
    <x v="691"/>
    <s v=""/>
    <n v="702"/>
    <d v="2023-08-03T00:00:00"/>
    <d v="2023-08-16T00:00:00"/>
    <n v="702"/>
    <x v="1"/>
  </r>
  <r>
    <x v="692"/>
    <s v=""/>
    <n v="216"/>
    <d v="2023-08-09T00:00:00"/>
    <d v="2050-01-01T00:00:00"/>
    <n v="216"/>
    <x v="0"/>
  </r>
  <r>
    <x v="691"/>
    <s v=""/>
    <n v="892"/>
    <d v="2023-08-17T00:00:00"/>
    <d v="2050-01-01T00:00:00"/>
    <n v="892"/>
    <x v="0"/>
  </r>
  <r>
    <x v="692"/>
    <s v=""/>
    <n v="182"/>
    <d v="2023-08-09T00:00:00"/>
    <d v="2050-01-01T00:00:00"/>
    <n v="182"/>
    <x v="0"/>
  </r>
  <r>
    <x v="693"/>
    <s v=""/>
    <n v="160"/>
    <d v="2023-08-17T00:00:00"/>
    <d v="2050-01-01T00:00:00"/>
    <n v="160"/>
    <x v="0"/>
  </r>
  <r>
    <x v="694"/>
    <s v=""/>
    <n v="143"/>
    <d v="2023-08-24T00:00:00"/>
    <d v="2050-01-01T00:00:00"/>
    <n v="143"/>
    <x v="0"/>
  </r>
  <r>
    <x v="695"/>
    <s v=""/>
    <n v="139"/>
    <d v="2023-08-24T00:00:00"/>
    <d v="2050-01-01T00:00:00"/>
    <n v="139"/>
    <x v="0"/>
  </r>
  <r>
    <x v="696"/>
    <s v=""/>
    <n v="383.24999999999994"/>
    <n v="-53688"/>
    <n v="-53688"/>
    <n v="383.24999999999994"/>
    <x v="1"/>
  </r>
  <r>
    <x v="697"/>
    <s v=""/>
    <n v="403.2"/>
    <n v="-53688"/>
    <n v="-53688"/>
    <n v="403.2"/>
    <x v="1"/>
  </r>
  <r>
    <x v="698"/>
    <s v=""/>
    <n v="255.15"/>
    <n v="-53688"/>
    <n v="-53688"/>
    <n v="255.15"/>
    <x v="1"/>
  </r>
  <r>
    <x v="699"/>
    <s v=""/>
    <n v="345.45000000000005"/>
    <n v="-53688"/>
    <n v="-53688"/>
    <n v="345.45000000000005"/>
    <x v="1"/>
  </r>
  <r>
    <x v="700"/>
    <s v=""/>
    <n v="843"/>
    <n v="-53688"/>
    <n v="-53688"/>
    <n v="843"/>
    <x v="1"/>
  </r>
  <r>
    <x v="693"/>
    <s v=""/>
    <n v="160"/>
    <n v="-53688"/>
    <n v="-53688"/>
    <n v="160"/>
    <x v="1"/>
  </r>
  <r>
    <x v="701"/>
    <s v=""/>
    <n v="254.00000000000003"/>
    <n v="-53688"/>
    <n v="-53688"/>
    <n v="254.00000000000003"/>
    <x v="1"/>
  </r>
  <r>
    <x v="702"/>
    <s v=""/>
    <n v="262"/>
    <n v="-53688"/>
    <n v="-53688"/>
    <n v="262"/>
    <x v="1"/>
  </r>
  <r>
    <x v="703"/>
    <s v=""/>
    <n v="307"/>
    <n v="-53688"/>
    <n v="-53688"/>
    <n v="307"/>
    <x v="1"/>
  </r>
  <r>
    <x v="704"/>
    <s v=""/>
    <n v="860"/>
    <n v="-53688"/>
    <n v="-53688"/>
    <n v="860"/>
    <x v="1"/>
  </r>
  <r>
    <x v="705"/>
    <s v=""/>
    <n v="39.43"/>
    <d v="2000-01-01T00:00:00"/>
    <d v="2099-01-01T00:00:00"/>
    <n v="39.43"/>
    <x v="0"/>
  </r>
  <r>
    <x v="706"/>
    <s v=""/>
    <n v="765"/>
    <d v="2023-07-01T00:00:00"/>
    <d v="2029-12-31T00:00:00"/>
    <n v="765"/>
    <x v="0"/>
  </r>
  <r>
    <x v="707"/>
    <s v=""/>
    <n v="3610"/>
    <n v="-53688"/>
    <n v="-53688"/>
    <n v="3610"/>
    <x v="1"/>
  </r>
  <r>
    <x v="706"/>
    <s v=""/>
    <n v="716.4"/>
    <d v="2024-01-01T00:00:00"/>
    <d v="2050-01-01T00:00:00"/>
    <n v="716.4"/>
    <x v="0"/>
  </r>
  <r>
    <x v="506"/>
    <s v=""/>
    <n v="380.00000000000006"/>
    <d v="2023-11-01T00:00:00"/>
    <d v="2050-01-01T00:00:00"/>
    <n v="380.00000000000006"/>
    <x v="0"/>
  </r>
  <r>
    <x v="708"/>
    <s v=""/>
    <n v="865"/>
    <d v="2024-01-01T00:00:00"/>
    <d v="2024-12-31T00:00:00"/>
    <n v="865"/>
    <x v="1"/>
  </r>
  <r>
    <x v="708"/>
    <s v=""/>
    <n v="838.99999999999989"/>
    <d v="2025-01-01T00:00:00"/>
    <d v="2025-12-31T00:00:00"/>
    <n v="838.99999999999989"/>
    <x v="0"/>
  </r>
  <r>
    <x v="708"/>
    <s v=""/>
    <n v="814"/>
    <d v="2026-01-01T00:00:00"/>
    <d v="2026-12-31T00:00:00"/>
    <n v="814"/>
    <x v="0"/>
  </r>
  <r>
    <x v="708"/>
    <s v=""/>
    <n v="789.99999999999989"/>
    <d v="2027-01-01T00:00:00"/>
    <d v="2027-12-31T00:00:00"/>
    <n v="789.99999999999989"/>
    <x v="0"/>
  </r>
  <r>
    <x v="709"/>
    <s v=""/>
    <n v="251"/>
    <d v="2024-01-01T00:00:00"/>
    <d v="2024-12-31T00:00:00"/>
    <n v="251"/>
    <x v="1"/>
  </r>
  <r>
    <x v="709"/>
    <s v=""/>
    <n v="239"/>
    <d v="2025-01-01T00:00:00"/>
    <d v="2025-12-31T00:00:00"/>
    <n v="239"/>
    <x v="0"/>
  </r>
  <r>
    <x v="709"/>
    <s v=""/>
    <n v="228"/>
    <d v="2026-01-01T00:00:00"/>
    <d v="2026-12-31T00:00:00"/>
    <n v="228"/>
    <x v="0"/>
  </r>
  <r>
    <x v="709"/>
    <s v=""/>
    <n v="217.99999999999997"/>
    <d v="2027-01-01T00:00:00"/>
    <d v="2027-12-31T00:00:00"/>
    <n v="217.99999999999997"/>
    <x v="0"/>
  </r>
  <r>
    <x v="710"/>
    <s v=""/>
    <n v="373"/>
    <d v="2023-11-06T00:00:00"/>
    <d v="2050-01-01T00:00:00"/>
    <n v="373"/>
    <x v="0"/>
  </r>
  <r>
    <x v="710"/>
    <s v=""/>
    <n v="334"/>
    <d v="2023-11-06T00:00:00"/>
    <d v="2050-01-01T00:00:00"/>
    <n v="334"/>
    <x v="0"/>
  </r>
  <r>
    <x v="711"/>
    <s v=""/>
    <n v="309"/>
    <d v="2023-11-07T00:00:00"/>
    <d v="2050-01-01T00:00:00"/>
    <n v="309"/>
    <x v="0"/>
  </r>
  <r>
    <x v="712"/>
    <s v=""/>
    <n v="393.5"/>
    <d v="2023-11-07T00:00:00"/>
    <d v="2050-01-01T00:00:00"/>
    <n v="393.5"/>
    <x v="0"/>
  </r>
  <r>
    <x v="713"/>
    <s v=""/>
    <n v="470"/>
    <d v="2023-11-13T00:00:00"/>
    <d v="2050-01-01T00:00:00"/>
    <n v="470"/>
    <x v="0"/>
  </r>
  <r>
    <x v="714"/>
    <s v=""/>
    <n v="201.99999999999997"/>
    <d v="2023-12-14T00:00:00"/>
    <d v="2050-01-01T00:00:00"/>
    <n v="201.99999999999997"/>
    <x v="0"/>
  </r>
  <r>
    <x v="714"/>
    <s v=""/>
    <n v="150"/>
    <d v="2023-12-14T00:00:00"/>
    <d v="2050-01-01T00:00:00"/>
    <n v="150"/>
    <x v="0"/>
  </r>
  <r>
    <x v="715"/>
    <s v=""/>
    <n v="175"/>
    <d v="2023-12-14T00:00:00"/>
    <d v="2051-01-01T00:00:00"/>
    <n v="175"/>
    <x v="0"/>
  </r>
  <r>
    <x v="716"/>
    <s v=""/>
    <n v="150"/>
    <d v="2023-12-16T00:00:00"/>
    <d v="2026-01-01T00:00:00"/>
    <n v="150"/>
    <x v="0"/>
  </r>
  <r>
    <x v="717"/>
    <s v=""/>
    <n v="1860"/>
    <d v="2023-12-21T00:00:00"/>
    <d v="2050-01-01T00:00:00"/>
    <n v="1860"/>
    <x v="0"/>
  </r>
  <r>
    <x v="718"/>
    <s v=""/>
    <n v="1302"/>
    <d v="2023-12-21T00:00:00"/>
    <d v="2050-01-01T00:00:00"/>
    <n v="1302"/>
    <x v="0"/>
  </r>
  <r>
    <x v="719"/>
    <s v=""/>
    <n v="1376"/>
    <d v="2023-12-21T00:00:00"/>
    <d v="2050-01-01T00:00:00"/>
    <n v="1376"/>
    <x v="0"/>
  </r>
  <r>
    <x v="720"/>
    <s v=""/>
    <n v="323"/>
    <d v="2024-01-11T00:00:00"/>
    <d v="2050-01-01T00:00:00"/>
    <n v="323"/>
    <x v="0"/>
  </r>
  <r>
    <x v="721"/>
    <s v=""/>
    <n v="315"/>
    <d v="2024-01-16T00:00:00"/>
    <d v="2024-12-31T00:00:00"/>
    <n v="315"/>
    <x v="1"/>
  </r>
  <r>
    <x v="722"/>
    <s v=""/>
    <n v="716.4"/>
    <d v="2024-01-16T00:00:00"/>
    <d v="2024-12-31T00:00:00"/>
    <n v="716.4"/>
    <x v="1"/>
  </r>
  <r>
    <x v="721"/>
    <s v=""/>
    <n v="275.27999999999997"/>
    <d v="2025-01-01T00:00:00"/>
    <d v="2025-12-31T00:00:00"/>
    <n v="275.27999999999997"/>
    <x v="0"/>
  </r>
  <r>
    <x v="723"/>
    <s v=""/>
    <n v="593.1"/>
    <d v="2024-01-16T00:00:00"/>
    <d v="2024-12-31T00:00:00"/>
    <n v="593.1"/>
    <x v="1"/>
  </r>
  <r>
    <x v="722"/>
    <s v=""/>
    <n v="652.81000000000006"/>
    <d v="2025-01-01T00:00:00"/>
    <d v="2025-12-31T00:00:00"/>
    <n v="652.81000000000006"/>
    <x v="0"/>
  </r>
  <r>
    <x v="55"/>
    <s v=""/>
    <n v="213.10999999999999"/>
    <d v="2024-02-01T00:00:00"/>
    <d v="2050-01-01T00:00:00"/>
    <n v="213.10999999999999"/>
    <x v="0"/>
  </r>
  <r>
    <x v="723"/>
    <s v=""/>
    <n v="541.26"/>
    <d v="2025-01-01T00:00:00"/>
    <d v="2025-12-01T00:00:00"/>
    <n v="541.26"/>
    <x v="0"/>
  </r>
  <r>
    <x v="724"/>
    <s v=""/>
    <n v="1001.0000000000001"/>
    <d v="2024-04-01T00:00:00"/>
    <d v="2024-12-31T00:00:00"/>
    <n v="1001.0000000000001"/>
    <x v="1"/>
  </r>
  <r>
    <x v="55"/>
    <s v=""/>
    <n v="210.95999999999998"/>
    <d v="2024-02-01T00:00:00"/>
    <d v="2050-01-01T00:00:00"/>
    <n v="210.95999999999998"/>
    <x v="0"/>
  </r>
  <r>
    <x v="725"/>
    <s v=""/>
    <n v="1333"/>
    <d v="2024-04-01T00:00:00"/>
    <d v="2025-12-31T00:00:00"/>
    <n v="1333"/>
    <x v="0"/>
  </r>
  <r>
    <x v="724"/>
    <s v=""/>
    <n v="964"/>
    <d v="2025-01-01T00:00:00"/>
    <d v="2025-12-31T00:00:00"/>
    <n v="964"/>
    <x v="0"/>
  </r>
  <r>
    <x v="726"/>
    <s v=""/>
    <n v="1304"/>
    <d v="2024-04-01T00:00:00"/>
    <d v="2024-12-31T00:00:00"/>
    <n v="1304"/>
    <x v="1"/>
  </r>
  <r>
    <x v="727"/>
    <s v=""/>
    <n v="255.15"/>
    <d v="2024-02-13T00:00:00"/>
    <d v="2050-01-01T00:00:00"/>
    <n v="255.15"/>
    <x v="0"/>
  </r>
  <r>
    <x v="728"/>
    <s v=""/>
    <n v="1085"/>
    <d v="2024-04-01T00:00:00"/>
    <d v="2024-12-31T00:00:00"/>
    <n v="1085"/>
    <x v="1"/>
  </r>
  <r>
    <x v="726"/>
    <s v=""/>
    <n v="1250"/>
    <d v="2025-01-01T00:00:00"/>
    <d v="2025-12-31T00:00:00"/>
    <n v="1250"/>
    <x v="0"/>
  </r>
  <r>
    <x v="729"/>
    <s v=""/>
    <n v="200"/>
    <d v="2024-01-01T00:00:00"/>
    <d v="2050-01-01T00:00:00"/>
    <n v="200"/>
    <x v="0"/>
  </r>
  <r>
    <x v="730"/>
    <s v=""/>
    <n v="1210"/>
    <d v="2024-04-01T00:00:00"/>
    <d v="2024-12-31T00:00:00"/>
    <n v="1210"/>
    <x v="1"/>
  </r>
  <r>
    <x v="728"/>
    <s v=""/>
    <n v="1030"/>
    <d v="2025-01-01T00:00:00"/>
    <d v="2025-12-31T00:00:00"/>
    <n v="1030"/>
    <x v="0"/>
  </r>
  <r>
    <x v="731"/>
    <s v=""/>
    <n v="38.5"/>
    <d v="2024-05-17T00:00:00"/>
    <d v="2029-12-31T00:00:00"/>
    <n v="38.5"/>
    <x v="0"/>
  </r>
  <r>
    <x v="730"/>
    <s v=""/>
    <n v="1151"/>
    <d v="2025-01-01T00:00:00"/>
    <d v="2025-12-31T00:00:00"/>
    <n v="1151"/>
    <x v="0"/>
  </r>
  <r>
    <x v="732"/>
    <s v=""/>
    <n v="1500"/>
    <d v="2024-01-01T00:00:00"/>
    <d v="2025-01-01T00:00:00"/>
    <n v="1500"/>
    <x v="1"/>
  </r>
  <r>
    <x v="733"/>
    <s v="USD"/>
    <n v="283.68"/>
    <d v="2024-01-01T00:00:00"/>
    <d v="2029-12-31T00:00:00"/>
    <n v="249.63840000000002"/>
    <x v="0"/>
  </r>
  <r>
    <x v="22"/>
    <s v=""/>
    <n v="386.99999999999994"/>
    <d v="2024-07-15T00:00:00"/>
    <d v="2029-12-31T00:00:00"/>
    <n v="386.99999999999994"/>
    <x v="0"/>
  </r>
  <r>
    <x v="21"/>
    <s v=""/>
    <n v="247"/>
    <d v="2024-07-15T00:00:00"/>
    <d v="2029-12-31T00:00:00"/>
    <n v="247"/>
    <x v="0"/>
  </r>
  <r>
    <x v="38"/>
    <s v=""/>
    <n v="7999.9999999999991"/>
    <d v="2024-07-26T00:00:00"/>
    <d v="2029-12-31T00:00:00"/>
    <n v="7999.9999999999991"/>
    <x v="0"/>
  </r>
  <r>
    <x v="734"/>
    <s v=""/>
    <n v="1536"/>
    <d v="2024-01-01T00:00:00"/>
    <d v="2024-12-31T00:00:00"/>
    <n v="1536"/>
    <x v="1"/>
  </r>
  <r>
    <x v="735"/>
    <s v=""/>
    <n v="1074.8999999999999"/>
    <d v="2000-01-01T00:00:00"/>
    <d v="2022-05-10T00:00:00"/>
    <n v="1074.8999999999999"/>
    <x v="1"/>
  </r>
  <r>
    <x v="734"/>
    <s v=""/>
    <n v="1515.2400000000002"/>
    <d v="2025-01-01T00:00:00"/>
    <d v="2025-12-31T00:00:00"/>
    <n v="1515.2400000000002"/>
    <x v="0"/>
  </r>
  <r>
    <x v="735"/>
    <s v=""/>
    <n v="1116"/>
    <d v="2022-07-25T00:00:00"/>
    <d v="2022-09-30T00:00:00"/>
    <n v="1116"/>
    <x v="1"/>
  </r>
  <r>
    <x v="735"/>
    <s v=""/>
    <n v="1160.6400000000001"/>
    <d v="2022-10-01T00:00:00"/>
    <d v="2022-12-31T00:00:00"/>
    <n v="1160.6400000000001"/>
    <x v="1"/>
  </r>
  <r>
    <x v="735"/>
    <s v=""/>
    <n v="1149"/>
    <d v="2023-01-01T00:00:00"/>
    <d v="2023-03-31T00:00:00"/>
    <n v="1149"/>
    <x v="1"/>
  </r>
  <r>
    <x v="735"/>
    <s v=""/>
    <n v="1068.5999999999999"/>
    <d v="2023-04-01T00:00:00"/>
    <d v="2023-12-31T00:00:00"/>
    <n v="1068.5999999999999"/>
    <x v="1"/>
  </r>
  <r>
    <x v="735"/>
    <s v=""/>
    <n v="1068.1000000000001"/>
    <d v="2024-01-01T00:00:00"/>
    <d v="2024-12-31T00:00:00"/>
    <n v="1068.1000000000001"/>
    <x v="1"/>
  </r>
  <r>
    <x v="736"/>
    <s v=""/>
    <n v="1682.3999999999999"/>
    <d v="2023-12-01T00:00:00"/>
    <d v="2024-12-31T00:00:00"/>
    <n v="1682.3999999999999"/>
    <x v="1"/>
  </r>
  <r>
    <x v="735"/>
    <s v=""/>
    <n v="1076.3"/>
    <d v="2025-01-01T00:00:00"/>
    <d v="2025-12-31T00:00:00"/>
    <n v="1076.3"/>
    <x v="0"/>
  </r>
  <r>
    <x v="737"/>
    <s v=""/>
    <n v="1170"/>
    <d v="2000-01-01T00:00:00"/>
    <d v="2022-09-30T00:00:00"/>
    <n v="1170"/>
    <x v="1"/>
  </r>
  <r>
    <x v="736"/>
    <s v=""/>
    <n v="1686.09"/>
    <d v="2025-01-01T00:00:00"/>
    <d v="2025-12-31T00:00:00"/>
    <n v="1686.09"/>
    <x v="0"/>
  </r>
  <r>
    <x v="737"/>
    <s v=""/>
    <n v="1216.8"/>
    <d v="2022-10-01T00:00:00"/>
    <d v="2022-12-31T00:00:00"/>
    <n v="1216.8"/>
    <x v="1"/>
  </r>
  <r>
    <x v="737"/>
    <s v=""/>
    <n v="1204.6320000000001"/>
    <d v="2023-01-01T00:00:00"/>
    <d v="2023-03-31T00:00:00"/>
    <n v="1204.6320000000001"/>
    <x v="1"/>
  </r>
  <r>
    <x v="737"/>
    <s v=""/>
    <n v="1120.3"/>
    <d v="2023-04-01T00:00:00"/>
    <d v="2024-12-31T00:00:00"/>
    <n v="1120.3"/>
    <x v="1"/>
  </r>
  <r>
    <x v="738"/>
    <s v=""/>
    <n v="1143"/>
    <d v="2000-01-01T00:00:00"/>
    <d v="2022-09-30T00:00:00"/>
    <n v="1143"/>
    <x v="1"/>
  </r>
  <r>
    <x v="737"/>
    <s v=""/>
    <n v="1111.3599999999999"/>
    <d v="2025-01-01T00:00:00"/>
    <d v="2025-12-31T00:00:00"/>
    <n v="1111.3599999999999"/>
    <x v="0"/>
  </r>
  <r>
    <x v="738"/>
    <s v=""/>
    <n v="1188.72"/>
    <d v="2022-10-01T00:00:00"/>
    <d v="2022-12-31T00:00:00"/>
    <n v="1188.72"/>
    <x v="1"/>
  </r>
  <r>
    <x v="738"/>
    <s v=""/>
    <n v="1176.8"/>
    <d v="2023-01-01T00:00:00"/>
    <d v="2023-03-31T00:00:00"/>
    <n v="1176.8"/>
    <x v="1"/>
  </r>
  <r>
    <x v="738"/>
    <s v=""/>
    <n v="1094.44"/>
    <d v="2023-04-01T00:00:00"/>
    <d v="2024-12-31T00:00:00"/>
    <n v="1094.44"/>
    <x v="1"/>
  </r>
  <r>
    <x v="739"/>
    <s v=""/>
    <n v="1185"/>
    <d v="2000-01-01T00:00:00"/>
    <d v="2022-09-30T00:00:00"/>
    <n v="1185"/>
    <x v="1"/>
  </r>
  <r>
    <x v="738"/>
    <s v=""/>
    <n v="1090.2"/>
    <d v="2025-01-01T00:00:00"/>
    <d v="2025-12-31T00:00:00"/>
    <n v="1090.2"/>
    <x v="0"/>
  </r>
  <r>
    <x v="739"/>
    <s v=""/>
    <n v="1232.4000000000001"/>
    <d v="2022-10-01T00:00:00"/>
    <d v="2022-12-31T00:00:00"/>
    <n v="1232.4000000000001"/>
    <x v="1"/>
  </r>
  <r>
    <x v="739"/>
    <s v=""/>
    <n v="1220.0999999999999"/>
    <d v="2023-01-01T00:00:00"/>
    <d v="2023-03-31T00:00:00"/>
    <n v="1220.0999999999999"/>
    <x v="1"/>
  </r>
  <r>
    <x v="739"/>
    <s v=""/>
    <n v="1134.7"/>
    <d v="2023-04-01T00:00:00"/>
    <d v="2024-12-31T00:00:00"/>
    <n v="1134.7"/>
    <x v="1"/>
  </r>
  <r>
    <x v="740"/>
    <s v=""/>
    <n v="595"/>
    <d v="2000-01-01T00:00:00"/>
    <d v="2026-12-31T00:00:00"/>
    <n v="595"/>
    <x v="0"/>
  </r>
  <r>
    <x v="31"/>
    <s v=""/>
    <n v="357.6"/>
    <d v="2024-09-03T00:00:00"/>
    <d v="2029-12-31T00:00:00"/>
    <n v="357.6"/>
    <x v="0"/>
  </r>
  <r>
    <x v="31"/>
    <s v=""/>
    <n v="347.5"/>
    <d v="2024-09-03T00:00:00"/>
    <d v="2029-12-31T00:00:00"/>
    <n v="347.5"/>
    <x v="0"/>
  </r>
  <r>
    <x v="741"/>
    <s v=""/>
    <n v="975"/>
    <d v="2024-09-09T00:00:00"/>
    <d v="2029-12-31T00:00:00"/>
    <n v="975"/>
    <x v="0"/>
  </r>
  <r>
    <x v="742"/>
    <s v=""/>
    <n v="1341"/>
    <d v="2024-09-09T00:00:00"/>
    <d v="2029-12-31T00:00:00"/>
    <n v="1341"/>
    <x v="0"/>
  </r>
  <r>
    <x v="743"/>
    <s v=""/>
    <n v="2170"/>
    <d v="2024-09-10T00:00:00"/>
    <d v="2029-12-30T00:00:00"/>
    <n v="2170"/>
    <x v="0"/>
  </r>
  <r>
    <x v="744"/>
    <s v=""/>
    <n v="760.00000000000011"/>
    <d v="2024-02-20T00:00:00"/>
    <d v="2050-12-31T00:00:00"/>
    <n v="760.00000000000011"/>
    <x v="0"/>
  </r>
  <r>
    <x v="744"/>
    <s v=""/>
    <n v="720"/>
    <d v="2024-02-20T00:00:00"/>
    <d v="2050-12-31T00:00:00"/>
    <n v="720"/>
    <x v="0"/>
  </r>
  <r>
    <x v="745"/>
    <s v="USD"/>
    <n v="201.6"/>
    <d v="2024-01-01T00:00:00"/>
    <d v="2025-12-31T00:00:00"/>
    <n v="177.40799999999999"/>
    <x v="0"/>
  </r>
  <r>
    <x v="746"/>
    <s v=""/>
    <n v="1694"/>
    <d v="2024-09-16T00:00:00"/>
    <d v="2029-12-31T00:00:00"/>
    <n v="1694"/>
    <x v="0"/>
  </r>
  <r>
    <x v="747"/>
    <s v=""/>
    <n v="154.9"/>
    <d v="2024-09-17T00:00:00"/>
    <d v="2029-12-31T00:00:00"/>
    <n v="154.9"/>
    <x v="0"/>
  </r>
  <r>
    <x v="747"/>
    <s v=""/>
    <n v="203.7"/>
    <d v="2024-09-17T00:00:00"/>
    <d v="2029-12-31T00:00:00"/>
    <n v="203.7"/>
    <x v="0"/>
  </r>
  <r>
    <x v="748"/>
    <s v=""/>
    <n v="2156"/>
    <d v="2000-01-01T00:00:00"/>
    <d v="2025-12-31T00:00:00"/>
    <n v="2156"/>
    <x v="0"/>
  </r>
  <r>
    <x v="748"/>
    <s v=""/>
    <n v="2113"/>
    <d v="2026-01-01T00:00:00"/>
    <d v="2026-12-31T00:00:00"/>
    <n v="2113"/>
    <x v="0"/>
  </r>
  <r>
    <x v="748"/>
    <s v=""/>
    <n v="2092"/>
    <d v="2027-01-01T00:00:00"/>
    <d v="2027-12-31T00:00:00"/>
    <n v="2092"/>
    <x v="0"/>
  </r>
  <r>
    <x v="748"/>
    <s v=""/>
    <n v="2071"/>
    <d v="2028-01-01T00:00:00"/>
    <d v="2035-12-31T00:00:00"/>
    <n v="2071"/>
    <x v="0"/>
  </r>
  <r>
    <x v="749"/>
    <s v=""/>
    <n v="353.5"/>
    <d v="2024-09-25T00:00:00"/>
    <d v="2029-12-31T00:00:00"/>
    <n v="353.5"/>
    <x v="0"/>
  </r>
  <r>
    <x v="750"/>
    <s v=""/>
    <n v="1940.0000000000002"/>
    <d v="2024-05-01T00:00:00"/>
    <d v="2024-12-31T00:00:00"/>
    <n v="1940.0000000000002"/>
    <x v="1"/>
  </r>
  <r>
    <x v="750"/>
    <s v=""/>
    <n v="1895"/>
    <d v="2022-09-20T00:00:00"/>
    <d v="2022-09-30T00:00:00"/>
    <n v="1895"/>
    <x v="1"/>
  </r>
  <r>
    <x v="750"/>
    <s v=""/>
    <n v="1989.0000000000002"/>
    <d v="2022-10-01T00:00:00"/>
    <d v="2023-02-14T00:00:00"/>
    <n v="1989.0000000000002"/>
    <x v="1"/>
  </r>
  <r>
    <x v="750"/>
    <s v=""/>
    <n v="1999.9999999999998"/>
    <d v="2023-02-15T00:00:00"/>
    <d v="2024-04-30T00:00:00"/>
    <n v="1999.9999999999998"/>
    <x v="1"/>
  </r>
  <r>
    <x v="750"/>
    <s v=""/>
    <n v="2020"/>
    <d v="2023-04-01T00:00:00"/>
    <d v="2023-12-31T00:00:00"/>
    <n v="2020"/>
    <x v="1"/>
  </r>
  <r>
    <x v="750"/>
    <s v=""/>
    <n v="1999.9999999999998"/>
    <d v="2024-01-01T00:00:00"/>
    <d v="2024-04-30T00:00:00"/>
    <n v="1999.9999999999998"/>
    <x v="1"/>
  </r>
  <r>
    <x v="751"/>
    <s v=""/>
    <n v="172"/>
    <d v="2024-10-10T00:00:00"/>
    <d v="2029-12-31T00:00:00"/>
    <n v="172"/>
    <x v="0"/>
  </r>
  <r>
    <x v="750"/>
    <s v=""/>
    <n v="1960"/>
    <d v="2025-01-01T00:00:00"/>
    <d v="2025-12-31T00:00:00"/>
    <n v="1960"/>
    <x v="0"/>
  </r>
  <r>
    <x v="751"/>
    <s v=""/>
    <n v="119.00000000000001"/>
    <d v="2024-10-10T00:00:00"/>
    <d v="2029-12-31T00:00:00"/>
    <n v="119.00000000000001"/>
    <x v="0"/>
  </r>
  <r>
    <x v="752"/>
    <s v=""/>
    <n v="579"/>
    <d v="2024-10-14T00:00:00"/>
    <d v="2029-12-31T00:00:00"/>
    <n v="579"/>
    <x v="0"/>
  </r>
  <r>
    <x v="350"/>
    <s v=""/>
    <n v="557.59999999999991"/>
    <d v="2024-10-15T00:00:00"/>
    <d v="2029-12-31T00:00:00"/>
    <n v="557.59999999999991"/>
    <x v="0"/>
  </r>
  <r>
    <x v="753"/>
    <s v=""/>
    <n v="547.54000000000008"/>
    <d v="2024-10-22T00:00:00"/>
    <d v="2029-12-31T00:00:00"/>
    <n v="547.54000000000008"/>
    <x v="0"/>
  </r>
  <r>
    <x v="754"/>
    <s v=""/>
    <n v="384"/>
    <d v="2024-11-18T00:00:00"/>
    <d v="2029-12-31T00:00:00"/>
    <n v="384"/>
    <x v="0"/>
  </r>
  <r>
    <x v="755"/>
    <s v=""/>
    <n v="243"/>
    <d v="2024-11-29T00:00:00"/>
    <d v="2029-12-31T00:00:00"/>
    <n v="243"/>
    <x v="0"/>
  </r>
  <r>
    <x v="755"/>
    <s v=""/>
    <n v="175"/>
    <d v="2024-11-29T00:00:00"/>
    <d v="2029-12-31T00:00:00"/>
    <n v="175"/>
    <x v="0"/>
  </r>
  <r>
    <x v="756"/>
    <s v=""/>
    <n v="766"/>
    <d v="2024-12-02T00:00:00"/>
    <d v="2029-12-31T00:00:00"/>
    <n v="766"/>
    <x v="0"/>
  </r>
  <r>
    <x v="756"/>
    <s v=""/>
    <n v="725.6"/>
    <d v="2024-12-02T00:00:00"/>
    <d v="2029-12-31T00:00:00"/>
    <n v="725.6"/>
    <x v="0"/>
  </r>
  <r>
    <x v="757"/>
    <m/>
    <m/>
    <m/>
    <m/>
    <m/>
    <x v="2"/>
  </r>
  <r>
    <x v="757"/>
    <m/>
    <m/>
    <m/>
    <m/>
    <m/>
    <x v="2"/>
  </r>
  <r>
    <x v="757"/>
    <m/>
    <m/>
    <m/>
    <m/>
    <m/>
    <x v="2"/>
  </r>
  <r>
    <x v="757"/>
    <m/>
    <m/>
    <m/>
    <m/>
    <m/>
    <x v="2"/>
  </r>
  <r>
    <x v="757"/>
    <m/>
    <m/>
    <m/>
    <m/>
    <m/>
    <x v="2"/>
  </r>
  <r>
    <x v="757"/>
    <m/>
    <m/>
    <m/>
    <m/>
    <m/>
    <x v="2"/>
  </r>
  <r>
    <x v="757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F1CD8-8921-4BDE-BA84-1542DC653E5D}" name="Kimutatás1" cacheId="5" applyNumberFormats="0" applyBorderFormats="0" applyFontFormats="0" applyPatternFormats="0" applyAlignmentFormats="0" applyWidthHeightFormats="1" dataCaption="Értékek" updatedVersion="8" minRefreshableVersion="3" useAutoFormatting="1" itemPrintTitles="1" createdVersion="4" indent="0" outline="1" outlineData="1" multipleFieldFilters="0">
  <location ref="K3:L719" firstHeaderRow="1" firstDataRow="1" firstDataCol="1" rowPageCount="1" colPageCount="1"/>
  <pivotFields count="7">
    <pivotField axis="axisRow" showAll="0">
      <items count="761">
        <item m="1" x="759"/>
        <item x="37"/>
        <item x="56"/>
        <item x="58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663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44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51"/>
        <item x="52"/>
        <item x="662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721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39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1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64"/>
        <item x="624"/>
        <item x="625"/>
        <item x="626"/>
        <item x="627"/>
        <item x="628"/>
        <item x="629"/>
        <item x="26"/>
        <item x="630"/>
        <item x="631"/>
        <item x="632"/>
        <item x="633"/>
        <item x="634"/>
        <item x="635"/>
        <item x="636"/>
        <item x="20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757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15"/>
        <item x="678"/>
        <item x="679"/>
        <item x="680"/>
        <item x="681"/>
        <item x="43"/>
        <item x="682"/>
        <item x="683"/>
        <item x="684"/>
        <item x="685"/>
        <item x="0"/>
        <item x="1"/>
        <item x="3"/>
        <item x="6"/>
        <item x="7"/>
        <item x="12"/>
        <item x="14"/>
        <item x="49"/>
        <item x="667"/>
        <item x="687"/>
        <item x="158"/>
        <item x="688"/>
        <item x="13"/>
        <item x="686"/>
        <item x="11"/>
        <item x="61"/>
        <item x="689"/>
        <item x="2"/>
        <item x="4"/>
        <item x="5"/>
        <item x="8"/>
        <item x="9"/>
        <item x="10"/>
        <item x="35"/>
        <item x="36"/>
        <item x="45"/>
        <item x="46"/>
        <item x="23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57"/>
        <item x="59"/>
        <item x="75"/>
        <item x="705"/>
        <item x="706"/>
        <item x="707"/>
        <item x="708"/>
        <item x="709"/>
        <item x="710"/>
        <item x="711"/>
        <item x="712"/>
        <item x="713"/>
        <item x="47"/>
        <item x="590"/>
        <item x="592"/>
        <item x="78"/>
        <item x="714"/>
        <item x="715"/>
        <item x="716"/>
        <item x="717"/>
        <item x="718"/>
        <item x="719"/>
        <item x="720"/>
        <item x="50"/>
        <item x="722"/>
        <item x="723"/>
        <item x="55"/>
        <item x="727"/>
        <item x="42"/>
        <item x="729"/>
        <item x="40"/>
        <item x="34"/>
        <item x="48"/>
        <item x="54"/>
        <item x="724"/>
        <item x="726"/>
        <item x="728"/>
        <item x="730"/>
        <item x="725"/>
        <item x="30"/>
        <item x="53"/>
        <item x="28"/>
        <item x="29"/>
        <item x="24"/>
        <item x="33"/>
        <item x="38"/>
        <item m="1" x="758"/>
        <item x="731"/>
        <item x="732"/>
        <item x="733"/>
        <item x="41"/>
        <item x="166"/>
        <item x="16"/>
        <item x="17"/>
        <item x="18"/>
        <item x="19"/>
        <item x="21"/>
        <item x="22"/>
        <item x="32"/>
        <item x="734"/>
        <item x="735"/>
        <item x="736"/>
        <item x="737"/>
        <item x="738"/>
        <item x="739"/>
        <item x="740"/>
        <item x="31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23"/>
        <item x="25"/>
        <item x="754"/>
        <item x="755"/>
        <item x="756"/>
        <item t="default"/>
      </items>
    </pivotField>
    <pivotField showAll="0"/>
    <pivotField showAll="0"/>
    <pivotField showAll="0"/>
    <pivotField showAll="0"/>
    <pivotField dataField="1" showAll="0"/>
    <pivotField axis="axisPage" showAll="0">
      <items count="4">
        <item x="1"/>
        <item x="0"/>
        <item x="2"/>
        <item t="default"/>
      </items>
    </pivotField>
  </pivotFields>
  <rowFields count="1">
    <field x="0"/>
  </rowFields>
  <rowItems count="716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2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75"/>
    </i>
    <i>
      <x v="676"/>
    </i>
    <i>
      <x v="677"/>
    </i>
    <i>
      <x v="678"/>
    </i>
    <i>
      <x v="679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9"/>
    </i>
    <i>
      <x v="720"/>
    </i>
    <i>
      <x v="722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 t="grand">
      <x/>
    </i>
  </rowItems>
  <colItems count="1">
    <i/>
  </colItems>
  <pageFields count="1">
    <pageField fld="6" item="1" hier="-1"/>
  </pageFields>
  <dataFields count="1">
    <dataField name="Átlag / Price" fld="5" subtotal="average" baseField="0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AE70BA-97B3-4394-9E96-349EEA06413B}" autoFormatId="16" applyNumberFormats="0" applyBorderFormats="0" applyFontFormats="0" applyPatternFormats="0" applyAlignmentFormats="0" applyWidthHeightFormats="0">
  <queryTableRefresh nextId="3">
    <queryTableFields count="2">
      <queryTableField id="1" name="No_" tableColumnId="1"/>
      <queryTableField id="2" name="Standard Cos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C38AFF-6791-4BFD-BF32-EA23C11F4448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Price List Code" tableColumnId="1"/>
      <queryTableField id="2" name="Product No_" tableColumnId="2"/>
      <queryTableField id="3" name="Currency Code" tableColumnId="3"/>
      <queryTableField id="4" name="Unit Price" tableColumnId="4"/>
      <queryTableField id="5" name="Starting Date" tableColumnId="5"/>
      <queryTableField id="6" name="Ending Date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05F345-EB74-4996-B848-237D6B409118}" name="Táblázat_SEI_Interconnect_ÉLES_ne_haszn_Item_437dbf0e_84ff_417a_965d_ed2bb96509725" displayName="Táblázat_SEI_Interconnect_ÉLES_ne_haszn_Item_437dbf0e_84ff_417a_965d_ed2bb96509725" ref="Q1:R4299" tableType="queryTable" totalsRowShown="0">
  <autoFilter ref="Q1:R4299" xr:uid="{6005F345-EB74-4996-B848-237D6B409118}"/>
  <tableColumns count="2">
    <tableColumn id="1" xr3:uid="{5F64D684-0514-46BB-B6A2-D99BC0149053}" uniqueName="1" name="No_" queryTableFieldId="1" dataDxfId="75"/>
    <tableColumn id="2" xr3:uid="{DE37FBBE-3EEF-40FD-8DB9-45E84AAE4539}" uniqueName="2" name="Standard Cos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005180-2F11-4D49-AC58-4806B0197A8A}" name="Táblázat_SEI_Interconnect_ÉLES_ne_haszn_Price_List_Line_437dbf0e_84ff_417a_965d_ed2bb96507" displayName="Táblázat_SEI_Interconnect_ÉLES_ne_haszn_Price_List_Line_437dbf0e_84ff_417a_965d_ed2bb96507" ref="A1:H1514" tableType="queryTable" totalsRowShown="0">
  <autoFilter ref="A1:H1514" xr:uid="{6B005180-2F11-4D49-AC58-4806B0197A8A}"/>
  <tableColumns count="8">
    <tableColumn id="1" xr3:uid="{5BE7ECFF-4A77-4F79-BEAA-9EA864246792}" uniqueName="1" name="Price List Code" queryTableFieldId="1" dataDxfId="74"/>
    <tableColumn id="2" xr3:uid="{9C143B2B-5F22-4DA8-8ADD-899ECC2DB6A8}" uniqueName="2" name="Product No_" queryTableFieldId="2" dataDxfId="73"/>
    <tableColumn id="3" xr3:uid="{678E75F4-E712-4FBF-AA2B-6850D30C0882}" uniqueName="3" name="Currency Code" queryTableFieldId="3" dataDxfId="72"/>
    <tableColumn id="4" xr3:uid="{364D5489-5607-4029-B7D0-B24BA5EC7BA2}" uniqueName="4" name="Unit Price" queryTableFieldId="4"/>
    <tableColumn id="5" xr3:uid="{BE87FA54-5E9F-4B95-9EBC-C03C3C977871}" uniqueName="5" name="Starting Date" queryTableFieldId="5" dataDxfId="71"/>
    <tableColumn id="6" xr3:uid="{C7E6C554-9530-4458-AE31-42504DCA2372}" uniqueName="6" name="Ending Date" queryTableFieldId="6" dataDxfId="70"/>
    <tableColumn id="7" xr3:uid="{FFD4BD93-35AA-47D6-88D4-035338E2BC07}" uniqueName="7" name="Price" queryTableFieldId="7" dataDxfId="69">
      <calculatedColumnFormula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calculatedColumnFormula>
    </tableColumn>
    <tableColumn id="8" xr3:uid="{F4BDA785-0F1E-4192-B355-F02C7C79AB11}" uniqueName="8" name="Valid" queryTableFieldId="8" dataDxfId="68">
      <calculatedColumnFormula>IF(OR(F2=0,F2&gt;TODAY()),"YES","NO")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I17"/>
  <sheetViews>
    <sheetView workbookViewId="0">
      <selection activeCell="E12" sqref="E12"/>
    </sheetView>
  </sheetViews>
  <sheetFormatPr defaultRowHeight="15"/>
  <cols>
    <col min="1" max="1" width="18.42578125" customWidth="1"/>
    <col min="8" max="8" width="23.42578125" customWidth="1"/>
    <col min="9" max="9" width="62.42578125" customWidth="1"/>
  </cols>
  <sheetData>
    <row r="1" spans="1:9">
      <c r="A1" s="133" t="s">
        <v>0</v>
      </c>
      <c r="B1" s="133" t="s">
        <v>1</v>
      </c>
      <c r="C1" s="134"/>
      <c r="D1" s="134"/>
      <c r="E1" s="134"/>
      <c r="F1" s="134"/>
      <c r="G1" s="134"/>
      <c r="H1" s="134"/>
      <c r="I1" s="134"/>
    </row>
    <row r="2" spans="1:9">
      <c r="A2" s="134"/>
      <c r="B2" s="134"/>
      <c r="C2" s="134"/>
      <c r="D2" s="134"/>
      <c r="E2" s="134"/>
      <c r="F2" s="134"/>
      <c r="G2" s="134"/>
      <c r="H2" s="134"/>
      <c r="I2" s="134"/>
    </row>
    <row r="3" spans="1:9">
      <c r="A3" s="133" t="s">
        <v>2</v>
      </c>
      <c r="B3" s="135" t="s">
        <v>3</v>
      </c>
      <c r="C3" s="134"/>
      <c r="D3" s="134"/>
      <c r="E3" s="134"/>
      <c r="F3" s="134"/>
      <c r="G3" s="134"/>
      <c r="H3" s="134"/>
      <c r="I3" s="134"/>
    </row>
    <row r="4" spans="1:9" ht="15.75" thickBot="1">
      <c r="A4" s="134"/>
      <c r="B4" s="134"/>
      <c r="C4" s="134"/>
      <c r="D4" s="134"/>
      <c r="E4" s="134"/>
      <c r="F4" s="134"/>
      <c r="G4" s="134"/>
      <c r="H4" s="134"/>
      <c r="I4" s="134"/>
    </row>
    <row r="5" spans="1:9" ht="15.75" thickBot="1">
      <c r="A5" s="136" t="s">
        <v>4</v>
      </c>
      <c r="B5" s="137" t="s">
        <v>5</v>
      </c>
      <c r="C5" s="137" t="s">
        <v>6</v>
      </c>
      <c r="D5" s="137" t="s">
        <v>7</v>
      </c>
      <c r="E5" s="137" t="s">
        <v>8</v>
      </c>
      <c r="F5" s="134"/>
      <c r="G5" s="134"/>
      <c r="H5" s="500" t="s">
        <v>9</v>
      </c>
      <c r="I5" s="501"/>
    </row>
    <row r="6" spans="1:9" ht="15.75" thickBot="1">
      <c r="A6" s="138" t="s">
        <v>10</v>
      </c>
      <c r="B6" s="139"/>
      <c r="C6" s="139" t="s">
        <v>11</v>
      </c>
      <c r="D6" s="139"/>
      <c r="E6" s="139" t="s">
        <v>11</v>
      </c>
      <c r="F6" s="134"/>
      <c r="G6" s="134"/>
      <c r="H6" s="140" t="s">
        <v>12</v>
      </c>
      <c r="I6" s="141" t="s">
        <v>13</v>
      </c>
    </row>
    <row r="7" spans="1:9" ht="15.75" thickBot="1">
      <c r="A7" s="138" t="s">
        <v>14</v>
      </c>
      <c r="B7" s="139"/>
      <c r="C7" s="139"/>
      <c r="D7" s="139" t="s">
        <v>11</v>
      </c>
      <c r="E7" s="139" t="s">
        <v>11</v>
      </c>
      <c r="F7" s="134"/>
      <c r="G7" s="134"/>
      <c r="H7" s="140" t="s">
        <v>15</v>
      </c>
      <c r="I7" s="141" t="s">
        <v>16</v>
      </c>
    </row>
    <row r="8" spans="1:9" ht="15.75" thickBot="1">
      <c r="A8" s="138" t="s">
        <v>17</v>
      </c>
      <c r="B8" s="139" t="s">
        <v>11</v>
      </c>
      <c r="C8" s="139"/>
      <c r="D8" s="139" t="s">
        <v>11</v>
      </c>
      <c r="E8" s="139" t="s">
        <v>11</v>
      </c>
      <c r="F8" s="134"/>
      <c r="G8" s="134"/>
      <c r="H8" s="140" t="s">
        <v>18</v>
      </c>
      <c r="I8" s="141" t="s">
        <v>19</v>
      </c>
    </row>
    <row r="9" spans="1:9" ht="15.75" thickBot="1">
      <c r="A9" s="138" t="s">
        <v>20</v>
      </c>
      <c r="B9" s="139"/>
      <c r="C9" s="139"/>
      <c r="D9" s="139" t="s">
        <v>11</v>
      </c>
      <c r="E9" s="139" t="s">
        <v>11</v>
      </c>
      <c r="F9" s="134"/>
      <c r="G9" s="134"/>
      <c r="H9" s="140" t="s">
        <v>21</v>
      </c>
      <c r="I9" s="142">
        <v>43116</v>
      </c>
    </row>
    <row r="10" spans="1:9" ht="15.75" thickBot="1">
      <c r="A10" s="138" t="s">
        <v>22</v>
      </c>
      <c r="B10" s="139"/>
      <c r="C10" s="139"/>
      <c r="D10" s="139"/>
      <c r="E10" s="139" t="s">
        <v>11</v>
      </c>
      <c r="F10" s="134"/>
      <c r="G10" s="134"/>
      <c r="H10" s="500" t="s">
        <v>23</v>
      </c>
      <c r="I10" s="501"/>
    </row>
    <row r="11" spans="1:9" ht="26.25" thickBot="1">
      <c r="A11" s="138" t="s">
        <v>24</v>
      </c>
      <c r="B11" s="139"/>
      <c r="C11" s="139"/>
      <c r="D11" s="139"/>
      <c r="E11" s="139" t="s">
        <v>11</v>
      </c>
      <c r="F11" s="134"/>
      <c r="G11" s="134"/>
      <c r="H11" s="143">
        <f>I9</f>
        <v>43116</v>
      </c>
      <c r="I11" s="141" t="s">
        <v>25</v>
      </c>
    </row>
    <row r="12" spans="1:9" ht="24.75" thickBot="1">
      <c r="A12" s="138" t="s">
        <v>26</v>
      </c>
      <c r="B12" s="139"/>
      <c r="C12" s="139"/>
      <c r="D12" s="139" t="s">
        <v>11</v>
      </c>
      <c r="E12" s="139" t="s">
        <v>11</v>
      </c>
      <c r="F12" s="134"/>
      <c r="G12" s="134"/>
      <c r="H12" s="143">
        <v>43628</v>
      </c>
      <c r="I12" s="141" t="s">
        <v>27</v>
      </c>
    </row>
    <row r="13" spans="1:9" ht="26.25" thickBot="1">
      <c r="A13" s="138" t="s">
        <v>28</v>
      </c>
      <c r="B13" s="139"/>
      <c r="C13" s="139"/>
      <c r="D13" s="139"/>
      <c r="E13" s="139" t="s">
        <v>11</v>
      </c>
      <c r="F13" s="134"/>
      <c r="G13" s="134"/>
      <c r="H13" s="143"/>
      <c r="I13" s="141"/>
    </row>
    <row r="14" spans="1:9" ht="15.75" thickBot="1">
      <c r="A14" s="138"/>
      <c r="B14" s="139"/>
      <c r="C14" s="139"/>
      <c r="D14" s="139"/>
      <c r="E14" s="139"/>
      <c r="F14" s="134"/>
      <c r="G14" s="134"/>
      <c r="H14" s="143"/>
      <c r="I14" s="141"/>
    </row>
    <row r="15" spans="1:9" ht="15.75" thickBot="1">
      <c r="A15" s="138"/>
      <c r="B15" s="139"/>
      <c r="C15" s="139"/>
      <c r="D15" s="139"/>
      <c r="E15" s="139"/>
      <c r="F15" s="134"/>
      <c r="G15" s="134"/>
      <c r="H15" s="143"/>
      <c r="I15" s="141"/>
    </row>
    <row r="16" spans="1:9" ht="15.75" thickBot="1">
      <c r="A16" s="138"/>
      <c r="B16" s="139"/>
      <c r="C16" s="139"/>
      <c r="D16" s="139"/>
      <c r="E16" s="139"/>
      <c r="F16" s="134"/>
      <c r="G16" s="134"/>
      <c r="H16" s="143"/>
      <c r="I16" s="141"/>
    </row>
    <row r="17" spans="1:9" ht="15.75" thickBot="1">
      <c r="A17" s="134"/>
      <c r="B17" s="134"/>
      <c r="C17" s="134"/>
      <c r="D17" s="134"/>
      <c r="E17" s="134"/>
      <c r="F17" s="134"/>
      <c r="G17" s="134"/>
      <c r="H17" s="143"/>
      <c r="I17" s="141"/>
    </row>
  </sheetData>
  <mergeCells count="2">
    <mergeCell ref="H5:I5"/>
    <mergeCell ref="H10:I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E73D-E773-4C8A-BAE9-F13A16856454}">
  <dimension ref="A1:E7"/>
  <sheetViews>
    <sheetView workbookViewId="0">
      <selection activeCell="B4" sqref="B4"/>
    </sheetView>
  </sheetViews>
  <sheetFormatPr defaultRowHeight="15"/>
  <sheetData>
    <row r="1" spans="1:5">
      <c r="B1" t="s">
        <v>29</v>
      </c>
      <c r="C1" t="s">
        <v>30</v>
      </c>
    </row>
    <row r="2" spans="1:5">
      <c r="A2" t="s">
        <v>31</v>
      </c>
      <c r="B2">
        <v>1</v>
      </c>
      <c r="C2">
        <v>1.26</v>
      </c>
      <c r="D2">
        <f>C2*B2</f>
        <v>1.26</v>
      </c>
    </row>
    <row r="3" spans="1:5">
      <c r="A3" t="s">
        <v>32</v>
      </c>
      <c r="B3">
        <v>15</v>
      </c>
      <c r="C3">
        <f>1.05*3</f>
        <v>3.1500000000000004</v>
      </c>
      <c r="D3">
        <f t="shared" ref="D3:D5" si="0">C3*B3</f>
        <v>47.250000000000007</v>
      </c>
    </row>
    <row r="4" spans="1:5">
      <c r="A4" t="s">
        <v>33</v>
      </c>
      <c r="B4">
        <v>31</v>
      </c>
      <c r="C4">
        <v>1.67</v>
      </c>
      <c r="D4">
        <f t="shared" si="0"/>
        <v>51.769999999999996</v>
      </c>
    </row>
    <row r="5" spans="1:5">
      <c r="A5" t="s">
        <v>34</v>
      </c>
      <c r="B5">
        <v>0.32600000000000001</v>
      </c>
      <c r="C5">
        <v>2.33</v>
      </c>
      <c r="D5">
        <f t="shared" si="0"/>
        <v>0.75958000000000003</v>
      </c>
    </row>
    <row r="6" spans="1:5">
      <c r="A6" t="s">
        <v>35</v>
      </c>
      <c r="D6">
        <f>SUM(D2:D5)</f>
        <v>101.03958</v>
      </c>
    </row>
    <row r="7" spans="1:5">
      <c r="D7">
        <f>2*17*8</f>
        <v>272</v>
      </c>
      <c r="E7" s="320">
        <f>D6/D7</f>
        <v>0.37146904411764708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>
    <pageSetUpPr fitToPage="1"/>
  </sheetPr>
  <dimension ref="A1:W36"/>
  <sheetViews>
    <sheetView showGridLines="0" tabSelected="1" topLeftCell="F1" zoomScaleNormal="100" workbookViewId="0">
      <pane ySplit="2" topLeftCell="A3" activePane="bottomLeft" state="frozen"/>
      <selection pane="bottomLeft" activeCell="S19" sqref="S19"/>
    </sheetView>
  </sheetViews>
  <sheetFormatPr defaultRowHeight="15"/>
  <cols>
    <col min="1" max="1" width="9.42578125" bestFit="1" customWidth="1"/>
    <col min="2" max="5" width="12.42578125" customWidth="1"/>
    <col min="6" max="6" width="16.42578125" customWidth="1"/>
    <col min="7" max="9" width="7.42578125" customWidth="1"/>
    <col min="10" max="12" width="16.42578125" customWidth="1"/>
    <col min="13" max="14" width="9.42578125" customWidth="1"/>
    <col min="15" max="16" width="12.42578125" customWidth="1"/>
    <col min="17" max="17" width="13.42578125" bestFit="1" customWidth="1"/>
    <col min="18" max="18" width="12.42578125" customWidth="1"/>
    <col min="19" max="19" width="9.42578125" bestFit="1" customWidth="1"/>
    <col min="20" max="20" width="16.42578125" customWidth="1"/>
  </cols>
  <sheetData>
    <row r="1" spans="1:23" ht="46.5">
      <c r="A1" s="40" t="s">
        <v>36</v>
      </c>
      <c r="B1" s="41"/>
      <c r="C1" s="41"/>
      <c r="D1" s="41"/>
      <c r="E1" s="41"/>
      <c r="F1" s="52" t="s">
        <v>37</v>
      </c>
      <c r="G1" s="52"/>
      <c r="H1" s="52"/>
      <c r="I1" s="52"/>
      <c r="J1" s="52"/>
      <c r="K1" s="52"/>
      <c r="L1" s="52"/>
      <c r="M1" s="52"/>
      <c r="N1" s="52"/>
      <c r="O1" s="41"/>
      <c r="P1" s="41"/>
      <c r="Q1" s="41"/>
      <c r="R1" s="41"/>
      <c r="S1" s="502"/>
      <c r="T1" s="502"/>
      <c r="U1" s="76"/>
      <c r="V1" s="76"/>
      <c r="W1" s="76"/>
    </row>
    <row r="2" spans="1:23" ht="46.5">
      <c r="A2" s="40" t="s">
        <v>38</v>
      </c>
      <c r="B2" s="41"/>
      <c r="C2" s="41"/>
      <c r="D2" s="41"/>
      <c r="E2" s="41"/>
      <c r="F2" s="52"/>
      <c r="G2" s="52"/>
      <c r="H2" s="52"/>
      <c r="I2" s="52"/>
      <c r="J2" s="52"/>
      <c r="K2" s="52"/>
      <c r="L2" s="52"/>
      <c r="M2" s="52"/>
      <c r="N2" s="52"/>
      <c r="O2" s="41"/>
      <c r="P2" s="41"/>
      <c r="Q2" s="41"/>
      <c r="R2" s="41"/>
      <c r="S2" s="503"/>
      <c r="T2" s="503"/>
      <c r="U2" s="76"/>
      <c r="V2" s="76"/>
      <c r="W2" s="76"/>
    </row>
    <row r="3" spans="1:23" ht="46.5">
      <c r="A3" s="40"/>
      <c r="B3" s="41"/>
      <c r="C3" s="41"/>
      <c r="D3" s="41"/>
      <c r="E3" s="41"/>
      <c r="F3" s="52"/>
      <c r="G3" s="52"/>
      <c r="H3" s="52"/>
      <c r="I3" s="52"/>
      <c r="J3" s="52"/>
      <c r="K3" s="52"/>
      <c r="L3" s="52"/>
      <c r="M3" s="52"/>
      <c r="N3" s="52"/>
      <c r="O3" s="41"/>
      <c r="P3" s="41"/>
      <c r="Q3" s="41"/>
      <c r="R3" s="41"/>
      <c r="S3" s="41"/>
      <c r="T3" s="41"/>
      <c r="U3" s="76"/>
      <c r="V3" s="76"/>
      <c r="W3" s="76"/>
    </row>
    <row r="6" spans="1:23">
      <c r="F6" s="22"/>
      <c r="G6" s="22"/>
      <c r="H6" s="22"/>
      <c r="I6" s="22"/>
      <c r="J6" s="22"/>
      <c r="K6" s="22"/>
      <c r="L6" s="22"/>
      <c r="M6" s="22"/>
      <c r="N6" s="22"/>
    </row>
    <row r="7" spans="1:23">
      <c r="B7" s="274" t="s">
        <v>39</v>
      </c>
      <c r="C7" s="274"/>
      <c r="D7" s="274"/>
      <c r="E7" s="274"/>
      <c r="F7" s="281">
        <v>15</v>
      </c>
      <c r="G7" s="281"/>
      <c r="H7" s="281"/>
      <c r="I7" s="281"/>
      <c r="J7" s="281"/>
      <c r="K7" s="281"/>
      <c r="L7" s="281"/>
      <c r="M7" s="281"/>
      <c r="N7" s="281"/>
      <c r="Q7" t="s">
        <v>5399</v>
      </c>
    </row>
    <row r="8" spans="1:23">
      <c r="B8" s="275" t="s">
        <v>40</v>
      </c>
      <c r="C8" s="275"/>
      <c r="D8" s="275"/>
      <c r="E8" s="275"/>
      <c r="F8" s="281">
        <v>15</v>
      </c>
      <c r="G8" s="281"/>
      <c r="H8" s="281"/>
      <c r="I8" s="281"/>
      <c r="J8" s="281"/>
      <c r="K8" s="281"/>
      <c r="L8" s="281" t="s">
        <v>41</v>
      </c>
      <c r="M8" s="281"/>
      <c r="N8" s="281"/>
      <c r="O8" s="23"/>
      <c r="P8" s="23"/>
    </row>
    <row r="9" spans="1:23" ht="34.15" customHeight="1">
      <c r="A9" s="111" t="s">
        <v>42</v>
      </c>
      <c r="B9" s="111" t="s">
        <v>43</v>
      </c>
      <c r="C9" s="111" t="s">
        <v>44</v>
      </c>
      <c r="D9" s="111" t="s">
        <v>45</v>
      </c>
      <c r="E9" s="310" t="s">
        <v>46</v>
      </c>
      <c r="F9" s="111" t="s">
        <v>47</v>
      </c>
      <c r="G9" s="111" t="s">
        <v>48</v>
      </c>
      <c r="H9" s="111" t="s">
        <v>49</v>
      </c>
      <c r="I9" s="111" t="s">
        <v>50</v>
      </c>
      <c r="J9" s="111" t="s">
        <v>51</v>
      </c>
      <c r="K9" s="111" t="s">
        <v>52</v>
      </c>
      <c r="L9" s="382" t="s">
        <v>53</v>
      </c>
      <c r="M9" s="111" t="s">
        <v>54</v>
      </c>
      <c r="N9" s="111" t="s">
        <v>55</v>
      </c>
      <c r="O9" s="111" t="s">
        <v>56</v>
      </c>
      <c r="P9" s="329" t="s">
        <v>57</v>
      </c>
      <c r="Q9" s="329" t="s">
        <v>5398</v>
      </c>
    </row>
    <row r="10" spans="1:23">
      <c r="A10" s="44">
        <v>2</v>
      </c>
      <c r="B10" s="46">
        <v>20</v>
      </c>
      <c r="C10" s="46">
        <f>B10</f>
        <v>20</v>
      </c>
      <c r="D10" s="46">
        <f t="shared" ref="D10:D24" si="0">B10*1.13</f>
        <v>22.599999999999998</v>
      </c>
      <c r="E10" s="309">
        <v>0</v>
      </c>
      <c r="F10" s="59">
        <v>17</v>
      </c>
      <c r="G10" s="59">
        <v>6</v>
      </c>
      <c r="H10" s="59">
        <v>5</v>
      </c>
      <c r="I10" s="265">
        <f>F10+G10</f>
        <v>23</v>
      </c>
      <c r="J10" s="265">
        <f>F10</f>
        <v>17</v>
      </c>
      <c r="K10" s="383">
        <f>J10</f>
        <v>17</v>
      </c>
      <c r="L10" s="383">
        <v>20</v>
      </c>
      <c r="M10" s="59">
        <v>0</v>
      </c>
      <c r="N10" s="59">
        <v>6</v>
      </c>
      <c r="O10" s="46">
        <f t="shared" ref="O10:O24" si="1">IF(F10+E10="",0,F10-B10)</f>
        <v>-3</v>
      </c>
      <c r="P10" s="65">
        <f>B10*7.33</f>
        <v>146.6</v>
      </c>
      <c r="Q10" s="332">
        <v>149.56</v>
      </c>
      <c r="R10" s="4">
        <f>Q10/P10</f>
        <v>1.0201909959072306</v>
      </c>
      <c r="S10" s="4">
        <f>B10/F10</f>
        <v>1.1764705882352942</v>
      </c>
    </row>
    <row r="11" spans="1:23">
      <c r="A11" s="44">
        <v>3</v>
      </c>
      <c r="B11" s="46">
        <v>20</v>
      </c>
      <c r="C11" s="46">
        <f t="shared" ref="C11:C24" si="2">C10+B11</f>
        <v>40</v>
      </c>
      <c r="D11" s="46">
        <f t="shared" si="0"/>
        <v>22.599999999999998</v>
      </c>
      <c r="E11" s="309">
        <v>0</v>
      </c>
      <c r="F11" s="60">
        <v>16</v>
      </c>
      <c r="G11" s="60">
        <v>6</v>
      </c>
      <c r="H11" s="60">
        <v>5</v>
      </c>
      <c r="I11" s="218">
        <f t="shared" ref="I11:I24" si="3">F11+G11</f>
        <v>22</v>
      </c>
      <c r="J11" s="319">
        <f>J10+F11</f>
        <v>33</v>
      </c>
      <c r="K11" s="384">
        <f>F11</f>
        <v>16</v>
      </c>
      <c r="L11" s="384">
        <v>20</v>
      </c>
      <c r="M11" s="60">
        <v>1</v>
      </c>
      <c r="N11" s="60">
        <v>6</v>
      </c>
      <c r="O11" s="46">
        <f t="shared" si="1"/>
        <v>-4</v>
      </c>
      <c r="P11" s="65">
        <f>B11*7.33</f>
        <v>146.6</v>
      </c>
      <c r="Q11" s="332">
        <v>145.13</v>
      </c>
      <c r="R11" s="4">
        <f t="shared" ref="R11:R18" si="4">Q11/P11</f>
        <v>0.98997271487039562</v>
      </c>
      <c r="S11" s="4">
        <f t="shared" ref="S10:S24" si="5">B11/F11</f>
        <v>1.25</v>
      </c>
    </row>
    <row r="12" spans="1:23">
      <c r="A12" s="44">
        <v>4</v>
      </c>
      <c r="B12" s="46">
        <v>22</v>
      </c>
      <c r="C12" s="46">
        <f t="shared" si="2"/>
        <v>62</v>
      </c>
      <c r="D12" s="46">
        <f t="shared" si="0"/>
        <v>24.86</v>
      </c>
      <c r="E12" s="309">
        <v>0</v>
      </c>
      <c r="F12" s="60">
        <v>17</v>
      </c>
      <c r="G12" s="60">
        <v>6</v>
      </c>
      <c r="H12" s="60">
        <v>5</v>
      </c>
      <c r="I12" s="60">
        <f t="shared" si="3"/>
        <v>23</v>
      </c>
      <c r="J12" s="319">
        <f t="shared" ref="J12:J20" si="6">J11+F12</f>
        <v>50</v>
      </c>
      <c r="K12" s="384">
        <f>(K11+F12)/2</f>
        <v>16.5</v>
      </c>
      <c r="L12" s="384">
        <v>20</v>
      </c>
      <c r="M12" s="60">
        <v>0</v>
      </c>
      <c r="N12" s="60">
        <v>6</v>
      </c>
      <c r="O12" s="46">
        <f t="shared" si="1"/>
        <v>-5</v>
      </c>
      <c r="P12" s="65">
        <f>B12*7.33</f>
        <v>161.26</v>
      </c>
      <c r="Q12" s="332">
        <v>158.49</v>
      </c>
      <c r="R12" s="4">
        <f t="shared" si="4"/>
        <v>0.98282277068088808</v>
      </c>
      <c r="S12" s="4">
        <f t="shared" si="5"/>
        <v>1.2941176470588236</v>
      </c>
    </row>
    <row r="13" spans="1:23">
      <c r="A13" s="44">
        <v>5</v>
      </c>
      <c r="B13" s="46">
        <v>22</v>
      </c>
      <c r="C13" s="46">
        <f t="shared" si="2"/>
        <v>84</v>
      </c>
      <c r="D13" s="46">
        <f t="shared" si="0"/>
        <v>24.86</v>
      </c>
      <c r="E13" s="309">
        <v>0</v>
      </c>
      <c r="F13" s="60">
        <v>17</v>
      </c>
      <c r="G13" s="60">
        <v>6</v>
      </c>
      <c r="H13" s="60">
        <v>5</v>
      </c>
      <c r="I13" s="60">
        <f t="shared" si="3"/>
        <v>23</v>
      </c>
      <c r="J13" s="319">
        <f t="shared" si="6"/>
        <v>67</v>
      </c>
      <c r="K13" s="384">
        <f>(K12+F13)/2</f>
        <v>16.75</v>
      </c>
      <c r="L13" s="384">
        <v>20</v>
      </c>
      <c r="M13" s="60">
        <v>1</v>
      </c>
      <c r="N13" s="60">
        <v>5</v>
      </c>
      <c r="O13" s="46">
        <f t="shared" si="1"/>
        <v>-5</v>
      </c>
      <c r="P13" s="65">
        <f>B13*7.33</f>
        <v>161.26</v>
      </c>
      <c r="Q13" s="332">
        <v>160.66</v>
      </c>
      <c r="R13" s="4">
        <f t="shared" si="4"/>
        <v>0.99627930050849567</v>
      </c>
      <c r="S13" s="4">
        <f t="shared" si="5"/>
        <v>1.2941176470588236</v>
      </c>
    </row>
    <row r="14" spans="1:23">
      <c r="A14" s="44">
        <v>6</v>
      </c>
      <c r="B14" s="46">
        <v>22</v>
      </c>
      <c r="C14" s="46">
        <f t="shared" si="2"/>
        <v>106</v>
      </c>
      <c r="D14" s="46">
        <f t="shared" si="0"/>
        <v>24.86</v>
      </c>
      <c r="E14" s="309">
        <v>0</v>
      </c>
      <c r="F14" s="60">
        <v>15</v>
      </c>
      <c r="G14" s="60">
        <v>6</v>
      </c>
      <c r="H14" s="60">
        <v>6</v>
      </c>
      <c r="I14" s="60">
        <f t="shared" si="3"/>
        <v>21</v>
      </c>
      <c r="J14" s="319">
        <f t="shared" si="6"/>
        <v>82</v>
      </c>
      <c r="K14" s="384">
        <f>(K13+F14)/2</f>
        <v>15.875</v>
      </c>
      <c r="L14" s="384">
        <v>20</v>
      </c>
      <c r="M14" s="60">
        <v>2</v>
      </c>
      <c r="N14" s="60">
        <v>6</v>
      </c>
      <c r="O14" s="46">
        <f t="shared" si="1"/>
        <v>-7</v>
      </c>
      <c r="P14" s="65">
        <f>B14*7.33</f>
        <v>161.26</v>
      </c>
      <c r="Q14" s="332">
        <v>150.16</v>
      </c>
      <c r="R14" s="4">
        <f t="shared" si="4"/>
        <v>0.9311670594071686</v>
      </c>
      <c r="S14" s="4">
        <f t="shared" si="5"/>
        <v>1.4666666666666666</v>
      </c>
    </row>
    <row r="15" spans="1:23">
      <c r="A15" s="44">
        <v>9</v>
      </c>
      <c r="B15" s="46">
        <v>23</v>
      </c>
      <c r="C15" s="46">
        <f t="shared" si="2"/>
        <v>129</v>
      </c>
      <c r="D15" s="46">
        <f t="shared" si="0"/>
        <v>25.99</v>
      </c>
      <c r="E15" s="309">
        <v>0</v>
      </c>
      <c r="F15" s="60">
        <v>19</v>
      </c>
      <c r="G15" s="60">
        <v>6</v>
      </c>
      <c r="H15" s="60">
        <v>6</v>
      </c>
      <c r="I15" s="60">
        <f t="shared" si="3"/>
        <v>25</v>
      </c>
      <c r="J15" s="319">
        <f t="shared" si="6"/>
        <v>101</v>
      </c>
      <c r="K15" s="384">
        <f>(K14+F15)/2</f>
        <v>17.4375</v>
      </c>
      <c r="L15" s="384">
        <v>20</v>
      </c>
      <c r="M15" s="60">
        <v>0</v>
      </c>
      <c r="N15" s="60">
        <v>4</v>
      </c>
      <c r="O15" s="46">
        <f t="shared" si="1"/>
        <v>-4</v>
      </c>
      <c r="P15" s="65">
        <f>B15*6</f>
        <v>138</v>
      </c>
      <c r="Q15" s="332">
        <v>170.92</v>
      </c>
      <c r="R15" s="4">
        <f t="shared" si="4"/>
        <v>1.238550724637681</v>
      </c>
      <c r="S15" s="4">
        <f t="shared" si="5"/>
        <v>1.2105263157894737</v>
      </c>
    </row>
    <row r="16" spans="1:23">
      <c r="A16" s="44">
        <v>10</v>
      </c>
      <c r="B16" s="46">
        <v>22</v>
      </c>
      <c r="C16" s="46">
        <f t="shared" si="2"/>
        <v>151</v>
      </c>
      <c r="D16" s="46">
        <f t="shared" si="0"/>
        <v>24.86</v>
      </c>
      <c r="E16" s="309">
        <v>0</v>
      </c>
      <c r="F16" s="60">
        <v>19</v>
      </c>
      <c r="G16" s="60">
        <v>6</v>
      </c>
      <c r="H16" s="60">
        <v>6</v>
      </c>
      <c r="I16" s="60">
        <f t="shared" si="3"/>
        <v>25</v>
      </c>
      <c r="J16" s="319">
        <f t="shared" si="6"/>
        <v>120</v>
      </c>
      <c r="K16" s="384">
        <f t="shared" ref="K16:K20" si="7">(K15+F16)/2</f>
        <v>18.21875</v>
      </c>
      <c r="L16" s="384">
        <v>20</v>
      </c>
      <c r="M16" s="60">
        <v>0</v>
      </c>
      <c r="N16" s="60">
        <v>4</v>
      </c>
      <c r="O16" s="46">
        <f t="shared" si="1"/>
        <v>-3</v>
      </c>
      <c r="P16" s="65">
        <f t="shared" ref="P16:P24" si="8">B16*7.33</f>
        <v>161.26</v>
      </c>
      <c r="Q16" s="332">
        <v>177.26</v>
      </c>
      <c r="R16" s="4">
        <f t="shared" si="4"/>
        <v>1.099218653106784</v>
      </c>
      <c r="S16" s="4">
        <f t="shared" si="5"/>
        <v>1.1578947368421053</v>
      </c>
    </row>
    <row r="17" spans="1:19">
      <c r="A17" s="44">
        <v>11</v>
      </c>
      <c r="B17" s="46">
        <v>23</v>
      </c>
      <c r="C17" s="46">
        <f t="shared" si="2"/>
        <v>174</v>
      </c>
      <c r="D17" s="46">
        <f t="shared" si="0"/>
        <v>25.99</v>
      </c>
      <c r="E17" s="309">
        <v>0</v>
      </c>
      <c r="F17" s="60">
        <v>18</v>
      </c>
      <c r="G17" s="60">
        <v>6</v>
      </c>
      <c r="H17" s="60">
        <v>9</v>
      </c>
      <c r="I17" s="60">
        <f t="shared" si="3"/>
        <v>24</v>
      </c>
      <c r="J17" s="319">
        <f t="shared" si="6"/>
        <v>138</v>
      </c>
      <c r="K17" s="384">
        <f t="shared" si="7"/>
        <v>18.109375</v>
      </c>
      <c r="L17" s="384">
        <v>20</v>
      </c>
      <c r="M17" s="60">
        <v>1</v>
      </c>
      <c r="N17" s="60">
        <v>4</v>
      </c>
      <c r="O17" s="46">
        <f t="shared" si="1"/>
        <v>-5</v>
      </c>
      <c r="P17" s="65">
        <f t="shared" si="8"/>
        <v>168.59</v>
      </c>
      <c r="Q17" s="332">
        <v>157.46</v>
      </c>
      <c r="R17" s="4">
        <f>Q17/P17</f>
        <v>0.93398184945726326</v>
      </c>
      <c r="S17" s="4">
        <f t="shared" si="5"/>
        <v>1.2777777777777777</v>
      </c>
    </row>
    <row r="18" spans="1:19">
      <c r="A18" s="44">
        <v>12</v>
      </c>
      <c r="B18" s="46">
        <v>24</v>
      </c>
      <c r="C18" s="46">
        <f t="shared" si="2"/>
        <v>198</v>
      </c>
      <c r="D18" s="46">
        <f t="shared" si="0"/>
        <v>27.119999999999997</v>
      </c>
      <c r="E18" s="309">
        <v>0</v>
      </c>
      <c r="F18" s="60">
        <v>19</v>
      </c>
      <c r="G18" s="60">
        <v>6</v>
      </c>
      <c r="H18" s="60">
        <v>9</v>
      </c>
      <c r="I18" s="60">
        <f t="shared" si="3"/>
        <v>25</v>
      </c>
      <c r="J18" s="319">
        <f t="shared" si="6"/>
        <v>157</v>
      </c>
      <c r="K18" s="384">
        <f>(K17+F18)/2</f>
        <v>18.5546875</v>
      </c>
      <c r="L18" s="384">
        <v>20</v>
      </c>
      <c r="M18" s="60">
        <v>0</v>
      </c>
      <c r="N18" s="60">
        <v>3</v>
      </c>
      <c r="O18" s="46">
        <f t="shared" si="1"/>
        <v>-5</v>
      </c>
      <c r="P18" s="65">
        <f t="shared" si="8"/>
        <v>175.92000000000002</v>
      </c>
      <c r="Q18" s="332">
        <v>149.97999999999999</v>
      </c>
      <c r="R18" s="4">
        <f t="shared" si="4"/>
        <v>0.85254661209640736</v>
      </c>
      <c r="S18" s="4">
        <f t="shared" si="5"/>
        <v>1.263157894736842</v>
      </c>
    </row>
    <row r="19" spans="1:19">
      <c r="A19" s="44">
        <v>13</v>
      </c>
      <c r="B19" s="46">
        <v>23</v>
      </c>
      <c r="C19" s="46">
        <f t="shared" si="2"/>
        <v>221</v>
      </c>
      <c r="D19" s="46">
        <f t="shared" si="0"/>
        <v>25.99</v>
      </c>
      <c r="E19" s="309">
        <v>0</v>
      </c>
      <c r="F19" s="60">
        <v>11</v>
      </c>
      <c r="G19" s="60">
        <v>5</v>
      </c>
      <c r="H19" s="60">
        <v>16</v>
      </c>
      <c r="I19" s="60">
        <f t="shared" si="3"/>
        <v>16</v>
      </c>
      <c r="J19" s="319">
        <f t="shared" si="6"/>
        <v>168</v>
      </c>
      <c r="K19" s="384">
        <f t="shared" si="7"/>
        <v>14.77734375</v>
      </c>
      <c r="L19" s="384">
        <v>20</v>
      </c>
      <c r="M19" s="60">
        <v>1</v>
      </c>
      <c r="N19" s="60">
        <v>3</v>
      </c>
      <c r="O19" s="46">
        <f t="shared" si="1"/>
        <v>-12</v>
      </c>
      <c r="P19" s="65">
        <f t="shared" si="8"/>
        <v>168.59</v>
      </c>
      <c r="Q19" s="332">
        <v>115.46</v>
      </c>
      <c r="R19" s="4">
        <f t="shared" ref="R19:R24" si="9">Q19/P19</f>
        <v>0.68485675306957705</v>
      </c>
      <c r="S19" s="4">
        <f>B19/F19</f>
        <v>2.0909090909090908</v>
      </c>
    </row>
    <row r="20" spans="1:19">
      <c r="A20" s="44">
        <v>16</v>
      </c>
      <c r="B20" s="46">
        <v>20</v>
      </c>
      <c r="C20" s="46">
        <f t="shared" si="2"/>
        <v>241</v>
      </c>
      <c r="D20" s="46">
        <f t="shared" si="0"/>
        <v>22.599999999999998</v>
      </c>
      <c r="E20" s="309">
        <v>0</v>
      </c>
      <c r="F20" s="60">
        <v>11</v>
      </c>
      <c r="G20" s="60">
        <v>6</v>
      </c>
      <c r="H20" s="68">
        <v>16</v>
      </c>
      <c r="I20" s="60">
        <f t="shared" si="3"/>
        <v>17</v>
      </c>
      <c r="J20" s="319">
        <f t="shared" si="6"/>
        <v>179</v>
      </c>
      <c r="K20" s="384">
        <f t="shared" si="7"/>
        <v>12.888671875</v>
      </c>
      <c r="L20" s="384">
        <v>20</v>
      </c>
      <c r="M20" s="60">
        <v>0</v>
      </c>
      <c r="N20" s="60">
        <v>4</v>
      </c>
      <c r="O20" s="46">
        <f t="shared" si="1"/>
        <v>-9</v>
      </c>
      <c r="P20" s="65">
        <f t="shared" si="8"/>
        <v>146.6</v>
      </c>
      <c r="Q20" s="332">
        <v>106.49</v>
      </c>
      <c r="R20" s="4">
        <f>Q20/P20</f>
        <v>0.7263983628922237</v>
      </c>
      <c r="S20" s="4">
        <f t="shared" si="5"/>
        <v>1.8181818181818181</v>
      </c>
    </row>
    <row r="21" spans="1:19">
      <c r="A21" s="44">
        <v>17</v>
      </c>
      <c r="B21" s="46">
        <v>21</v>
      </c>
      <c r="C21" s="46">
        <f t="shared" si="2"/>
        <v>262</v>
      </c>
      <c r="D21" s="46">
        <f t="shared" si="0"/>
        <v>23.729999999999997</v>
      </c>
      <c r="E21" s="309">
        <v>0</v>
      </c>
      <c r="F21" s="60">
        <v>11</v>
      </c>
      <c r="G21" s="60">
        <v>6</v>
      </c>
      <c r="H21" s="60">
        <v>16</v>
      </c>
      <c r="I21" s="60">
        <f t="shared" si="3"/>
        <v>17</v>
      </c>
      <c r="J21" s="319">
        <f t="shared" ref="J21:J23" si="10">J20+F21</f>
        <v>190</v>
      </c>
      <c r="K21" s="384">
        <f t="shared" ref="K21:K23" si="11">(K20+F21)/2</f>
        <v>11.9443359375</v>
      </c>
      <c r="L21" s="384">
        <v>20</v>
      </c>
      <c r="M21" s="60">
        <v>0</v>
      </c>
      <c r="N21" s="60">
        <v>4</v>
      </c>
      <c r="O21" s="46">
        <f t="shared" si="1"/>
        <v>-10</v>
      </c>
      <c r="P21" s="65">
        <f t="shared" si="8"/>
        <v>153.93</v>
      </c>
      <c r="Q21" s="332">
        <v>106.26</v>
      </c>
      <c r="R21" s="4">
        <f>Q21/P21</f>
        <v>0.69031377899045021</v>
      </c>
      <c r="S21" s="4">
        <f t="shared" si="5"/>
        <v>1.9090909090909092</v>
      </c>
    </row>
    <row r="22" spans="1:19">
      <c r="A22" s="44">
        <v>18</v>
      </c>
      <c r="B22" s="46">
        <v>16</v>
      </c>
      <c r="C22" s="46">
        <f t="shared" si="2"/>
        <v>278</v>
      </c>
      <c r="D22" s="46">
        <f t="shared" si="0"/>
        <v>18.079999999999998</v>
      </c>
      <c r="E22" s="309">
        <v>0</v>
      </c>
      <c r="F22" s="60">
        <v>11</v>
      </c>
      <c r="G22" s="60">
        <v>6</v>
      </c>
      <c r="H22" s="60">
        <v>16</v>
      </c>
      <c r="I22" s="60">
        <f t="shared" si="3"/>
        <v>17</v>
      </c>
      <c r="J22" s="319">
        <f t="shared" si="10"/>
        <v>201</v>
      </c>
      <c r="K22" s="384">
        <f t="shared" si="11"/>
        <v>11.47216796875</v>
      </c>
      <c r="L22" s="384">
        <v>20</v>
      </c>
      <c r="M22" s="60">
        <v>0</v>
      </c>
      <c r="N22" s="60">
        <v>4</v>
      </c>
      <c r="O22" s="46">
        <f t="shared" si="1"/>
        <v>-5</v>
      </c>
      <c r="P22" s="65">
        <f t="shared" si="8"/>
        <v>117.28</v>
      </c>
      <c r="Q22" s="332">
        <v>97.42</v>
      </c>
      <c r="R22" s="4">
        <f t="shared" si="9"/>
        <v>0.8306616643929059</v>
      </c>
      <c r="S22" s="4">
        <f t="shared" si="5"/>
        <v>1.4545454545454546</v>
      </c>
    </row>
    <row r="23" spans="1:19">
      <c r="A23" s="44">
        <v>19</v>
      </c>
      <c r="B23" s="46">
        <v>17</v>
      </c>
      <c r="C23" s="46">
        <f t="shared" si="2"/>
        <v>295</v>
      </c>
      <c r="D23" s="46">
        <f t="shared" si="0"/>
        <v>19.209999999999997</v>
      </c>
      <c r="E23" s="309">
        <v>0</v>
      </c>
      <c r="F23" s="60">
        <v>11</v>
      </c>
      <c r="G23" s="60">
        <v>6</v>
      </c>
      <c r="H23" s="60">
        <v>15</v>
      </c>
      <c r="I23" s="60">
        <f t="shared" si="3"/>
        <v>17</v>
      </c>
      <c r="J23" s="319">
        <f t="shared" si="10"/>
        <v>212</v>
      </c>
      <c r="K23" s="384">
        <f t="shared" si="11"/>
        <v>11.236083984375</v>
      </c>
      <c r="L23" s="384">
        <v>20</v>
      </c>
      <c r="M23" s="60">
        <v>0</v>
      </c>
      <c r="N23" s="60">
        <v>4</v>
      </c>
      <c r="O23" s="46">
        <f t="shared" si="1"/>
        <v>-6</v>
      </c>
      <c r="P23" s="65">
        <f t="shared" si="8"/>
        <v>124.61</v>
      </c>
      <c r="Q23" s="332">
        <v>93.51</v>
      </c>
      <c r="R23" s="4">
        <f t="shared" si="9"/>
        <v>0.75042131450124394</v>
      </c>
      <c r="S23" s="4">
        <f t="shared" si="5"/>
        <v>1.5454545454545454</v>
      </c>
    </row>
    <row r="24" spans="1:19">
      <c r="A24" s="44">
        <v>20</v>
      </c>
      <c r="B24" s="46">
        <v>13</v>
      </c>
      <c r="C24" s="46">
        <f t="shared" si="2"/>
        <v>308</v>
      </c>
      <c r="D24" s="46">
        <f t="shared" si="0"/>
        <v>14.689999999999998</v>
      </c>
      <c r="E24" s="309">
        <v>0</v>
      </c>
      <c r="F24" s="60">
        <v>11</v>
      </c>
      <c r="G24" s="60">
        <v>6</v>
      </c>
      <c r="H24" s="60">
        <v>9</v>
      </c>
      <c r="I24" s="60">
        <f t="shared" si="3"/>
        <v>17</v>
      </c>
      <c r="J24" s="319">
        <f t="shared" ref="J24" si="12">J23+F24</f>
        <v>223</v>
      </c>
      <c r="K24" s="384">
        <f>(K23+F24)/2</f>
        <v>11.1180419921875</v>
      </c>
      <c r="L24" s="384">
        <v>20</v>
      </c>
      <c r="M24" s="60">
        <v>3</v>
      </c>
      <c r="N24" s="60">
        <v>4</v>
      </c>
      <c r="O24" s="46">
        <f t="shared" si="1"/>
        <v>-2</v>
      </c>
      <c r="P24" s="65">
        <f t="shared" si="8"/>
        <v>95.29</v>
      </c>
      <c r="Q24" s="332">
        <v>80.98</v>
      </c>
      <c r="R24" s="4">
        <f t="shared" si="9"/>
        <v>0.84982684436981848</v>
      </c>
      <c r="S24" s="4">
        <f t="shared" si="5"/>
        <v>1.1818181818181819</v>
      </c>
    </row>
    <row r="25" spans="1:19">
      <c r="A25" s="44"/>
      <c r="B25" s="46"/>
      <c r="C25" s="46"/>
      <c r="D25" s="46"/>
      <c r="E25" s="309"/>
      <c r="F25" s="60"/>
      <c r="G25" s="60"/>
      <c r="H25" s="60"/>
      <c r="I25" s="60"/>
      <c r="J25" s="319"/>
      <c r="K25" s="384"/>
      <c r="L25" s="384"/>
      <c r="M25" s="60"/>
      <c r="N25" s="60"/>
      <c r="O25" s="46"/>
      <c r="P25" s="65"/>
      <c r="Q25" s="332"/>
      <c r="R25" s="4"/>
      <c r="S25" s="4"/>
    </row>
    <row r="26" spans="1:19">
      <c r="A26" s="44"/>
      <c r="B26" s="46"/>
      <c r="C26" s="46"/>
      <c r="D26" s="46"/>
      <c r="E26" s="309"/>
      <c r="F26" s="60"/>
      <c r="G26" s="60"/>
      <c r="H26" s="60"/>
      <c r="I26" s="60"/>
      <c r="J26" s="319"/>
      <c r="K26" s="384"/>
      <c r="L26" s="384"/>
      <c r="M26" s="60"/>
      <c r="N26" s="60"/>
      <c r="O26" s="46"/>
      <c r="P26" s="65"/>
      <c r="Q26" s="332"/>
      <c r="R26" s="4"/>
      <c r="S26" s="4"/>
    </row>
    <row r="27" spans="1:19">
      <c r="A27" s="44"/>
      <c r="B27" s="46"/>
      <c r="C27" s="46"/>
      <c r="D27" s="46"/>
      <c r="E27" s="309"/>
      <c r="F27" s="60"/>
      <c r="G27" s="60"/>
      <c r="H27" s="60"/>
      <c r="I27" s="60"/>
      <c r="J27" s="319"/>
      <c r="K27" s="384"/>
      <c r="L27" s="384"/>
      <c r="M27" s="60"/>
      <c r="N27" s="60"/>
      <c r="O27" s="46"/>
      <c r="P27" s="65"/>
      <c r="Q27" s="332"/>
      <c r="R27" s="4"/>
      <c r="S27" s="4"/>
    </row>
    <row r="28" spans="1:19">
      <c r="A28" s="44"/>
      <c r="B28" s="46"/>
      <c r="C28" s="46"/>
      <c r="D28" s="46"/>
      <c r="E28" s="309"/>
      <c r="F28" s="60"/>
      <c r="G28" s="60"/>
      <c r="H28" s="60"/>
      <c r="I28" s="60"/>
      <c r="J28" s="319"/>
      <c r="K28" s="384"/>
      <c r="L28" s="384"/>
      <c r="M28" s="60"/>
      <c r="N28" s="60"/>
      <c r="O28" s="46"/>
      <c r="P28" s="65"/>
      <c r="Q28" s="332"/>
      <c r="R28" s="4"/>
      <c r="S28" s="4"/>
    </row>
    <row r="29" spans="1:19">
      <c r="A29" s="44"/>
      <c r="B29" s="46"/>
      <c r="C29" s="46"/>
      <c r="D29" s="46"/>
      <c r="E29" s="309"/>
      <c r="F29" s="60"/>
      <c r="G29" s="60"/>
      <c r="H29" s="60"/>
      <c r="I29" s="60"/>
      <c r="J29" s="319"/>
      <c r="K29" s="384"/>
      <c r="L29" s="384"/>
      <c r="M29" s="60"/>
      <c r="N29" s="60"/>
      <c r="O29" s="46"/>
      <c r="P29" s="65"/>
      <c r="Q29" s="332"/>
      <c r="R29" s="4"/>
      <c r="S29" s="4"/>
    </row>
    <row r="30" spans="1:19">
      <c r="A30" s="44"/>
      <c r="B30" s="46"/>
      <c r="C30" s="46"/>
      <c r="D30" s="46"/>
      <c r="E30" s="309"/>
      <c r="F30" s="60"/>
      <c r="G30" s="60"/>
      <c r="H30" s="60"/>
      <c r="I30" s="60"/>
      <c r="J30" s="319"/>
      <c r="K30" s="384"/>
      <c r="L30" s="384"/>
      <c r="M30" s="60"/>
      <c r="N30" s="60"/>
      <c r="O30" s="46"/>
      <c r="P30" s="65"/>
      <c r="Q30" s="332"/>
      <c r="R30" s="4"/>
      <c r="S30" s="4"/>
    </row>
    <row r="31" spans="1:19">
      <c r="A31" s="44"/>
      <c r="B31" s="46"/>
      <c r="C31" s="46"/>
      <c r="D31" s="46"/>
      <c r="E31" s="309"/>
      <c r="F31" s="60"/>
      <c r="G31" s="60"/>
      <c r="H31" s="60"/>
      <c r="I31" s="60"/>
      <c r="J31" s="319"/>
      <c r="K31" s="384"/>
      <c r="L31" s="384"/>
      <c r="M31" s="60"/>
      <c r="N31" s="60"/>
      <c r="O31" s="46"/>
      <c r="P31" s="65"/>
      <c r="Q31" s="332"/>
      <c r="R31" s="4"/>
      <c r="S31" s="4"/>
    </row>
    <row r="32" spans="1:19">
      <c r="A32" s="217"/>
      <c r="B32" s="46"/>
      <c r="C32" s="46"/>
      <c r="D32" s="46"/>
      <c r="E32" s="309"/>
      <c r="F32" s="60"/>
      <c r="G32" s="60"/>
      <c r="H32" s="60"/>
      <c r="I32" s="60"/>
      <c r="J32" s="319"/>
      <c r="K32" s="384"/>
      <c r="L32" s="384"/>
      <c r="M32" s="266"/>
      <c r="N32" s="266"/>
      <c r="O32" s="46"/>
      <c r="P32" s="65"/>
      <c r="Q32" s="332"/>
      <c r="R32" s="4"/>
      <c r="S32" s="4"/>
    </row>
    <row r="36" spans="15:16">
      <c r="O36" s="65"/>
      <c r="P36" s="65"/>
    </row>
  </sheetData>
  <mergeCells count="2">
    <mergeCell ref="S1:T1"/>
    <mergeCell ref="S2:T2"/>
  </mergeCells>
  <conditionalFormatting sqref="S1:T1">
    <cfRule type="cellIs" dxfId="67" priority="4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P15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B875-B227-4CCC-A039-1F91B5BDB6F4}">
  <dimension ref="D3:K17"/>
  <sheetViews>
    <sheetView workbookViewId="0">
      <selection activeCell="K12" sqref="K12"/>
    </sheetView>
  </sheetViews>
  <sheetFormatPr defaultRowHeight="15"/>
  <cols>
    <col min="4" max="4" width="17.7109375" customWidth="1"/>
  </cols>
  <sheetData>
    <row r="3" spans="4:11">
      <c r="K3" t="s">
        <v>5385</v>
      </c>
    </row>
    <row r="4" spans="4:11">
      <c r="D4">
        <v>202506</v>
      </c>
      <c r="K4" t="s">
        <v>5386</v>
      </c>
    </row>
    <row r="5" spans="4:11">
      <c r="E5" t="s">
        <v>5380</v>
      </c>
      <c r="K5" t="s">
        <v>5396</v>
      </c>
    </row>
    <row r="6" spans="4:11">
      <c r="E6" t="s">
        <v>5381</v>
      </c>
      <c r="K6" t="s">
        <v>5397</v>
      </c>
    </row>
    <row r="7" spans="4:11">
      <c r="E7" t="s">
        <v>5383</v>
      </c>
    </row>
    <row r="8" spans="4:11">
      <c r="E8" t="s">
        <v>5382</v>
      </c>
    </row>
    <row r="9" spans="4:11">
      <c r="E9" t="s">
        <v>5384</v>
      </c>
    </row>
    <row r="10" spans="4:11">
      <c r="D10" t="s">
        <v>5387</v>
      </c>
      <c r="E10" t="s">
        <v>5388</v>
      </c>
    </row>
    <row r="11" spans="4:11">
      <c r="E11" t="s">
        <v>5394</v>
      </c>
    </row>
    <row r="12" spans="4:11">
      <c r="E12" t="s">
        <v>5389</v>
      </c>
    </row>
    <row r="13" spans="4:11">
      <c r="E13" t="s">
        <v>5390</v>
      </c>
    </row>
    <row r="14" spans="4:11">
      <c r="E14" t="s">
        <v>5391</v>
      </c>
    </row>
    <row r="15" spans="4:11">
      <c r="E15" t="s">
        <v>5392</v>
      </c>
    </row>
    <row r="16" spans="4:11">
      <c r="E16" t="s">
        <v>5393</v>
      </c>
    </row>
    <row r="17" spans="5:5">
      <c r="E17" t="s">
        <v>5395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6">
    <pageSetUpPr fitToPage="1"/>
  </sheetPr>
  <dimension ref="A1:X27"/>
  <sheetViews>
    <sheetView showGridLines="0" topLeftCell="B1" zoomScaleNormal="100" workbookViewId="0">
      <pane ySplit="2" topLeftCell="A3" activePane="bottomLeft" state="frozen"/>
      <selection activeCell="P8" sqref="P8:P32"/>
      <selection pane="bottomLeft" activeCell="K9" sqref="K9"/>
    </sheetView>
  </sheetViews>
  <sheetFormatPr defaultRowHeight="15"/>
  <cols>
    <col min="3" max="3" width="13.42578125" customWidth="1"/>
    <col min="4" max="4" width="11.42578125" customWidth="1"/>
    <col min="5" max="5" width="14.42578125" customWidth="1"/>
    <col min="6" max="6" width="11.42578125" bestFit="1" customWidth="1"/>
    <col min="7" max="8" width="10.42578125" customWidth="1"/>
    <col min="9" max="9" width="17.42578125" customWidth="1"/>
    <col min="10" max="14" width="10.42578125" customWidth="1"/>
    <col min="15" max="15" width="28.42578125" customWidth="1"/>
    <col min="16" max="16" width="20" customWidth="1"/>
    <col min="17" max="18" width="11.85546875" customWidth="1"/>
    <col min="19" max="20" width="17.42578125" customWidth="1"/>
    <col min="21" max="21" width="16.42578125" customWidth="1"/>
  </cols>
  <sheetData>
    <row r="1" spans="1:24" ht="46.5">
      <c r="A1" s="40" t="s">
        <v>58</v>
      </c>
      <c r="B1" s="40"/>
      <c r="C1" s="41"/>
      <c r="D1" s="52" t="s">
        <v>59</v>
      </c>
      <c r="E1" s="41"/>
      <c r="F1" s="41"/>
      <c r="G1" s="41"/>
      <c r="H1" s="502">
        <f>F27-D27</f>
        <v>14</v>
      </c>
      <c r="I1" s="502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</row>
    <row r="2" spans="1:24" ht="46.5">
      <c r="A2" s="40"/>
      <c r="B2" s="40"/>
      <c r="C2" s="41"/>
      <c r="D2" s="52"/>
      <c r="E2" s="41"/>
      <c r="F2" s="41"/>
      <c r="G2" s="41"/>
      <c r="H2" s="503"/>
      <c r="I2" s="503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</row>
    <row r="3" spans="1:24">
      <c r="D3" s="504" t="s">
        <v>60</v>
      </c>
      <c r="E3" s="506" t="s">
        <v>61</v>
      </c>
      <c r="F3" s="65" t="s">
        <v>5325</v>
      </c>
      <c r="P3" t="s">
        <v>62</v>
      </c>
    </row>
    <row r="4" spans="1:24">
      <c r="D4" s="505"/>
      <c r="E4" s="506"/>
      <c r="F4" s="65">
        <v>2</v>
      </c>
      <c r="L4" s="65">
        <f>C9/3200*8</f>
        <v>22.5</v>
      </c>
    </row>
    <row r="5" spans="1:24">
      <c r="B5" t="s">
        <v>63</v>
      </c>
      <c r="C5" s="23"/>
      <c r="D5" s="277">
        <v>600</v>
      </c>
      <c r="E5">
        <f>D5/(3000*F4/8)</f>
        <v>0.8</v>
      </c>
      <c r="F5" s="4">
        <f>E23/D23</f>
        <v>1.0015555555555555</v>
      </c>
      <c r="L5">
        <f>2*D6*8</f>
        <v>240</v>
      </c>
      <c r="M5" s="320">
        <f>L4/L5</f>
        <v>9.375E-2</v>
      </c>
    </row>
    <row r="6" spans="1:24">
      <c r="C6" s="276" t="s">
        <v>64</v>
      </c>
      <c r="D6" s="23">
        <f>Headcount!F7</f>
        <v>15</v>
      </c>
    </row>
    <row r="7" spans="1:24">
      <c r="C7" s="23" t="s">
        <v>40</v>
      </c>
      <c r="D7" s="23">
        <f>Headcount!F8</f>
        <v>15</v>
      </c>
      <c r="E7" s="23"/>
      <c r="F7" s="507" t="s">
        <v>65</v>
      </c>
      <c r="G7" s="507"/>
      <c r="H7" s="507"/>
      <c r="I7" s="507"/>
      <c r="J7" s="507" t="s">
        <v>66</v>
      </c>
      <c r="K7" s="507"/>
      <c r="L7" s="507"/>
      <c r="M7" s="507"/>
      <c r="N7" s="507"/>
    </row>
    <row r="8" spans="1:24" s="20" customFormat="1" ht="48">
      <c r="A8" s="42" t="s">
        <v>67</v>
      </c>
      <c r="B8" s="42" t="s">
        <v>68</v>
      </c>
      <c r="C8" s="43" t="s">
        <v>69</v>
      </c>
      <c r="D8" s="42" t="s">
        <v>70</v>
      </c>
      <c r="E8" s="42" t="s">
        <v>71</v>
      </c>
      <c r="F8" s="51" t="s">
        <v>72</v>
      </c>
      <c r="G8" s="42" t="s">
        <v>73</v>
      </c>
      <c r="H8" s="42" t="s">
        <v>74</v>
      </c>
      <c r="I8" s="42" t="s">
        <v>75</v>
      </c>
      <c r="J8" s="47" t="s">
        <v>76</v>
      </c>
      <c r="K8" s="42" t="s">
        <v>77</v>
      </c>
      <c r="L8" s="42" t="s">
        <v>78</v>
      </c>
      <c r="M8" s="42" t="s">
        <v>79</v>
      </c>
      <c r="N8" s="42" t="s">
        <v>80</v>
      </c>
      <c r="O8" s="42" t="s">
        <v>81</v>
      </c>
      <c r="P8" s="438" t="s">
        <v>82</v>
      </c>
      <c r="Q8" s="438" t="s">
        <v>83</v>
      </c>
      <c r="R8" s="438" t="s">
        <v>84</v>
      </c>
      <c r="S8" s="42" t="s">
        <v>85</v>
      </c>
      <c r="T8" s="42" t="s">
        <v>86</v>
      </c>
      <c r="U8" s="42" t="s">
        <v>87</v>
      </c>
    </row>
    <row r="9" spans="1:24" ht="15.6" customHeight="1">
      <c r="A9" s="44">
        <f>Headcount!A10</f>
        <v>2</v>
      </c>
      <c r="B9" s="340">
        <f>$D$5</f>
        <v>600</v>
      </c>
      <c r="C9" s="341">
        <f>D5*D6</f>
        <v>9000</v>
      </c>
      <c r="D9" s="338">
        <f>D5</f>
        <v>600</v>
      </c>
      <c r="E9" s="385">
        <f>F9</f>
        <v>1</v>
      </c>
      <c r="F9" s="54">
        <f t="shared" ref="F9:F21" si="0">G9+H9+I9</f>
        <v>1</v>
      </c>
      <c r="G9" s="59">
        <v>1</v>
      </c>
      <c r="H9" s="59">
        <v>0</v>
      </c>
      <c r="I9" s="59">
        <v>0</v>
      </c>
      <c r="J9" s="55">
        <f t="shared" ref="J9:J19" si="1">L9+M9+N9</f>
        <v>0</v>
      </c>
      <c r="K9" s="346">
        <f>IF(J9=0,0,J9/(J9+F9))</f>
        <v>0</v>
      </c>
      <c r="L9" s="59">
        <v>0</v>
      </c>
      <c r="M9" s="59">
        <v>0</v>
      </c>
      <c r="N9" s="59">
        <v>0</v>
      </c>
      <c r="O9" s="69"/>
      <c r="P9" s="439">
        <f>[1]Munka3!$B5</f>
        <v>0</v>
      </c>
      <c r="Q9" s="439">
        <v>16</v>
      </c>
      <c r="R9" s="483">
        <f>$E$5</f>
        <v>0.8</v>
      </c>
      <c r="S9" s="325">
        <v>1</v>
      </c>
      <c r="T9" s="325" t="e">
        <f>AVERAGE($U$9:U9)</f>
        <v>#DIV/0!</v>
      </c>
      <c r="U9" s="348" t="s">
        <v>88</v>
      </c>
    </row>
    <row r="10" spans="1:24">
      <c r="A10" s="44">
        <f>Headcount!A11</f>
        <v>3</v>
      </c>
      <c r="B10" s="344">
        <f t="shared" ref="B10:B23" si="2">$D$5</f>
        <v>600</v>
      </c>
      <c r="C10" s="345">
        <f>$C$9-D9</f>
        <v>8400</v>
      </c>
      <c r="D10" s="53">
        <f t="shared" ref="D10:D23" si="3">$D$5+D9</f>
        <v>1200</v>
      </c>
      <c r="E10" s="370">
        <f t="shared" ref="E10" si="4">IF(E9=0,0,E9+F10)</f>
        <v>2</v>
      </c>
      <c r="F10" s="54">
        <f t="shared" si="0"/>
        <v>1</v>
      </c>
      <c r="G10" s="60">
        <v>1</v>
      </c>
      <c r="H10" s="60">
        <v>0</v>
      </c>
      <c r="I10" s="60">
        <v>0</v>
      </c>
      <c r="J10" s="55">
        <f t="shared" si="1"/>
        <v>0</v>
      </c>
      <c r="K10" s="79">
        <f t="shared" ref="K10:K19" si="5">IF(J10=0,0,J10/(J10+F10))</f>
        <v>0</v>
      </c>
      <c r="L10" s="60">
        <v>0</v>
      </c>
      <c r="M10" s="60">
        <v>0</v>
      </c>
      <c r="N10" s="60">
        <v>0</v>
      </c>
      <c r="O10" s="68"/>
      <c r="P10" s="439">
        <f>[1]Munka3!$B6</f>
        <v>0</v>
      </c>
      <c r="Q10" s="439">
        <v>16</v>
      </c>
      <c r="R10" s="483">
        <f t="shared" ref="R10:R23" si="6">$E$5</f>
        <v>0.8</v>
      </c>
      <c r="S10" s="457">
        <v>1</v>
      </c>
      <c r="T10" s="322" t="e">
        <f>AVERAGE($U$9:U10)</f>
        <v>#DIV/0!</v>
      </c>
      <c r="U10" s="458" t="s">
        <v>88</v>
      </c>
    </row>
    <row r="11" spans="1:24">
      <c r="A11" s="44">
        <f>Headcount!A12</f>
        <v>4</v>
      </c>
      <c r="B11" s="344">
        <f t="shared" si="2"/>
        <v>600</v>
      </c>
      <c r="C11" s="345">
        <f>$C$9-D10</f>
        <v>7800</v>
      </c>
      <c r="D11" s="53">
        <f t="shared" si="3"/>
        <v>1800</v>
      </c>
      <c r="E11" s="370">
        <f t="shared" ref="E11:E12" si="7">IF(E10=0,0,E10+F11)</f>
        <v>3</v>
      </c>
      <c r="F11" s="54">
        <f t="shared" si="0"/>
        <v>1</v>
      </c>
      <c r="G11" s="60">
        <v>1</v>
      </c>
      <c r="H11" s="60">
        <v>0</v>
      </c>
      <c r="I11" s="60">
        <v>0</v>
      </c>
      <c r="J11" s="55">
        <f t="shared" si="1"/>
        <v>0</v>
      </c>
      <c r="K11" s="79">
        <f t="shared" si="5"/>
        <v>0</v>
      </c>
      <c r="L11" s="60">
        <v>0</v>
      </c>
      <c r="M11" s="60">
        <v>0</v>
      </c>
      <c r="N11" s="60">
        <v>0</v>
      </c>
      <c r="O11" s="68"/>
      <c r="P11" s="439">
        <f>[1]Munka3!$B7</f>
        <v>0</v>
      </c>
      <c r="Q11" s="439">
        <v>16</v>
      </c>
      <c r="R11" s="483">
        <f t="shared" si="6"/>
        <v>0.8</v>
      </c>
      <c r="S11" s="322">
        <v>1</v>
      </c>
      <c r="T11" s="322" t="e">
        <f>AVERAGE($U$9:U11)</f>
        <v>#DIV/0!</v>
      </c>
      <c r="U11" s="349" t="s">
        <v>88</v>
      </c>
    </row>
    <row r="12" spans="1:24">
      <c r="A12" s="44">
        <f>Headcount!A13</f>
        <v>5</v>
      </c>
      <c r="B12" s="344">
        <f t="shared" si="2"/>
        <v>600</v>
      </c>
      <c r="C12" s="345">
        <f>$C$9-D11</f>
        <v>7200</v>
      </c>
      <c r="D12" s="53">
        <f t="shared" si="3"/>
        <v>2400</v>
      </c>
      <c r="E12" s="370">
        <f t="shared" si="7"/>
        <v>4</v>
      </c>
      <c r="F12" s="54">
        <f t="shared" si="0"/>
        <v>1</v>
      </c>
      <c r="G12" s="60">
        <v>1</v>
      </c>
      <c r="H12" s="60">
        <v>0</v>
      </c>
      <c r="I12" s="60">
        <v>0</v>
      </c>
      <c r="J12" s="55">
        <f t="shared" si="1"/>
        <v>0</v>
      </c>
      <c r="K12" s="79">
        <f t="shared" si="5"/>
        <v>0</v>
      </c>
      <c r="L12" s="60">
        <v>0</v>
      </c>
      <c r="M12" s="60">
        <v>0</v>
      </c>
      <c r="N12" s="60">
        <v>0</v>
      </c>
      <c r="O12" s="68"/>
      <c r="P12" s="439">
        <f>[1]Munka3!$B8</f>
        <v>0</v>
      </c>
      <c r="Q12" s="439">
        <v>16</v>
      </c>
      <c r="R12" s="483">
        <f t="shared" si="6"/>
        <v>0.8</v>
      </c>
      <c r="S12" s="322">
        <v>1</v>
      </c>
      <c r="T12" s="322" t="e">
        <f>AVERAGE($U$9:U12)</f>
        <v>#DIV/0!</v>
      </c>
      <c r="U12" s="349" t="s">
        <v>88</v>
      </c>
    </row>
    <row r="13" spans="1:24">
      <c r="A13" s="44">
        <f>Headcount!A14</f>
        <v>6</v>
      </c>
      <c r="B13" s="344">
        <f t="shared" si="2"/>
        <v>600</v>
      </c>
      <c r="C13" s="345">
        <f t="shared" ref="C13:C15" si="8">$C$9-D12</f>
        <v>6600</v>
      </c>
      <c r="D13" s="53">
        <f t="shared" si="3"/>
        <v>3000</v>
      </c>
      <c r="E13" s="370">
        <f t="shared" ref="E13:E23" si="9">IF(E12=0,0,E12+F13)</f>
        <v>5</v>
      </c>
      <c r="F13" s="54">
        <f t="shared" si="0"/>
        <v>1</v>
      </c>
      <c r="G13" s="60">
        <v>1</v>
      </c>
      <c r="H13" s="60">
        <v>0</v>
      </c>
      <c r="I13" s="60">
        <v>0</v>
      </c>
      <c r="J13" s="55">
        <f t="shared" si="1"/>
        <v>0</v>
      </c>
      <c r="K13" s="79">
        <f>IF(J13=0,0,J13/(J13+F13))</f>
        <v>0</v>
      </c>
      <c r="L13" s="60">
        <v>0</v>
      </c>
      <c r="M13" s="60">
        <v>0</v>
      </c>
      <c r="N13" s="60">
        <v>0</v>
      </c>
      <c r="O13" s="68"/>
      <c r="P13" s="439">
        <f>[1]Munka3!$B9</f>
        <v>0</v>
      </c>
      <c r="Q13" s="439">
        <v>16</v>
      </c>
      <c r="R13" s="483">
        <f t="shared" si="6"/>
        <v>0.8</v>
      </c>
      <c r="S13" s="322">
        <v>1</v>
      </c>
      <c r="T13" s="322" t="e">
        <f>AVERAGE($U$9:U13)</f>
        <v>#DIV/0!</v>
      </c>
      <c r="U13" s="349" t="s">
        <v>88</v>
      </c>
    </row>
    <row r="14" spans="1:24">
      <c r="A14" s="44">
        <f>Headcount!A15</f>
        <v>9</v>
      </c>
      <c r="B14" s="344">
        <f t="shared" si="2"/>
        <v>600</v>
      </c>
      <c r="C14" s="345">
        <f>$C$9-D13</f>
        <v>6000</v>
      </c>
      <c r="D14" s="53">
        <f t="shared" si="3"/>
        <v>3600</v>
      </c>
      <c r="E14" s="370">
        <f t="shared" si="9"/>
        <v>6</v>
      </c>
      <c r="F14" s="54">
        <f t="shared" si="0"/>
        <v>1</v>
      </c>
      <c r="G14" s="60">
        <v>1</v>
      </c>
      <c r="H14" s="60">
        <v>0</v>
      </c>
      <c r="I14" s="60">
        <v>0</v>
      </c>
      <c r="J14" s="55">
        <f t="shared" si="1"/>
        <v>0</v>
      </c>
      <c r="K14" s="79">
        <f>IF(J14=0,0,J14/(J14+F14))</f>
        <v>0</v>
      </c>
      <c r="L14" s="60">
        <v>0</v>
      </c>
      <c r="M14" s="60">
        <v>0</v>
      </c>
      <c r="N14" s="60">
        <v>0</v>
      </c>
      <c r="O14" s="68"/>
      <c r="P14" s="439">
        <f>[1]Munka3!$B10</f>
        <v>0</v>
      </c>
      <c r="Q14" s="439">
        <v>16</v>
      </c>
      <c r="R14" s="483">
        <f t="shared" si="6"/>
        <v>0.8</v>
      </c>
      <c r="S14" s="322">
        <v>1</v>
      </c>
      <c r="T14" s="322" t="e">
        <f>AVERAGE($U$9:U14)</f>
        <v>#DIV/0!</v>
      </c>
      <c r="U14" s="349" t="s">
        <v>88</v>
      </c>
    </row>
    <row r="15" spans="1:24">
      <c r="A15" s="44">
        <f>Headcount!A16</f>
        <v>10</v>
      </c>
      <c r="B15" s="344">
        <f t="shared" si="2"/>
        <v>600</v>
      </c>
      <c r="C15" s="345">
        <f t="shared" si="8"/>
        <v>5400</v>
      </c>
      <c r="D15" s="53">
        <f t="shared" si="3"/>
        <v>4200</v>
      </c>
      <c r="E15" s="370">
        <f t="shared" si="9"/>
        <v>2245</v>
      </c>
      <c r="F15" s="54">
        <f t="shared" si="0"/>
        <v>2239</v>
      </c>
      <c r="G15" s="60">
        <v>2239</v>
      </c>
      <c r="H15" s="60">
        <v>0</v>
      </c>
      <c r="I15" s="60">
        <v>0</v>
      </c>
      <c r="J15" s="55">
        <f t="shared" si="1"/>
        <v>0</v>
      </c>
      <c r="K15" s="79">
        <f t="shared" si="5"/>
        <v>0</v>
      </c>
      <c r="L15" s="60">
        <v>0</v>
      </c>
      <c r="M15" s="60">
        <v>0</v>
      </c>
      <c r="N15" s="60">
        <v>0</v>
      </c>
      <c r="O15" s="68"/>
      <c r="P15" s="439">
        <f>[1]Munka3!$B11</f>
        <v>0</v>
      </c>
      <c r="Q15" s="439">
        <v>16</v>
      </c>
      <c r="R15" s="483">
        <f t="shared" si="6"/>
        <v>0.8</v>
      </c>
      <c r="S15" s="322">
        <v>1</v>
      </c>
      <c r="T15" s="322">
        <f>AVERAGE($U$9:U15)</f>
        <v>1.0949</v>
      </c>
      <c r="U15" s="349">
        <v>1.0949</v>
      </c>
    </row>
    <row r="16" spans="1:24" ht="15.6" customHeight="1">
      <c r="A16" s="44">
        <f>Headcount!A17</f>
        <v>11</v>
      </c>
      <c r="B16" s="344">
        <f t="shared" si="2"/>
        <v>600</v>
      </c>
      <c r="C16" s="345">
        <f>$C$9-D15</f>
        <v>4800</v>
      </c>
      <c r="D16" s="53">
        <f t="shared" si="3"/>
        <v>4800</v>
      </c>
      <c r="E16" s="370">
        <f t="shared" si="9"/>
        <v>7758</v>
      </c>
      <c r="F16" s="54">
        <f t="shared" si="0"/>
        <v>5513</v>
      </c>
      <c r="G16" s="60">
        <v>5513</v>
      </c>
      <c r="H16" s="60">
        <v>0</v>
      </c>
      <c r="I16" s="60">
        <v>0</v>
      </c>
      <c r="J16" s="55">
        <f t="shared" si="1"/>
        <v>0</v>
      </c>
      <c r="K16" s="79">
        <f t="shared" si="5"/>
        <v>0</v>
      </c>
      <c r="L16" s="60">
        <v>0</v>
      </c>
      <c r="M16" s="60">
        <v>0</v>
      </c>
      <c r="N16" s="60">
        <v>0</v>
      </c>
      <c r="O16" s="68"/>
      <c r="P16" s="439">
        <f>[1]Munka3!$B12</f>
        <v>0</v>
      </c>
      <c r="Q16" s="439">
        <v>16</v>
      </c>
      <c r="R16" s="483">
        <f t="shared" si="6"/>
        <v>0.8</v>
      </c>
      <c r="S16" s="322">
        <v>1</v>
      </c>
      <c r="T16" s="322">
        <f>AVERAGE($U$9:U16)</f>
        <v>1.04915</v>
      </c>
      <c r="U16" s="349">
        <v>1.0034000000000001</v>
      </c>
    </row>
    <row r="17" spans="1:21">
      <c r="A17" s="44">
        <f>Headcount!A18</f>
        <v>12</v>
      </c>
      <c r="B17" s="344">
        <f t="shared" si="2"/>
        <v>600</v>
      </c>
      <c r="C17" s="345">
        <f>$C$9-D16</f>
        <v>4200</v>
      </c>
      <c r="D17" s="53">
        <f t="shared" si="3"/>
        <v>5400</v>
      </c>
      <c r="E17" s="370">
        <f t="shared" si="9"/>
        <v>9008</v>
      </c>
      <c r="F17" s="54">
        <f t="shared" si="0"/>
        <v>1250</v>
      </c>
      <c r="G17" s="60">
        <v>1250</v>
      </c>
      <c r="H17" s="60">
        <v>0</v>
      </c>
      <c r="I17" s="60">
        <v>0</v>
      </c>
      <c r="J17" s="55">
        <f t="shared" si="1"/>
        <v>0</v>
      </c>
      <c r="K17" s="79">
        <f t="shared" si="5"/>
        <v>0</v>
      </c>
      <c r="L17" s="60">
        <v>0</v>
      </c>
      <c r="M17" s="60">
        <v>0</v>
      </c>
      <c r="N17" s="60">
        <v>0</v>
      </c>
      <c r="O17" s="68"/>
      <c r="P17" s="439">
        <f>[1]Munka3!$B13</f>
        <v>0</v>
      </c>
      <c r="Q17" s="439">
        <v>16</v>
      </c>
      <c r="R17" s="483">
        <f t="shared" si="6"/>
        <v>0.8</v>
      </c>
      <c r="S17" s="322">
        <v>1</v>
      </c>
      <c r="T17" s="322">
        <f>AVERAGE($U$9:U17)</f>
        <v>1.0359666666666667</v>
      </c>
      <c r="U17" s="349">
        <v>1.0096000000000001</v>
      </c>
    </row>
    <row r="18" spans="1:21">
      <c r="A18" s="44">
        <f>Headcount!A19</f>
        <v>13</v>
      </c>
      <c r="B18" s="344">
        <f t="shared" si="2"/>
        <v>600</v>
      </c>
      <c r="C18" s="345">
        <f t="shared" ref="C18:C21" si="10">$C$9-D17</f>
        <v>3600</v>
      </c>
      <c r="D18" s="53">
        <f t="shared" si="3"/>
        <v>6000</v>
      </c>
      <c r="E18" s="370">
        <f t="shared" si="9"/>
        <v>9009</v>
      </c>
      <c r="F18" s="54">
        <f t="shared" si="0"/>
        <v>1</v>
      </c>
      <c r="G18" s="60">
        <v>1</v>
      </c>
      <c r="H18" s="60">
        <v>0</v>
      </c>
      <c r="I18" s="60">
        <v>0</v>
      </c>
      <c r="J18" s="55">
        <f>L18+M18+N18</f>
        <v>0</v>
      </c>
      <c r="K18" s="79">
        <f t="shared" si="5"/>
        <v>0</v>
      </c>
      <c r="L18" s="60">
        <v>0</v>
      </c>
      <c r="M18" s="60">
        <v>0</v>
      </c>
      <c r="N18" s="60">
        <v>0</v>
      </c>
      <c r="O18" s="68"/>
      <c r="P18" s="439">
        <f>[1]Munka3!$B14</f>
        <v>0</v>
      </c>
      <c r="Q18" s="439">
        <v>16</v>
      </c>
      <c r="R18" s="483">
        <f t="shared" si="6"/>
        <v>0.8</v>
      </c>
      <c r="S18" s="322">
        <v>1</v>
      </c>
      <c r="T18" s="322">
        <f>AVERAGE($U$9:U18)</f>
        <v>1.0359666666666667</v>
      </c>
      <c r="U18" s="349" t="s">
        <v>88</v>
      </c>
    </row>
    <row r="19" spans="1:21">
      <c r="A19" s="44">
        <f>Headcount!A20</f>
        <v>16</v>
      </c>
      <c r="B19" s="344">
        <f t="shared" si="2"/>
        <v>600</v>
      </c>
      <c r="C19" s="345">
        <f t="shared" si="10"/>
        <v>3000</v>
      </c>
      <c r="D19" s="53">
        <f t="shared" si="3"/>
        <v>6600</v>
      </c>
      <c r="E19" s="370">
        <f t="shared" si="9"/>
        <v>9010</v>
      </c>
      <c r="F19" s="54">
        <f t="shared" si="0"/>
        <v>1</v>
      </c>
      <c r="G19" s="60">
        <v>1</v>
      </c>
      <c r="H19" s="60">
        <v>0</v>
      </c>
      <c r="I19" s="60">
        <v>0</v>
      </c>
      <c r="J19" s="55">
        <f t="shared" si="1"/>
        <v>0</v>
      </c>
      <c r="K19" s="79">
        <f t="shared" si="5"/>
        <v>0</v>
      </c>
      <c r="L19" s="60">
        <v>0</v>
      </c>
      <c r="M19" s="60">
        <v>0</v>
      </c>
      <c r="N19" s="60">
        <v>0</v>
      </c>
      <c r="O19" s="68"/>
      <c r="P19" s="439">
        <f>[1]Munka3!$B15</f>
        <v>0</v>
      </c>
      <c r="Q19" s="439">
        <v>16</v>
      </c>
      <c r="R19" s="483">
        <f t="shared" si="6"/>
        <v>0.8</v>
      </c>
      <c r="S19" s="322">
        <v>1</v>
      </c>
      <c r="T19" s="322">
        <f>AVERAGE($U$9:U19)</f>
        <v>1.0359666666666667</v>
      </c>
      <c r="U19" s="349" t="s">
        <v>88</v>
      </c>
    </row>
    <row r="20" spans="1:21">
      <c r="A20" s="44">
        <f>Headcount!A21</f>
        <v>17</v>
      </c>
      <c r="B20" s="344">
        <f t="shared" si="2"/>
        <v>600</v>
      </c>
      <c r="C20" s="345">
        <f t="shared" si="10"/>
        <v>2400</v>
      </c>
      <c r="D20" s="53">
        <f t="shared" si="3"/>
        <v>7200</v>
      </c>
      <c r="E20" s="370">
        <f t="shared" si="9"/>
        <v>9011</v>
      </c>
      <c r="F20" s="54">
        <f t="shared" si="0"/>
        <v>1</v>
      </c>
      <c r="G20" s="60">
        <v>1</v>
      </c>
      <c r="H20" s="60">
        <v>0</v>
      </c>
      <c r="I20" s="60">
        <v>0</v>
      </c>
      <c r="J20" s="55">
        <f t="shared" ref="J20:J22" si="11">L20+M20+N20</f>
        <v>0</v>
      </c>
      <c r="K20" s="79">
        <f t="shared" ref="K20:K22" si="12">IF(J20=0,0,J20/(J20+F20))</f>
        <v>0</v>
      </c>
      <c r="L20" s="60">
        <v>0</v>
      </c>
      <c r="M20" s="60">
        <v>0</v>
      </c>
      <c r="N20" s="60">
        <v>0</v>
      </c>
      <c r="O20" s="68"/>
      <c r="P20" s="439">
        <f>[1]Munka3!$B16</f>
        <v>0</v>
      </c>
      <c r="Q20" s="439">
        <v>16</v>
      </c>
      <c r="R20" s="483">
        <f t="shared" si="6"/>
        <v>0.8</v>
      </c>
      <c r="S20" s="322">
        <v>1</v>
      </c>
      <c r="T20" s="322">
        <f>AVERAGE($U$9:U20)</f>
        <v>1.0359666666666667</v>
      </c>
      <c r="U20" s="349" t="s">
        <v>88</v>
      </c>
    </row>
    <row r="21" spans="1:21">
      <c r="A21" s="44">
        <f>Headcount!A22</f>
        <v>18</v>
      </c>
      <c r="B21" s="344">
        <f t="shared" si="2"/>
        <v>600</v>
      </c>
      <c r="C21" s="345">
        <f t="shared" si="10"/>
        <v>1800</v>
      </c>
      <c r="D21" s="53">
        <f t="shared" si="3"/>
        <v>7800</v>
      </c>
      <c r="E21" s="370">
        <f t="shared" si="9"/>
        <v>9012</v>
      </c>
      <c r="F21" s="54">
        <f t="shared" si="0"/>
        <v>1</v>
      </c>
      <c r="G21" s="60">
        <v>1</v>
      </c>
      <c r="H21" s="60">
        <v>0</v>
      </c>
      <c r="I21" s="60">
        <v>0</v>
      </c>
      <c r="J21" s="55">
        <f t="shared" si="11"/>
        <v>0</v>
      </c>
      <c r="K21" s="79">
        <f t="shared" si="12"/>
        <v>0</v>
      </c>
      <c r="L21" s="60">
        <v>0</v>
      </c>
      <c r="M21" s="60">
        <v>0</v>
      </c>
      <c r="N21" s="60">
        <v>0</v>
      </c>
      <c r="O21" s="68"/>
      <c r="P21" s="439">
        <f>[1]Munka3!$B17</f>
        <v>0</v>
      </c>
      <c r="Q21" s="439">
        <v>16</v>
      </c>
      <c r="R21" s="483">
        <f t="shared" si="6"/>
        <v>0.8</v>
      </c>
      <c r="S21" s="322">
        <v>1</v>
      </c>
      <c r="T21" s="322">
        <f>AVERAGE($U$9:U21)</f>
        <v>1.0359666666666667</v>
      </c>
      <c r="U21" s="349" t="s">
        <v>88</v>
      </c>
    </row>
    <row r="22" spans="1:21">
      <c r="A22" s="44">
        <f>Headcount!A23</f>
        <v>19</v>
      </c>
      <c r="B22" s="344">
        <f t="shared" si="2"/>
        <v>600</v>
      </c>
      <c r="C22" s="345">
        <f t="shared" ref="C22:C23" si="13">$C$9-D21</f>
        <v>1200</v>
      </c>
      <c r="D22" s="53">
        <f t="shared" si="3"/>
        <v>8400</v>
      </c>
      <c r="E22" s="370">
        <f t="shared" si="9"/>
        <v>9013</v>
      </c>
      <c r="F22" s="54">
        <f t="shared" ref="F22:F23" si="14">G22+H22+I22</f>
        <v>1</v>
      </c>
      <c r="G22" s="60">
        <v>1</v>
      </c>
      <c r="H22" s="60">
        <v>0</v>
      </c>
      <c r="I22" s="60">
        <v>0</v>
      </c>
      <c r="J22" s="55">
        <f t="shared" si="11"/>
        <v>0</v>
      </c>
      <c r="K22" s="79">
        <f t="shared" si="12"/>
        <v>0</v>
      </c>
      <c r="L22" s="60">
        <v>0</v>
      </c>
      <c r="M22" s="60">
        <v>0</v>
      </c>
      <c r="N22" s="60">
        <v>0</v>
      </c>
      <c r="O22" s="68"/>
      <c r="P22" s="439">
        <f>[1]Munka3!$B18</f>
        <v>0</v>
      </c>
      <c r="Q22" s="439">
        <v>16</v>
      </c>
      <c r="R22" s="483">
        <f t="shared" si="6"/>
        <v>0.8</v>
      </c>
      <c r="S22" s="322">
        <v>1</v>
      </c>
      <c r="T22" s="322">
        <f>AVERAGE($U$9:U22)</f>
        <v>1.0359666666666667</v>
      </c>
      <c r="U22" s="349" t="s">
        <v>88</v>
      </c>
    </row>
    <row r="23" spans="1:21">
      <c r="A23" s="44">
        <f>Headcount!A24</f>
        <v>20</v>
      </c>
      <c r="B23" s="344">
        <f t="shared" si="2"/>
        <v>600</v>
      </c>
      <c r="C23" s="345">
        <f t="shared" si="13"/>
        <v>600</v>
      </c>
      <c r="D23" s="53">
        <f t="shared" si="3"/>
        <v>9000</v>
      </c>
      <c r="E23" s="370">
        <f t="shared" si="9"/>
        <v>9014</v>
      </c>
      <c r="F23" s="54">
        <f t="shared" si="14"/>
        <v>1</v>
      </c>
      <c r="G23" s="60">
        <v>1</v>
      </c>
      <c r="H23" s="60">
        <v>0</v>
      </c>
      <c r="I23" s="60">
        <v>0</v>
      </c>
      <c r="J23" s="55">
        <f t="shared" ref="J23" si="15">L23+M23+N23</f>
        <v>0</v>
      </c>
      <c r="K23" s="79">
        <f t="shared" ref="K23" si="16">IF(J23=0,0,J23/(J23+F23))</f>
        <v>0</v>
      </c>
      <c r="L23" s="60">
        <v>0</v>
      </c>
      <c r="M23" s="60">
        <v>0</v>
      </c>
      <c r="N23" s="60">
        <v>0</v>
      </c>
      <c r="O23" s="68"/>
      <c r="P23" s="439">
        <f>[1]Munka3!$B19</f>
        <v>0</v>
      </c>
      <c r="Q23" s="439">
        <v>16</v>
      </c>
      <c r="R23" s="483">
        <f t="shared" si="6"/>
        <v>0.8</v>
      </c>
      <c r="S23" s="322">
        <v>1</v>
      </c>
      <c r="T23" s="322">
        <f>AVERAGE($U$9:U23)</f>
        <v>1.0359666666666667</v>
      </c>
      <c r="U23" s="349" t="s">
        <v>88</v>
      </c>
    </row>
    <row r="24" spans="1:21">
      <c r="A24" s="44"/>
      <c r="B24" s="344"/>
      <c r="C24" s="345"/>
      <c r="D24" s="53"/>
      <c r="E24" s="370"/>
      <c r="F24" s="54"/>
      <c r="G24" s="60"/>
      <c r="H24" s="60"/>
      <c r="I24" s="60"/>
      <c r="J24" s="55"/>
      <c r="K24" s="79"/>
      <c r="L24" s="60"/>
      <c r="M24" s="60"/>
      <c r="N24" s="60"/>
      <c r="O24" s="68"/>
      <c r="P24" s="439"/>
      <c r="Q24" s="439"/>
      <c r="R24" s="483"/>
      <c r="S24" s="322"/>
      <c r="T24" s="322"/>
      <c r="U24" s="349"/>
    </row>
    <row r="25" spans="1:21">
      <c r="A25" s="44"/>
      <c r="B25" s="344"/>
      <c r="C25" s="345"/>
      <c r="D25" s="53"/>
      <c r="E25" s="370"/>
      <c r="F25" s="54"/>
      <c r="G25" s="60"/>
      <c r="H25" s="60"/>
      <c r="I25" s="60"/>
      <c r="J25" s="55"/>
      <c r="K25" s="79"/>
      <c r="L25" s="60"/>
      <c r="M25" s="60"/>
      <c r="N25" s="60"/>
      <c r="O25" s="68"/>
      <c r="P25" s="439"/>
      <c r="Q25" s="439"/>
      <c r="R25" s="483"/>
      <c r="S25" s="322"/>
      <c r="T25" s="322"/>
      <c r="U25" s="349"/>
    </row>
    <row r="26" spans="1:21" ht="15.75" thickBot="1">
      <c r="A26" s="44"/>
      <c r="B26" s="342"/>
      <c r="C26" s="343"/>
      <c r="D26" s="339"/>
      <c r="E26" s="339"/>
      <c r="F26" s="54"/>
      <c r="G26" s="218"/>
      <c r="H26" s="218"/>
      <c r="I26" s="60"/>
      <c r="J26" s="55"/>
      <c r="K26" s="347"/>
      <c r="L26" s="218"/>
      <c r="M26" s="218"/>
      <c r="N26" s="218"/>
      <c r="O26" s="218"/>
      <c r="P26" s="441"/>
      <c r="Q26" s="441"/>
      <c r="R26" s="441"/>
      <c r="S26" s="319"/>
      <c r="T26" s="319"/>
      <c r="U26" s="319"/>
    </row>
    <row r="27" spans="1:21" ht="15.75" thickBot="1">
      <c r="A27" s="219" t="s">
        <v>89</v>
      </c>
      <c r="B27" s="315"/>
      <c r="C27" s="226"/>
      <c r="D27" s="227">
        <f>D7*D5</f>
        <v>9000</v>
      </c>
      <c r="E27" s="227"/>
      <c r="F27" s="228">
        <f>SUM(F9:F25)</f>
        <v>9014</v>
      </c>
      <c r="G27" s="229"/>
      <c r="H27" s="229"/>
      <c r="I27" s="229"/>
      <c r="J27" s="230"/>
      <c r="K27" s="231"/>
      <c r="L27" s="229">
        <f>SUM(L9:L26)</f>
        <v>0</v>
      </c>
      <c r="M27" s="229">
        <f>SUM(M9:M26)</f>
        <v>0</v>
      </c>
      <c r="N27" s="229">
        <f>SUM(N9:N26)</f>
        <v>0</v>
      </c>
      <c r="O27" s="225">
        <f>SUM(L27:N27)</f>
        <v>0</v>
      </c>
      <c r="P27" s="225"/>
      <c r="Q27" s="225"/>
      <c r="R27" s="225"/>
      <c r="S27" s="225"/>
      <c r="T27" s="225"/>
      <c r="U27" s="225"/>
    </row>
  </sheetData>
  <mergeCells count="7">
    <mergeCell ref="D3:D4"/>
    <mergeCell ref="E3:E4"/>
    <mergeCell ref="F7:I7"/>
    <mergeCell ref="J7:N7"/>
    <mergeCell ref="H1:I1"/>
    <mergeCell ref="J1:X2"/>
    <mergeCell ref="H2:I2"/>
  </mergeCells>
  <phoneticPr fontId="16"/>
  <conditionalFormatting sqref="H1:I1">
    <cfRule type="cellIs" dxfId="66" priority="4" operator="lessThan">
      <formula>0</formula>
    </cfRule>
  </conditionalFormatting>
  <conditionalFormatting sqref="K9:K27">
    <cfRule type="cellIs" dxfId="65" priority="1" operator="greaterThan">
      <formula>0.1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1"/>
  <sheetViews>
    <sheetView showGridLines="0" zoomScale="80" zoomScaleNormal="80" workbookViewId="0">
      <pane ySplit="2" topLeftCell="A3" activePane="bottomLeft" state="frozen"/>
      <selection activeCell="P8" sqref="P8:P32"/>
      <selection pane="bottomLeft" activeCell="D5" sqref="D5"/>
    </sheetView>
  </sheetViews>
  <sheetFormatPr defaultRowHeight="15"/>
  <cols>
    <col min="3" max="3" width="13.42578125" customWidth="1"/>
    <col min="4" max="4" width="11.42578125" customWidth="1"/>
    <col min="5" max="5" width="14.42578125" customWidth="1"/>
    <col min="6" max="6" width="11.42578125" bestFit="1" customWidth="1"/>
    <col min="7" max="8" width="10.42578125" customWidth="1"/>
    <col min="9" max="9" width="17.42578125" customWidth="1"/>
    <col min="10" max="14" width="10.42578125" customWidth="1"/>
    <col min="15" max="15" width="28.42578125" customWidth="1"/>
    <col min="16" max="16" width="18.42578125" customWidth="1"/>
    <col min="17" max="17" width="19.42578125" customWidth="1"/>
    <col min="18" max="18" width="18.42578125" customWidth="1"/>
  </cols>
  <sheetData>
    <row r="1" spans="1:21" ht="46.5">
      <c r="A1" s="40" t="s">
        <v>90</v>
      </c>
      <c r="B1" s="40"/>
      <c r="C1" s="41"/>
      <c r="D1" s="52" t="s">
        <v>59</v>
      </c>
      <c r="E1" s="41"/>
      <c r="F1" s="41"/>
      <c r="G1" s="41"/>
      <c r="H1" s="502">
        <f>F31-D31</f>
        <v>0</v>
      </c>
      <c r="I1" s="502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</row>
    <row r="2" spans="1:21" ht="46.5">
      <c r="A2" s="40"/>
      <c r="B2" s="40"/>
      <c r="C2" s="41"/>
      <c r="D2" s="52"/>
      <c r="E2" s="41"/>
      <c r="F2" s="41"/>
      <c r="G2" s="41"/>
      <c r="H2" s="503"/>
      <c r="I2" s="503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</row>
    <row r="3" spans="1:21">
      <c r="F3" s="65"/>
    </row>
    <row r="4" spans="1:21">
      <c r="F4" s="65"/>
    </row>
    <row r="5" spans="1:21">
      <c r="B5" s="23" t="s">
        <v>63</v>
      </c>
      <c r="D5" s="277">
        <v>0</v>
      </c>
      <c r="F5" s="4" t="e">
        <f>E9/D9</f>
        <v>#DIV/0!</v>
      </c>
    </row>
    <row r="6" spans="1:21">
      <c r="C6" s="276" t="s">
        <v>64</v>
      </c>
      <c r="D6" s="23">
        <f>Headcount!F7</f>
        <v>15</v>
      </c>
    </row>
    <row r="7" spans="1:21">
      <c r="C7" s="23" t="s">
        <v>40</v>
      </c>
      <c r="D7" s="23">
        <f>Headcount!F8</f>
        <v>15</v>
      </c>
      <c r="E7" s="23"/>
      <c r="F7" s="507" t="s">
        <v>65</v>
      </c>
      <c r="G7" s="507"/>
      <c r="H7" s="507"/>
      <c r="I7" s="507"/>
      <c r="J7" s="507" t="s">
        <v>66</v>
      </c>
      <c r="K7" s="507"/>
      <c r="L7" s="507"/>
      <c r="M7" s="507"/>
      <c r="N7" s="507"/>
    </row>
    <row r="8" spans="1:21" s="20" customFormat="1" ht="48">
      <c r="A8" s="42" t="s">
        <v>67</v>
      </c>
      <c r="B8" s="42" t="s">
        <v>68</v>
      </c>
      <c r="C8" s="43" t="s">
        <v>69</v>
      </c>
      <c r="D8" s="42" t="s">
        <v>70</v>
      </c>
      <c r="E8" s="42" t="s">
        <v>71</v>
      </c>
      <c r="F8" s="51" t="s">
        <v>72</v>
      </c>
      <c r="G8" s="42" t="s">
        <v>73</v>
      </c>
      <c r="H8" s="42" t="s">
        <v>74</v>
      </c>
      <c r="I8" s="42" t="s">
        <v>91</v>
      </c>
      <c r="J8" s="47" t="s">
        <v>76</v>
      </c>
      <c r="K8" s="42" t="s">
        <v>77</v>
      </c>
      <c r="L8" s="42" t="s">
        <v>78</v>
      </c>
      <c r="M8" s="42" t="s">
        <v>79</v>
      </c>
      <c r="N8" s="42" t="s">
        <v>80</v>
      </c>
      <c r="O8" s="42" t="s">
        <v>81</v>
      </c>
      <c r="P8" s="42" t="s">
        <v>85</v>
      </c>
      <c r="Q8" s="42" t="s">
        <v>86</v>
      </c>
      <c r="R8" s="42" t="s">
        <v>87</v>
      </c>
    </row>
    <row r="9" spans="1:21" ht="15.6" customHeight="1">
      <c r="A9" s="44">
        <f>Headcount!A10</f>
        <v>2</v>
      </c>
      <c r="B9" s="340">
        <f>$D$5</f>
        <v>0</v>
      </c>
      <c r="C9" s="341">
        <f>D5*D6</f>
        <v>0</v>
      </c>
      <c r="D9" s="338">
        <f>D5</f>
        <v>0</v>
      </c>
      <c r="E9" s="338">
        <f>F9</f>
        <v>0</v>
      </c>
      <c r="F9" s="54">
        <f t="shared" ref="F9:F18" si="0">G9+H9+I9</f>
        <v>0</v>
      </c>
      <c r="G9" s="59"/>
      <c r="H9" s="59">
        <v>0</v>
      </c>
      <c r="I9" s="59">
        <v>0</v>
      </c>
      <c r="J9" s="55">
        <f t="shared" ref="J9:J14" si="1">L9+M9+N9</f>
        <v>0</v>
      </c>
      <c r="K9" s="346">
        <f t="shared" ref="K9:K18" si="2">IF(J9=0,0,J9/(J9+F9))</f>
        <v>0</v>
      </c>
      <c r="L9" s="59"/>
      <c r="M9" s="59">
        <v>0</v>
      </c>
      <c r="N9" s="59">
        <v>0</v>
      </c>
      <c r="O9" s="68"/>
      <c r="P9" s="325">
        <v>1</v>
      </c>
      <c r="Q9" s="325"/>
      <c r="R9" s="416"/>
    </row>
    <row r="10" spans="1:21">
      <c r="A10" s="44">
        <f>Headcount!A11</f>
        <v>3</v>
      </c>
      <c r="B10" s="344">
        <f t="shared" ref="B10:B26" si="3">$D$5</f>
        <v>0</v>
      </c>
      <c r="C10" s="345">
        <f>$C$9-D9</f>
        <v>0</v>
      </c>
      <c r="D10" s="53">
        <f t="shared" ref="D10:D26" si="4">$D$5+D9</f>
        <v>0</v>
      </c>
      <c r="E10" s="53">
        <f t="shared" ref="E10" si="5">IF(E9=0,0,E9+F10)</f>
        <v>0</v>
      </c>
      <c r="F10" s="54">
        <f t="shared" si="0"/>
        <v>0</v>
      </c>
      <c r="G10" s="60"/>
      <c r="H10" s="60">
        <v>0</v>
      </c>
      <c r="I10" s="60">
        <v>0</v>
      </c>
      <c r="J10" s="55">
        <f t="shared" si="1"/>
        <v>0</v>
      </c>
      <c r="K10" s="79">
        <f t="shared" si="2"/>
        <v>0</v>
      </c>
      <c r="L10" s="60"/>
      <c r="M10" s="60">
        <v>0</v>
      </c>
      <c r="N10" s="60">
        <v>0</v>
      </c>
      <c r="O10" s="68"/>
      <c r="P10" s="322">
        <v>1</v>
      </c>
      <c r="Q10" s="408"/>
      <c r="R10" s="415"/>
    </row>
    <row r="11" spans="1:21" ht="15.6" customHeight="1">
      <c r="A11" s="44">
        <f>Headcount!A12</f>
        <v>4</v>
      </c>
      <c r="B11" s="344">
        <f t="shared" si="3"/>
        <v>0</v>
      </c>
      <c r="C11" s="345">
        <f>$C$9-D10</f>
        <v>0</v>
      </c>
      <c r="D11" s="53">
        <f t="shared" si="4"/>
        <v>0</v>
      </c>
      <c r="E11" s="53"/>
      <c r="F11" s="54">
        <f t="shared" si="0"/>
        <v>0</v>
      </c>
      <c r="G11" s="60"/>
      <c r="H11" s="60">
        <v>0</v>
      </c>
      <c r="I11" s="60">
        <v>0</v>
      </c>
      <c r="J11" s="55">
        <f t="shared" si="1"/>
        <v>0</v>
      </c>
      <c r="K11" s="79">
        <f t="shared" si="2"/>
        <v>0</v>
      </c>
      <c r="L11" s="60"/>
      <c r="M11" s="60">
        <v>0</v>
      </c>
      <c r="N11" s="60">
        <v>0</v>
      </c>
      <c r="O11" s="68"/>
      <c r="P11" s="322">
        <v>1</v>
      </c>
      <c r="Q11" s="408"/>
      <c r="R11" s="68"/>
    </row>
    <row r="12" spans="1:21">
      <c r="A12" s="44">
        <f>Headcount!A13</f>
        <v>5</v>
      </c>
      <c r="B12" s="344">
        <f t="shared" si="3"/>
        <v>0</v>
      </c>
      <c r="C12" s="345">
        <f>$C$9-D11</f>
        <v>0</v>
      </c>
      <c r="D12" s="53">
        <f t="shared" si="4"/>
        <v>0</v>
      </c>
      <c r="E12" s="53"/>
      <c r="F12" s="54">
        <f t="shared" si="0"/>
        <v>0</v>
      </c>
      <c r="G12" s="60"/>
      <c r="H12" s="60">
        <v>0</v>
      </c>
      <c r="I12" s="60">
        <v>0</v>
      </c>
      <c r="J12" s="55">
        <f t="shared" si="1"/>
        <v>0</v>
      </c>
      <c r="K12" s="79">
        <f t="shared" si="2"/>
        <v>0</v>
      </c>
      <c r="L12" s="60"/>
      <c r="M12" s="60">
        <v>0</v>
      </c>
      <c r="N12" s="60">
        <v>0</v>
      </c>
      <c r="O12" s="68"/>
      <c r="P12" s="322">
        <v>1</v>
      </c>
      <c r="Q12" s="408"/>
      <c r="R12" s="68"/>
    </row>
    <row r="13" spans="1:21">
      <c r="A13" s="44">
        <f>Headcount!A14</f>
        <v>6</v>
      </c>
      <c r="B13" s="344">
        <f t="shared" si="3"/>
        <v>0</v>
      </c>
      <c r="C13" s="345">
        <f t="shared" ref="C13:C21" si="6">$C$9-D12</f>
        <v>0</v>
      </c>
      <c r="D13" s="53">
        <f t="shared" si="4"/>
        <v>0</v>
      </c>
      <c r="E13" s="53"/>
      <c r="F13" s="54">
        <f t="shared" si="0"/>
        <v>0</v>
      </c>
      <c r="G13" s="60"/>
      <c r="H13" s="60">
        <v>0</v>
      </c>
      <c r="I13" s="60">
        <v>0</v>
      </c>
      <c r="J13" s="55">
        <f t="shared" si="1"/>
        <v>0</v>
      </c>
      <c r="K13" s="79">
        <f>IF(J13=0,0,J13/(J13+F13))</f>
        <v>0</v>
      </c>
      <c r="L13" s="60"/>
      <c r="M13" s="60">
        <v>0</v>
      </c>
      <c r="N13" s="60">
        <v>0</v>
      </c>
      <c r="O13" s="68"/>
      <c r="P13" s="322">
        <v>1</v>
      </c>
      <c r="Q13" s="408"/>
      <c r="R13" s="68"/>
    </row>
    <row r="14" spans="1:21">
      <c r="A14" s="44">
        <f>Headcount!A15</f>
        <v>9</v>
      </c>
      <c r="B14" s="344">
        <f t="shared" si="3"/>
        <v>0</v>
      </c>
      <c r="C14" s="345">
        <f t="shared" si="6"/>
        <v>0</v>
      </c>
      <c r="D14" s="53">
        <f t="shared" si="4"/>
        <v>0</v>
      </c>
      <c r="E14" s="53"/>
      <c r="F14" s="54">
        <f t="shared" si="0"/>
        <v>0</v>
      </c>
      <c r="G14" s="60"/>
      <c r="H14" s="60">
        <v>0</v>
      </c>
      <c r="I14" s="60">
        <v>0</v>
      </c>
      <c r="J14" s="55">
        <f t="shared" si="1"/>
        <v>0</v>
      </c>
      <c r="K14" s="79">
        <f>IF(J14=0,0,J14/(J14+F14))</f>
        <v>0</v>
      </c>
      <c r="L14" s="60"/>
      <c r="M14" s="60">
        <v>0</v>
      </c>
      <c r="N14" s="60">
        <v>0</v>
      </c>
      <c r="O14" s="68"/>
      <c r="P14" s="322">
        <v>1</v>
      </c>
      <c r="Q14" s="322"/>
      <c r="R14" s="68"/>
    </row>
    <row r="15" spans="1:21">
      <c r="A15" s="44">
        <f>Headcount!A16</f>
        <v>10</v>
      </c>
      <c r="B15" s="344">
        <f t="shared" si="3"/>
        <v>0</v>
      </c>
      <c r="C15" s="345">
        <f t="shared" si="6"/>
        <v>0</v>
      </c>
      <c r="D15" s="53">
        <f t="shared" si="4"/>
        <v>0</v>
      </c>
      <c r="E15" s="53"/>
      <c r="F15" s="54">
        <f t="shared" si="0"/>
        <v>0</v>
      </c>
      <c r="G15" s="60"/>
      <c r="H15" s="60">
        <v>0</v>
      </c>
      <c r="I15" s="60">
        <v>0</v>
      </c>
      <c r="J15" s="55">
        <f t="shared" ref="J15:J18" si="7">L15+M15+N15</f>
        <v>0</v>
      </c>
      <c r="K15" s="79">
        <f t="shared" si="2"/>
        <v>0</v>
      </c>
      <c r="L15" s="60"/>
      <c r="M15" s="60">
        <v>0</v>
      </c>
      <c r="N15" s="60">
        <v>0</v>
      </c>
      <c r="O15" s="68"/>
      <c r="P15" s="322">
        <v>1</v>
      </c>
      <c r="Q15" s="322"/>
      <c r="R15" s="68"/>
    </row>
    <row r="16" spans="1:21">
      <c r="A16" s="44">
        <f>Headcount!A17</f>
        <v>11</v>
      </c>
      <c r="B16" s="344">
        <f t="shared" si="3"/>
        <v>0</v>
      </c>
      <c r="C16" s="345">
        <f t="shared" si="6"/>
        <v>0</v>
      </c>
      <c r="D16" s="53">
        <f t="shared" si="4"/>
        <v>0</v>
      </c>
      <c r="E16" s="53"/>
      <c r="F16" s="54">
        <f t="shared" si="0"/>
        <v>0</v>
      </c>
      <c r="G16" s="60"/>
      <c r="H16" s="60">
        <v>0</v>
      </c>
      <c r="I16" s="60">
        <v>0</v>
      </c>
      <c r="J16" s="55">
        <f t="shared" si="7"/>
        <v>0</v>
      </c>
      <c r="K16" s="79">
        <f t="shared" si="2"/>
        <v>0</v>
      </c>
      <c r="L16" s="60"/>
      <c r="M16" s="60">
        <v>0</v>
      </c>
      <c r="N16" s="60">
        <v>0</v>
      </c>
      <c r="O16" s="68"/>
      <c r="P16" s="322">
        <v>1</v>
      </c>
      <c r="Q16" s="322"/>
      <c r="R16" s="68"/>
    </row>
    <row r="17" spans="1:19">
      <c r="A17" s="44">
        <f>Headcount!A18</f>
        <v>12</v>
      </c>
      <c r="B17" s="344">
        <f t="shared" si="3"/>
        <v>0</v>
      </c>
      <c r="C17" s="345">
        <f t="shared" si="6"/>
        <v>0</v>
      </c>
      <c r="D17" s="53">
        <f t="shared" si="4"/>
        <v>0</v>
      </c>
      <c r="E17" s="53"/>
      <c r="F17" s="54">
        <f t="shared" si="0"/>
        <v>0</v>
      </c>
      <c r="G17" s="60"/>
      <c r="H17" s="60">
        <v>0</v>
      </c>
      <c r="I17" s="60">
        <v>0</v>
      </c>
      <c r="J17" s="55">
        <f t="shared" si="7"/>
        <v>0</v>
      </c>
      <c r="K17" s="79">
        <f t="shared" si="2"/>
        <v>0</v>
      </c>
      <c r="L17" s="60"/>
      <c r="M17" s="60">
        <v>0</v>
      </c>
      <c r="N17" s="60">
        <v>0</v>
      </c>
      <c r="O17" s="68"/>
      <c r="P17" s="322">
        <v>1</v>
      </c>
      <c r="Q17" s="322"/>
      <c r="R17" s="68"/>
    </row>
    <row r="18" spans="1:19">
      <c r="A18" s="44">
        <f>Headcount!A19</f>
        <v>13</v>
      </c>
      <c r="B18" s="344">
        <f t="shared" si="3"/>
        <v>0</v>
      </c>
      <c r="C18" s="345">
        <f t="shared" si="6"/>
        <v>0</v>
      </c>
      <c r="D18" s="53">
        <f t="shared" si="4"/>
        <v>0</v>
      </c>
      <c r="E18" s="53"/>
      <c r="F18" s="54">
        <f t="shared" si="0"/>
        <v>0</v>
      </c>
      <c r="G18" s="60"/>
      <c r="H18" s="60">
        <v>0</v>
      </c>
      <c r="I18" s="60">
        <v>0</v>
      </c>
      <c r="J18" s="55">
        <f t="shared" si="7"/>
        <v>0</v>
      </c>
      <c r="K18" s="79">
        <f t="shared" si="2"/>
        <v>0</v>
      </c>
      <c r="L18" s="60"/>
      <c r="M18" s="60">
        <v>0</v>
      </c>
      <c r="N18" s="60">
        <v>0</v>
      </c>
      <c r="O18" s="68"/>
      <c r="P18" s="322">
        <v>1</v>
      </c>
      <c r="Q18" s="322"/>
      <c r="R18" s="68"/>
    </row>
    <row r="19" spans="1:19">
      <c r="A19" s="44">
        <f>Headcount!A20</f>
        <v>16</v>
      </c>
      <c r="B19" s="344">
        <f t="shared" si="3"/>
        <v>0</v>
      </c>
      <c r="C19" s="345">
        <f t="shared" si="6"/>
        <v>0</v>
      </c>
      <c r="D19" s="53">
        <f t="shared" si="4"/>
        <v>0</v>
      </c>
      <c r="E19" s="53"/>
      <c r="F19" s="54">
        <f t="shared" ref="F19:F22" si="8">G19+H19+I19</f>
        <v>0</v>
      </c>
      <c r="G19" s="60"/>
      <c r="H19" s="60">
        <v>0</v>
      </c>
      <c r="I19" s="60">
        <v>0</v>
      </c>
      <c r="J19" s="55">
        <f t="shared" ref="J19:J22" si="9">L19+M19+N19</f>
        <v>0</v>
      </c>
      <c r="K19" s="79">
        <f t="shared" ref="K19:K22" si="10">IF(J19=0,0,J19/(J19+F19))</f>
        <v>0</v>
      </c>
      <c r="L19" s="60"/>
      <c r="M19" s="60">
        <v>0</v>
      </c>
      <c r="N19" s="60">
        <v>0</v>
      </c>
      <c r="O19" s="68"/>
      <c r="P19" s="322">
        <v>1</v>
      </c>
      <c r="Q19" s="322"/>
      <c r="R19" s="68"/>
    </row>
    <row r="20" spans="1:19">
      <c r="A20" s="44">
        <f>Headcount!A21</f>
        <v>17</v>
      </c>
      <c r="B20" s="344">
        <f t="shared" si="3"/>
        <v>0</v>
      </c>
      <c r="C20" s="345">
        <f t="shared" si="6"/>
        <v>0</v>
      </c>
      <c r="D20" s="53">
        <f t="shared" si="4"/>
        <v>0</v>
      </c>
      <c r="E20" s="53"/>
      <c r="F20" s="54">
        <f t="shared" si="8"/>
        <v>0</v>
      </c>
      <c r="G20" s="60"/>
      <c r="H20" s="60">
        <v>0</v>
      </c>
      <c r="I20" s="60">
        <v>0</v>
      </c>
      <c r="J20" s="55">
        <f t="shared" si="9"/>
        <v>0</v>
      </c>
      <c r="K20" s="79">
        <f t="shared" si="10"/>
        <v>0</v>
      </c>
      <c r="L20" s="60"/>
      <c r="M20" s="60">
        <v>0</v>
      </c>
      <c r="N20" s="60">
        <v>0</v>
      </c>
      <c r="O20" s="68"/>
      <c r="P20" s="322">
        <v>1</v>
      </c>
      <c r="Q20" s="322"/>
      <c r="R20" s="68"/>
    </row>
    <row r="21" spans="1:19">
      <c r="A21" s="44">
        <f>Headcount!A22</f>
        <v>18</v>
      </c>
      <c r="B21" s="344">
        <f t="shared" si="3"/>
        <v>0</v>
      </c>
      <c r="C21" s="345">
        <f t="shared" si="6"/>
        <v>0</v>
      </c>
      <c r="D21" s="53">
        <f t="shared" si="4"/>
        <v>0</v>
      </c>
      <c r="E21" s="53"/>
      <c r="F21" s="54">
        <f t="shared" si="8"/>
        <v>0</v>
      </c>
      <c r="G21" s="60"/>
      <c r="H21" s="60">
        <v>0</v>
      </c>
      <c r="I21" s="60">
        <v>0</v>
      </c>
      <c r="J21" s="55">
        <f t="shared" si="9"/>
        <v>0</v>
      </c>
      <c r="K21" s="79">
        <f t="shared" si="10"/>
        <v>0</v>
      </c>
      <c r="L21" s="60"/>
      <c r="M21" s="60">
        <v>0</v>
      </c>
      <c r="N21" s="60">
        <v>0</v>
      </c>
      <c r="O21" s="68"/>
      <c r="P21" s="322">
        <v>1</v>
      </c>
      <c r="Q21" s="322"/>
      <c r="R21" s="68"/>
    </row>
    <row r="22" spans="1:19">
      <c r="A22" s="44">
        <f>Headcount!A23</f>
        <v>19</v>
      </c>
      <c r="B22" s="344">
        <f t="shared" si="3"/>
        <v>0</v>
      </c>
      <c r="C22" s="345">
        <f t="shared" ref="C22:C24" si="11">$C$9-D21</f>
        <v>0</v>
      </c>
      <c r="D22" s="53">
        <f t="shared" si="4"/>
        <v>0</v>
      </c>
      <c r="E22" s="53"/>
      <c r="F22" s="54">
        <f t="shared" si="8"/>
        <v>0</v>
      </c>
      <c r="G22" s="60"/>
      <c r="H22" s="60">
        <v>0</v>
      </c>
      <c r="I22" s="60">
        <v>0</v>
      </c>
      <c r="J22" s="55">
        <f t="shared" si="9"/>
        <v>0</v>
      </c>
      <c r="K22" s="79">
        <f t="shared" si="10"/>
        <v>0</v>
      </c>
      <c r="L22" s="60"/>
      <c r="M22" s="60">
        <v>0</v>
      </c>
      <c r="N22" s="60">
        <v>0</v>
      </c>
      <c r="O22" s="68"/>
      <c r="P22" s="322">
        <v>1</v>
      </c>
      <c r="Q22" s="322"/>
      <c r="R22" s="68"/>
    </row>
    <row r="23" spans="1:19">
      <c r="A23" s="44">
        <f>Headcount!A24</f>
        <v>20</v>
      </c>
      <c r="B23" s="344">
        <f t="shared" si="3"/>
        <v>0</v>
      </c>
      <c r="C23" s="345">
        <f t="shared" si="11"/>
        <v>0</v>
      </c>
      <c r="D23" s="53">
        <f t="shared" si="4"/>
        <v>0</v>
      </c>
      <c r="E23" s="53"/>
      <c r="F23" s="54">
        <f t="shared" ref="F23:F26" si="12">G23+H23+I23</f>
        <v>0</v>
      </c>
      <c r="G23" s="60"/>
      <c r="H23" s="60">
        <v>0</v>
      </c>
      <c r="I23" s="60">
        <v>0</v>
      </c>
      <c r="J23" s="55">
        <f t="shared" ref="J23:J26" si="13">L23+M23+N23</f>
        <v>0</v>
      </c>
      <c r="K23" s="79">
        <f t="shared" ref="K23:K26" si="14">IF(J23=0,0,J23/(J23+F23))</f>
        <v>0</v>
      </c>
      <c r="L23" s="60"/>
      <c r="M23" s="60">
        <v>0</v>
      </c>
      <c r="N23" s="60">
        <v>0</v>
      </c>
      <c r="O23" s="68"/>
      <c r="P23" s="322">
        <v>1</v>
      </c>
      <c r="Q23" s="322"/>
      <c r="R23" s="68"/>
    </row>
    <row r="24" spans="1:19">
      <c r="A24" s="44">
        <f>Headcount!A25</f>
        <v>0</v>
      </c>
      <c r="B24" s="344">
        <f t="shared" si="3"/>
        <v>0</v>
      </c>
      <c r="C24" s="345">
        <f t="shared" si="11"/>
        <v>0</v>
      </c>
      <c r="D24" s="53">
        <f t="shared" si="4"/>
        <v>0</v>
      </c>
      <c r="E24" s="53"/>
      <c r="F24" s="54">
        <f t="shared" si="12"/>
        <v>0</v>
      </c>
      <c r="G24" s="60"/>
      <c r="H24" s="60">
        <v>0</v>
      </c>
      <c r="I24" s="60">
        <v>0</v>
      </c>
      <c r="J24" s="55">
        <f t="shared" si="13"/>
        <v>0</v>
      </c>
      <c r="K24" s="79">
        <f t="shared" si="14"/>
        <v>0</v>
      </c>
      <c r="L24" s="60"/>
      <c r="M24" s="60">
        <v>0</v>
      </c>
      <c r="N24" s="60">
        <v>0</v>
      </c>
      <c r="O24" s="68"/>
      <c r="P24" s="322">
        <v>1</v>
      </c>
      <c r="Q24" s="322"/>
      <c r="R24" s="68"/>
      <c r="S24" s="305"/>
    </row>
    <row r="25" spans="1:19">
      <c r="A25" s="44">
        <f>Headcount!A26</f>
        <v>0</v>
      </c>
      <c r="B25" s="344">
        <f t="shared" si="3"/>
        <v>0</v>
      </c>
      <c r="C25" s="345">
        <f t="shared" ref="C25:C26" si="15">$C$9-D24</f>
        <v>0</v>
      </c>
      <c r="D25" s="53">
        <f t="shared" si="4"/>
        <v>0</v>
      </c>
      <c r="E25" s="53"/>
      <c r="F25" s="54">
        <f t="shared" si="12"/>
        <v>0</v>
      </c>
      <c r="G25" s="60"/>
      <c r="H25" s="60">
        <v>0</v>
      </c>
      <c r="I25" s="60">
        <v>0</v>
      </c>
      <c r="J25" s="55">
        <f t="shared" si="13"/>
        <v>0</v>
      </c>
      <c r="K25" s="79">
        <f t="shared" si="14"/>
        <v>0</v>
      </c>
      <c r="L25" s="60"/>
      <c r="M25" s="60">
        <v>0</v>
      </c>
      <c r="N25" s="60">
        <v>0</v>
      </c>
      <c r="O25" s="68"/>
      <c r="P25" s="322">
        <v>1</v>
      </c>
      <c r="Q25" s="322"/>
      <c r="R25" s="68"/>
      <c r="S25" s="305"/>
    </row>
    <row r="26" spans="1:19">
      <c r="A26" s="44">
        <f>Headcount!A27</f>
        <v>0</v>
      </c>
      <c r="B26" s="344">
        <f t="shared" si="3"/>
        <v>0</v>
      </c>
      <c r="C26" s="345">
        <f t="shared" si="15"/>
        <v>0</v>
      </c>
      <c r="D26" s="53">
        <f t="shared" si="4"/>
        <v>0</v>
      </c>
      <c r="E26" s="53"/>
      <c r="F26" s="54">
        <f t="shared" si="12"/>
        <v>0</v>
      </c>
      <c r="G26" s="60"/>
      <c r="H26" s="60">
        <v>0</v>
      </c>
      <c r="I26" s="60">
        <v>0</v>
      </c>
      <c r="J26" s="55">
        <f t="shared" si="13"/>
        <v>0</v>
      </c>
      <c r="K26" s="79">
        <f t="shared" si="14"/>
        <v>0</v>
      </c>
      <c r="L26" s="60"/>
      <c r="M26" s="60">
        <v>0</v>
      </c>
      <c r="N26" s="60">
        <v>0</v>
      </c>
      <c r="O26" s="68"/>
      <c r="P26" s="322">
        <v>1</v>
      </c>
      <c r="Q26" s="322"/>
      <c r="R26" s="68"/>
    </row>
    <row r="27" spans="1:19">
      <c r="A27" s="44">
        <f>Headcount!A28</f>
        <v>0</v>
      </c>
      <c r="B27" s="344">
        <f>$D$5</f>
        <v>0</v>
      </c>
      <c r="C27" s="345">
        <f>$C$9-D26</f>
        <v>0</v>
      </c>
      <c r="D27" s="53">
        <f>$D$5+D26</f>
        <v>0</v>
      </c>
      <c r="E27" s="53"/>
      <c r="F27" s="54">
        <f>G27+H27+I27</f>
        <v>0</v>
      </c>
      <c r="G27" s="60"/>
      <c r="H27" s="60">
        <v>0</v>
      </c>
      <c r="I27" s="60">
        <v>0</v>
      </c>
      <c r="J27" s="55">
        <f>L27+M27+N27</f>
        <v>0</v>
      </c>
      <c r="K27" s="79">
        <f>IF(J27=0,0,J27/(J27+F27))</f>
        <v>0</v>
      </c>
      <c r="L27" s="60"/>
      <c r="M27" s="60">
        <v>0</v>
      </c>
      <c r="N27" s="60">
        <v>0</v>
      </c>
      <c r="O27" s="68"/>
      <c r="P27" s="322">
        <v>1</v>
      </c>
      <c r="Q27" s="322"/>
      <c r="R27" s="68"/>
    </row>
    <row r="28" spans="1:19">
      <c r="A28" s="44">
        <f>Headcount!A29</f>
        <v>0</v>
      </c>
      <c r="B28" s="344">
        <f>$D$5</f>
        <v>0</v>
      </c>
      <c r="C28" s="345">
        <f>$C$9-D27</f>
        <v>0</v>
      </c>
      <c r="D28" s="53">
        <f>$D$5+D27</f>
        <v>0</v>
      </c>
      <c r="E28" s="53"/>
      <c r="F28" s="54">
        <f>G28+H28+I28</f>
        <v>0</v>
      </c>
      <c r="G28" s="60"/>
      <c r="H28" s="60">
        <v>0</v>
      </c>
      <c r="I28" s="60">
        <v>0</v>
      </c>
      <c r="J28" s="55">
        <f>L28+M28+N28</f>
        <v>0</v>
      </c>
      <c r="K28" s="79">
        <f>IF(J28=0,0,J28/(J28+F28))</f>
        <v>0</v>
      </c>
      <c r="L28" s="60"/>
      <c r="M28" s="60">
        <v>0</v>
      </c>
      <c r="N28" s="60">
        <v>0</v>
      </c>
      <c r="O28" s="68"/>
      <c r="P28" s="322">
        <v>1</v>
      </c>
      <c r="Q28" s="322"/>
      <c r="R28" s="68"/>
    </row>
    <row r="29" spans="1:19">
      <c r="A29" s="44"/>
      <c r="B29" s="344"/>
      <c r="C29" s="345"/>
      <c r="D29" s="53"/>
      <c r="E29" s="53"/>
      <c r="F29" s="54"/>
      <c r="G29" s="60"/>
      <c r="H29" s="60"/>
      <c r="I29" s="60"/>
      <c r="J29" s="55"/>
      <c r="K29" s="79"/>
      <c r="L29" s="60"/>
      <c r="M29" s="60"/>
      <c r="N29" s="60"/>
      <c r="O29" s="68"/>
      <c r="P29" s="322"/>
      <c r="Q29" s="322"/>
      <c r="R29" s="68"/>
    </row>
    <row r="30" spans="1:19" ht="15.75" thickBot="1">
      <c r="A30" s="44"/>
      <c r="B30" s="344"/>
      <c r="C30" s="345"/>
      <c r="D30" s="53"/>
      <c r="E30" s="53"/>
      <c r="F30" s="54"/>
      <c r="G30" s="60"/>
      <c r="H30" s="60"/>
      <c r="I30" s="60"/>
      <c r="J30" s="55"/>
      <c r="K30" s="79"/>
      <c r="L30" s="60"/>
      <c r="M30" s="60"/>
      <c r="N30" s="60"/>
      <c r="O30" s="68"/>
      <c r="P30" s="322"/>
      <c r="Q30" s="319"/>
      <c r="R30" s="322"/>
    </row>
    <row r="31" spans="1:19" ht="15.75" thickBot="1">
      <c r="A31" s="219" t="s">
        <v>89</v>
      </c>
      <c r="B31" s="315"/>
      <c r="C31" s="226"/>
      <c r="D31" s="227">
        <f>D7*D5</f>
        <v>0</v>
      </c>
      <c r="E31" s="227"/>
      <c r="F31" s="228">
        <f>SUM(F9:F29)</f>
        <v>0</v>
      </c>
      <c r="G31" s="229"/>
      <c r="H31" s="229"/>
      <c r="I31" s="229"/>
      <c r="J31" s="230"/>
      <c r="K31" s="231"/>
      <c r="L31" s="229">
        <f>SUM(L9:L30)</f>
        <v>0</v>
      </c>
      <c r="M31" s="229">
        <f>SUM(M9:M30)</f>
        <v>0</v>
      </c>
      <c r="N31" s="229">
        <f>SUM(N9:N30)</f>
        <v>0</v>
      </c>
      <c r="O31" s="225">
        <f>SUM(L31:N31)</f>
        <v>0</v>
      </c>
      <c r="P31" s="225"/>
      <c r="Q31" s="225"/>
      <c r="R31" s="225"/>
    </row>
  </sheetData>
  <mergeCells count="5">
    <mergeCell ref="H1:I1"/>
    <mergeCell ref="J1:U2"/>
    <mergeCell ref="H2:I2"/>
    <mergeCell ref="F7:I7"/>
    <mergeCell ref="J7:N7"/>
  </mergeCells>
  <conditionalFormatting sqref="H1:I1">
    <cfRule type="cellIs" dxfId="64" priority="2" operator="lessThan">
      <formula>0</formula>
    </cfRule>
  </conditionalFormatting>
  <conditionalFormatting sqref="K9:K31">
    <cfRule type="cellIs" dxfId="63" priority="1" operator="greaterThan">
      <formula>0.1</formula>
    </cfRule>
  </conditionalFormatting>
  <pageMargins left="0.7" right="0.7" top="0.75" bottom="0.75" header="0.3" footer="0.3"/>
  <pageSetup paperSize="9" scale="3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5">
    <pageSetUpPr fitToPage="1"/>
  </sheetPr>
  <dimension ref="A1:X27"/>
  <sheetViews>
    <sheetView showGridLines="0" zoomScale="70" zoomScaleNormal="70" workbookViewId="0">
      <pane ySplit="2" topLeftCell="A3" activePane="bottomLeft" state="frozen"/>
      <selection activeCell="P8" sqref="P8:P32"/>
      <selection pane="bottomLeft" activeCell="E5" sqref="E5"/>
    </sheetView>
  </sheetViews>
  <sheetFormatPr defaultRowHeight="15"/>
  <cols>
    <col min="3" max="3" width="11.42578125" customWidth="1"/>
    <col min="4" max="4" width="12.42578125" customWidth="1"/>
    <col min="5" max="5" width="11.42578125" customWidth="1"/>
    <col min="6" max="7" width="10.42578125" customWidth="1"/>
    <col min="8" max="8" width="13" customWidth="1"/>
    <col min="9" max="9" width="14.42578125" customWidth="1"/>
    <col min="10" max="14" width="10.42578125" customWidth="1"/>
    <col min="15" max="16" width="21" customWidth="1"/>
    <col min="17" max="17" width="11.42578125" customWidth="1"/>
    <col min="18" max="18" width="21" customWidth="1"/>
    <col min="19" max="19" width="10.42578125" customWidth="1"/>
    <col min="20" max="20" width="14" customWidth="1"/>
    <col min="21" max="21" width="37.42578125" customWidth="1"/>
  </cols>
  <sheetData>
    <row r="1" spans="1:24" ht="46.5">
      <c r="A1" s="40" t="s">
        <v>92</v>
      </c>
      <c r="B1" s="40"/>
      <c r="C1" s="41"/>
      <c r="D1" s="52" t="s">
        <v>59</v>
      </c>
      <c r="E1" s="41"/>
      <c r="F1" s="41"/>
      <c r="G1" s="41"/>
      <c r="H1" s="502">
        <f>F27-D27</f>
        <v>0</v>
      </c>
      <c r="I1" s="502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</row>
    <row r="2" spans="1:24" ht="46.5">
      <c r="A2" s="40"/>
      <c r="B2" s="40"/>
      <c r="C2" s="41"/>
      <c r="D2" s="52"/>
      <c r="E2" s="41"/>
      <c r="F2" s="41"/>
      <c r="G2" s="41"/>
      <c r="H2" s="503"/>
      <c r="I2" s="503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</row>
    <row r="3" spans="1:24">
      <c r="D3" s="504" t="s">
        <v>60</v>
      </c>
      <c r="E3" s="506" t="s">
        <v>61</v>
      </c>
      <c r="G3" s="65"/>
      <c r="H3" s="65"/>
    </row>
    <row r="4" spans="1:24">
      <c r="D4" s="505"/>
      <c r="E4" s="506"/>
      <c r="G4" s="65"/>
      <c r="L4" s="65">
        <f>C9/3200*8</f>
        <v>0</v>
      </c>
    </row>
    <row r="5" spans="1:24">
      <c r="B5" s="23" t="s">
        <v>63</v>
      </c>
      <c r="D5" s="277">
        <v>0</v>
      </c>
      <c r="E5">
        <f>D5/(3000/8)</f>
        <v>0</v>
      </c>
      <c r="F5" s="4" t="e">
        <f>E9/D9</f>
        <v>#DIV/0!</v>
      </c>
      <c r="G5" s="4"/>
      <c r="L5">
        <f>1*D6*8</f>
        <v>120</v>
      </c>
      <c r="M5" s="320">
        <f>L4/L5</f>
        <v>0</v>
      </c>
    </row>
    <row r="6" spans="1:24">
      <c r="C6" s="276" t="s">
        <v>64</v>
      </c>
      <c r="D6" s="23">
        <f>Headcount!F7</f>
        <v>15</v>
      </c>
    </row>
    <row r="7" spans="1:24">
      <c r="C7" s="23" t="s">
        <v>40</v>
      </c>
      <c r="D7" s="23">
        <f>Headcount!F8</f>
        <v>15</v>
      </c>
      <c r="E7" s="23"/>
      <c r="F7" s="507" t="s">
        <v>65</v>
      </c>
      <c r="G7" s="507"/>
      <c r="H7" s="507"/>
      <c r="I7" s="507"/>
      <c r="J7" s="507" t="s">
        <v>66</v>
      </c>
      <c r="K7" s="507"/>
      <c r="L7" s="507"/>
      <c r="M7" s="507"/>
      <c r="N7" s="507"/>
      <c r="O7" s="23"/>
      <c r="P7" s="23"/>
      <c r="Q7" s="23"/>
      <c r="R7" s="23"/>
      <c r="S7" s="23"/>
      <c r="T7" s="23"/>
    </row>
    <row r="8" spans="1:24" s="20" customFormat="1" ht="33.75" customHeight="1">
      <c r="A8" s="42" t="s">
        <v>67</v>
      </c>
      <c r="B8" s="42" t="s">
        <v>68</v>
      </c>
      <c r="C8" s="43" t="s">
        <v>69</v>
      </c>
      <c r="D8" s="42" t="s">
        <v>70</v>
      </c>
      <c r="E8" s="42" t="s">
        <v>71</v>
      </c>
      <c r="F8" s="51" t="s">
        <v>72</v>
      </c>
      <c r="G8" s="42" t="s">
        <v>73</v>
      </c>
      <c r="H8" s="42" t="s">
        <v>74</v>
      </c>
      <c r="I8" s="42" t="s">
        <v>93</v>
      </c>
      <c r="J8" s="47" t="s">
        <v>76</v>
      </c>
      <c r="K8" s="42" t="s">
        <v>77</v>
      </c>
      <c r="L8" s="42" t="s">
        <v>94</v>
      </c>
      <c r="M8" s="42" t="s">
        <v>95</v>
      </c>
      <c r="N8" s="42" t="s">
        <v>75</v>
      </c>
      <c r="O8" s="42" t="s">
        <v>96</v>
      </c>
      <c r="P8" s="438" t="s">
        <v>82</v>
      </c>
      <c r="Q8" s="438" t="s">
        <v>97</v>
      </c>
      <c r="R8" s="438" t="s">
        <v>84</v>
      </c>
      <c r="S8" s="42" t="s">
        <v>85</v>
      </c>
      <c r="T8" s="42" t="s">
        <v>86</v>
      </c>
      <c r="U8" s="42" t="s">
        <v>87</v>
      </c>
    </row>
    <row r="9" spans="1:24">
      <c r="A9" s="44">
        <f>Headcount!A10</f>
        <v>2</v>
      </c>
      <c r="B9" s="340">
        <f>$D$5</f>
        <v>0</v>
      </c>
      <c r="C9" s="350">
        <f>D5*D6</f>
        <v>0</v>
      </c>
      <c r="D9" s="351">
        <f>D5</f>
        <v>0</v>
      </c>
      <c r="E9" s="351">
        <f>F9</f>
        <v>0</v>
      </c>
      <c r="F9" s="302">
        <f t="shared" ref="F9:F19" si="0">G9+H9+I9</f>
        <v>0</v>
      </c>
      <c r="G9" s="352">
        <v>0</v>
      </c>
      <c r="H9" s="352">
        <v>0</v>
      </c>
      <c r="I9" s="352">
        <v>0</v>
      </c>
      <c r="J9" s="353">
        <f t="shared" ref="J9:J19" si="1">L9+M9+N9</f>
        <v>0</v>
      </c>
      <c r="K9" s="354">
        <f>IF(J9=0,0,J9/(J9+F9))</f>
        <v>0</v>
      </c>
      <c r="L9" s="352">
        <v>0</v>
      </c>
      <c r="M9" s="352">
        <v>0</v>
      </c>
      <c r="N9" s="352">
        <v>0</v>
      </c>
      <c r="O9" s="265"/>
      <c r="P9" s="439">
        <f>[1]Munka3!$E5</f>
        <v>0</v>
      </c>
      <c r="Q9" s="439">
        <v>8</v>
      </c>
      <c r="R9" s="483">
        <f>$E$5</f>
        <v>0</v>
      </c>
      <c r="S9" s="355">
        <v>1</v>
      </c>
      <c r="T9" s="322" t="e">
        <f>AVERAGE($U$9:U9)</f>
        <v>#DIV/0!</v>
      </c>
      <c r="U9" s="335" t="s">
        <v>88</v>
      </c>
    </row>
    <row r="10" spans="1:24">
      <c r="A10" s="44">
        <f>Headcount!A11</f>
        <v>3</v>
      </c>
      <c r="B10" s="344">
        <f t="shared" ref="B10:B22" si="2">$D$5</f>
        <v>0</v>
      </c>
      <c r="C10" s="358">
        <f>$C$9-D9</f>
        <v>0</v>
      </c>
      <c r="D10" s="359">
        <f t="shared" ref="D10:D22" si="3">D9+$D$5</f>
        <v>0</v>
      </c>
      <c r="E10" s="359">
        <f t="shared" ref="E10:E22" si="4">IF(E9=0,0,E9+F10)</f>
        <v>0</v>
      </c>
      <c r="F10" s="54">
        <f t="shared" si="0"/>
        <v>0</v>
      </c>
      <c r="G10" s="75"/>
      <c r="H10" s="75">
        <v>0</v>
      </c>
      <c r="I10" s="75">
        <v>0</v>
      </c>
      <c r="J10" s="74">
        <f t="shared" si="1"/>
        <v>0</v>
      </c>
      <c r="K10" s="360">
        <v>0</v>
      </c>
      <c r="L10" s="75">
        <v>0</v>
      </c>
      <c r="M10" s="75">
        <v>0</v>
      </c>
      <c r="N10" s="75">
        <v>0</v>
      </c>
      <c r="O10" s="60"/>
      <c r="P10" s="439">
        <f>[1]Munka3!$E6</f>
        <v>0</v>
      </c>
      <c r="Q10" s="440">
        <v>8</v>
      </c>
      <c r="R10" s="483">
        <f t="shared" ref="R10:R23" si="5">$E$5</f>
        <v>0</v>
      </c>
      <c r="S10" s="361">
        <v>1</v>
      </c>
      <c r="T10" s="322" t="e">
        <f>AVERAGE($U$9:U10)</f>
        <v>#DIV/0!</v>
      </c>
      <c r="U10" s="336"/>
    </row>
    <row r="11" spans="1:24">
      <c r="A11" s="44">
        <f>Headcount!A12</f>
        <v>4</v>
      </c>
      <c r="B11" s="344">
        <f t="shared" si="2"/>
        <v>0</v>
      </c>
      <c r="C11" s="358">
        <f>$C$9-D10</f>
        <v>0</v>
      </c>
      <c r="D11" s="359">
        <f t="shared" si="3"/>
        <v>0</v>
      </c>
      <c r="E11" s="359">
        <f t="shared" ref="E11:E23" si="6">IF(E10=0,0,E10+F11)</f>
        <v>0</v>
      </c>
      <c r="F11" s="54">
        <f t="shared" si="0"/>
        <v>0</v>
      </c>
      <c r="G11" s="75"/>
      <c r="H11" s="75">
        <v>0</v>
      </c>
      <c r="I11" s="75">
        <v>0</v>
      </c>
      <c r="J11" s="74">
        <f t="shared" si="1"/>
        <v>0</v>
      </c>
      <c r="K11" s="360">
        <v>0</v>
      </c>
      <c r="L11" s="75">
        <v>0</v>
      </c>
      <c r="M11" s="75">
        <v>0</v>
      </c>
      <c r="N11" s="75">
        <v>0</v>
      </c>
      <c r="O11" s="60"/>
      <c r="P11" s="439">
        <f>[1]Munka3!$E7</f>
        <v>0</v>
      </c>
      <c r="Q11" s="439">
        <v>8</v>
      </c>
      <c r="R11" s="483">
        <f t="shared" si="5"/>
        <v>0</v>
      </c>
      <c r="S11" s="361">
        <v>1</v>
      </c>
      <c r="T11" s="322" t="e">
        <f>AVERAGE($U$9:U11)</f>
        <v>#DIV/0!</v>
      </c>
      <c r="U11" s="336"/>
    </row>
    <row r="12" spans="1:24">
      <c r="A12" s="44">
        <f>Headcount!A13</f>
        <v>5</v>
      </c>
      <c r="B12" s="344">
        <f t="shared" si="2"/>
        <v>0</v>
      </c>
      <c r="C12" s="358">
        <f>$C$9-D11</f>
        <v>0</v>
      </c>
      <c r="D12" s="359">
        <f t="shared" si="3"/>
        <v>0</v>
      </c>
      <c r="E12" s="359">
        <f t="shared" si="4"/>
        <v>0</v>
      </c>
      <c r="F12" s="54">
        <f t="shared" si="0"/>
        <v>0</v>
      </c>
      <c r="G12" s="75"/>
      <c r="H12" s="75">
        <v>0</v>
      </c>
      <c r="I12" s="75">
        <v>0</v>
      </c>
      <c r="J12" s="74">
        <f t="shared" si="1"/>
        <v>0</v>
      </c>
      <c r="K12" s="360">
        <f t="shared" ref="K12:K19" si="7">IF(J12=0,0,J12/(J12+F12))</f>
        <v>0</v>
      </c>
      <c r="L12" s="75">
        <v>0</v>
      </c>
      <c r="M12" s="75">
        <v>0</v>
      </c>
      <c r="N12" s="75">
        <v>0</v>
      </c>
      <c r="O12" s="60"/>
      <c r="P12" s="439">
        <f>[1]Munka3!$E8</f>
        <v>0</v>
      </c>
      <c r="Q12" s="440">
        <v>8</v>
      </c>
      <c r="R12" s="483">
        <f t="shared" si="5"/>
        <v>0</v>
      </c>
      <c r="S12" s="361">
        <v>1</v>
      </c>
      <c r="T12" s="322" t="e">
        <f>AVERAGE($U$9:U12)</f>
        <v>#DIV/0!</v>
      </c>
      <c r="U12" s="336"/>
    </row>
    <row r="13" spans="1:24">
      <c r="A13" s="44">
        <f>Headcount!A14</f>
        <v>6</v>
      </c>
      <c r="B13" s="344">
        <f t="shared" si="2"/>
        <v>0</v>
      </c>
      <c r="C13" s="358">
        <f t="shared" ref="C13:C16" si="8">$C$9-D12</f>
        <v>0</v>
      </c>
      <c r="D13" s="359">
        <f t="shared" si="3"/>
        <v>0</v>
      </c>
      <c r="E13" s="359">
        <f t="shared" si="6"/>
        <v>0</v>
      </c>
      <c r="F13" s="54">
        <f t="shared" si="0"/>
        <v>0</v>
      </c>
      <c r="G13" s="75"/>
      <c r="H13" s="75">
        <v>0</v>
      </c>
      <c r="I13" s="75">
        <v>0</v>
      </c>
      <c r="J13" s="74">
        <f t="shared" si="1"/>
        <v>0</v>
      </c>
      <c r="K13" s="360">
        <f t="shared" si="7"/>
        <v>0</v>
      </c>
      <c r="L13" s="75">
        <v>0</v>
      </c>
      <c r="M13" s="75">
        <v>0</v>
      </c>
      <c r="N13" s="75">
        <v>0</v>
      </c>
      <c r="O13" s="60"/>
      <c r="P13" s="439">
        <f>[1]Munka3!$E9</f>
        <v>0</v>
      </c>
      <c r="Q13" s="439">
        <v>8</v>
      </c>
      <c r="R13" s="483">
        <f t="shared" si="5"/>
        <v>0</v>
      </c>
      <c r="S13" s="361">
        <v>1</v>
      </c>
      <c r="T13" s="322" t="e">
        <f>AVERAGE($U$9:U13)</f>
        <v>#DIV/0!</v>
      </c>
      <c r="U13" s="336"/>
    </row>
    <row r="14" spans="1:24">
      <c r="A14" s="44">
        <f>Headcount!A15</f>
        <v>9</v>
      </c>
      <c r="B14" s="344">
        <f t="shared" si="2"/>
        <v>0</v>
      </c>
      <c r="C14" s="358">
        <f t="shared" si="8"/>
        <v>0</v>
      </c>
      <c r="D14" s="359">
        <f t="shared" si="3"/>
        <v>0</v>
      </c>
      <c r="E14" s="359">
        <f t="shared" si="4"/>
        <v>0</v>
      </c>
      <c r="F14" s="54">
        <f t="shared" si="0"/>
        <v>0</v>
      </c>
      <c r="G14" s="75"/>
      <c r="H14" s="75">
        <v>0</v>
      </c>
      <c r="I14" s="75">
        <v>0</v>
      </c>
      <c r="J14" s="74">
        <f t="shared" si="1"/>
        <v>0</v>
      </c>
      <c r="K14" s="360">
        <f t="shared" si="7"/>
        <v>0</v>
      </c>
      <c r="L14" s="75">
        <v>0</v>
      </c>
      <c r="M14" s="75">
        <v>0</v>
      </c>
      <c r="N14" s="75">
        <v>0</v>
      </c>
      <c r="O14" s="60"/>
      <c r="P14" s="439">
        <f>[1]Munka3!$E10</f>
        <v>0</v>
      </c>
      <c r="Q14" s="440">
        <v>8</v>
      </c>
      <c r="R14" s="483">
        <f t="shared" si="5"/>
        <v>0</v>
      </c>
      <c r="S14" s="361">
        <v>1</v>
      </c>
      <c r="T14" s="322" t="e">
        <f>AVERAGE($U$9:U14)</f>
        <v>#DIV/0!</v>
      </c>
      <c r="U14" s="336"/>
    </row>
    <row r="15" spans="1:24">
      <c r="A15" s="44">
        <f>Headcount!A16</f>
        <v>10</v>
      </c>
      <c r="B15" s="344">
        <f t="shared" si="2"/>
        <v>0</v>
      </c>
      <c r="C15" s="358">
        <f t="shared" si="8"/>
        <v>0</v>
      </c>
      <c r="D15" s="359">
        <f t="shared" si="3"/>
        <v>0</v>
      </c>
      <c r="E15" s="359">
        <f t="shared" si="6"/>
        <v>0</v>
      </c>
      <c r="F15" s="54">
        <f t="shared" si="0"/>
        <v>0</v>
      </c>
      <c r="G15" s="75"/>
      <c r="H15" s="75">
        <v>0</v>
      </c>
      <c r="I15" s="75">
        <v>0</v>
      </c>
      <c r="J15" s="74">
        <f t="shared" si="1"/>
        <v>0</v>
      </c>
      <c r="K15" s="360">
        <f t="shared" si="7"/>
        <v>0</v>
      </c>
      <c r="L15" s="75">
        <v>0</v>
      </c>
      <c r="M15" s="75">
        <v>0</v>
      </c>
      <c r="N15" s="75">
        <v>0</v>
      </c>
      <c r="O15" s="60"/>
      <c r="P15" s="439">
        <f>[1]Munka3!$E11</f>
        <v>0</v>
      </c>
      <c r="Q15" s="439">
        <v>8</v>
      </c>
      <c r="R15" s="483">
        <f t="shared" si="5"/>
        <v>0</v>
      </c>
      <c r="S15" s="361">
        <v>1</v>
      </c>
      <c r="T15" s="322" t="e">
        <f>AVERAGE($U$9:U15)</f>
        <v>#DIV/0!</v>
      </c>
      <c r="U15" s="336"/>
    </row>
    <row r="16" spans="1:24">
      <c r="A16" s="44">
        <f>Headcount!A17</f>
        <v>11</v>
      </c>
      <c r="B16" s="344">
        <f t="shared" si="2"/>
        <v>0</v>
      </c>
      <c r="C16" s="358">
        <f t="shared" si="8"/>
        <v>0</v>
      </c>
      <c r="D16" s="359">
        <f t="shared" si="3"/>
        <v>0</v>
      </c>
      <c r="E16" s="359">
        <f t="shared" si="4"/>
        <v>0</v>
      </c>
      <c r="F16" s="54">
        <f t="shared" si="0"/>
        <v>0</v>
      </c>
      <c r="G16" s="75"/>
      <c r="H16" s="75">
        <v>0</v>
      </c>
      <c r="I16" s="75">
        <v>0</v>
      </c>
      <c r="J16" s="74">
        <f t="shared" si="1"/>
        <v>0</v>
      </c>
      <c r="K16" s="360">
        <f t="shared" si="7"/>
        <v>0</v>
      </c>
      <c r="L16" s="75">
        <v>0</v>
      </c>
      <c r="M16" s="75">
        <v>0</v>
      </c>
      <c r="N16" s="75">
        <v>0</v>
      </c>
      <c r="O16" s="60"/>
      <c r="P16" s="439">
        <f>[1]Munka3!$E12</f>
        <v>0</v>
      </c>
      <c r="Q16" s="440">
        <v>8</v>
      </c>
      <c r="R16" s="483">
        <f t="shared" si="5"/>
        <v>0</v>
      </c>
      <c r="S16" s="361">
        <v>1</v>
      </c>
      <c r="T16" s="322" t="e">
        <f>AVERAGE($U$9:U16)</f>
        <v>#DIV/0!</v>
      </c>
      <c r="U16" s="336"/>
    </row>
    <row r="17" spans="1:21">
      <c r="A17" s="44">
        <f>Headcount!A18</f>
        <v>12</v>
      </c>
      <c r="B17" s="344">
        <f t="shared" si="2"/>
        <v>0</v>
      </c>
      <c r="C17" s="358">
        <f t="shared" ref="C17" si="9">$C$9-D16</f>
        <v>0</v>
      </c>
      <c r="D17" s="359">
        <f t="shared" si="3"/>
        <v>0</v>
      </c>
      <c r="E17" s="359">
        <f t="shared" si="6"/>
        <v>0</v>
      </c>
      <c r="F17" s="54">
        <f t="shared" si="0"/>
        <v>0</v>
      </c>
      <c r="G17" s="75"/>
      <c r="H17" s="75">
        <v>0</v>
      </c>
      <c r="I17" s="75">
        <v>0</v>
      </c>
      <c r="J17" s="74">
        <f t="shared" si="1"/>
        <v>0</v>
      </c>
      <c r="K17" s="360">
        <f t="shared" si="7"/>
        <v>0</v>
      </c>
      <c r="L17" s="75">
        <v>0</v>
      </c>
      <c r="M17" s="75">
        <v>0</v>
      </c>
      <c r="N17" s="75">
        <v>0</v>
      </c>
      <c r="O17" s="60"/>
      <c r="P17" s="439">
        <f>[1]Munka3!$E13</f>
        <v>0</v>
      </c>
      <c r="Q17" s="439">
        <v>8</v>
      </c>
      <c r="R17" s="483">
        <f t="shared" si="5"/>
        <v>0</v>
      </c>
      <c r="S17" s="361">
        <v>1</v>
      </c>
      <c r="T17" s="322" t="e">
        <f>AVERAGE($U$9:U17)</f>
        <v>#DIV/0!</v>
      </c>
      <c r="U17" s="336"/>
    </row>
    <row r="18" spans="1:21">
      <c r="A18" s="44">
        <f>Headcount!A19</f>
        <v>13</v>
      </c>
      <c r="B18" s="344">
        <f t="shared" si="2"/>
        <v>0</v>
      </c>
      <c r="C18" s="358">
        <f t="shared" ref="C18:C21" si="10">$C$9-D17</f>
        <v>0</v>
      </c>
      <c r="D18" s="359">
        <f t="shared" si="3"/>
        <v>0</v>
      </c>
      <c r="E18" s="359">
        <f t="shared" si="4"/>
        <v>0</v>
      </c>
      <c r="F18" s="54">
        <f t="shared" si="0"/>
        <v>0</v>
      </c>
      <c r="G18" s="75"/>
      <c r="H18" s="75">
        <v>0</v>
      </c>
      <c r="I18" s="75">
        <v>0</v>
      </c>
      <c r="J18" s="74">
        <f t="shared" si="1"/>
        <v>0</v>
      </c>
      <c r="K18" s="360">
        <f t="shared" si="7"/>
        <v>0</v>
      </c>
      <c r="L18" s="75">
        <v>0</v>
      </c>
      <c r="M18" s="75">
        <v>0</v>
      </c>
      <c r="N18" s="75">
        <v>0</v>
      </c>
      <c r="O18" s="60"/>
      <c r="P18" s="439">
        <f>[1]Munka3!$E14</f>
        <v>0</v>
      </c>
      <c r="Q18" s="440">
        <v>8</v>
      </c>
      <c r="R18" s="483">
        <f t="shared" si="5"/>
        <v>0</v>
      </c>
      <c r="S18" s="361">
        <v>1</v>
      </c>
      <c r="T18" s="322" t="e">
        <f>AVERAGE($U$9:U18)</f>
        <v>#DIV/0!</v>
      </c>
      <c r="U18" s="336"/>
    </row>
    <row r="19" spans="1:21">
      <c r="A19" s="44">
        <f>Headcount!A20</f>
        <v>16</v>
      </c>
      <c r="B19" s="344">
        <f t="shared" si="2"/>
        <v>0</v>
      </c>
      <c r="C19" s="358">
        <f t="shared" si="10"/>
        <v>0</v>
      </c>
      <c r="D19" s="359">
        <f t="shared" si="3"/>
        <v>0</v>
      </c>
      <c r="E19" s="359">
        <f t="shared" si="6"/>
        <v>0</v>
      </c>
      <c r="F19" s="54">
        <f t="shared" si="0"/>
        <v>0</v>
      </c>
      <c r="G19" s="75"/>
      <c r="H19" s="75">
        <v>0</v>
      </c>
      <c r="I19" s="75">
        <v>0</v>
      </c>
      <c r="J19" s="74">
        <f t="shared" si="1"/>
        <v>0</v>
      </c>
      <c r="K19" s="360">
        <f t="shared" si="7"/>
        <v>0</v>
      </c>
      <c r="L19" s="75">
        <v>0</v>
      </c>
      <c r="M19" s="75">
        <v>0</v>
      </c>
      <c r="N19" s="75">
        <v>0</v>
      </c>
      <c r="O19" s="60"/>
      <c r="P19" s="439">
        <f>[1]Munka3!$E15</f>
        <v>0</v>
      </c>
      <c r="Q19" s="439">
        <v>8</v>
      </c>
      <c r="R19" s="483">
        <f t="shared" si="5"/>
        <v>0</v>
      </c>
      <c r="S19" s="361">
        <v>1</v>
      </c>
      <c r="T19" s="322" t="e">
        <f>AVERAGE($U$9:U19)</f>
        <v>#DIV/0!</v>
      </c>
      <c r="U19" s="336"/>
    </row>
    <row r="20" spans="1:21">
      <c r="A20" s="44">
        <f>Headcount!A21</f>
        <v>17</v>
      </c>
      <c r="B20" s="344">
        <f t="shared" si="2"/>
        <v>0</v>
      </c>
      <c r="C20" s="358">
        <f t="shared" si="10"/>
        <v>0</v>
      </c>
      <c r="D20" s="359">
        <f t="shared" si="3"/>
        <v>0</v>
      </c>
      <c r="E20" s="359">
        <f t="shared" si="4"/>
        <v>0</v>
      </c>
      <c r="F20" s="54">
        <f t="shared" ref="F20:F22" si="11">G20+H20+I20</f>
        <v>0</v>
      </c>
      <c r="G20" s="75"/>
      <c r="H20" s="75">
        <v>0</v>
      </c>
      <c r="I20" s="75">
        <v>0</v>
      </c>
      <c r="J20" s="74">
        <f t="shared" ref="J20:J22" si="12">L20+M20+N20</f>
        <v>0</v>
      </c>
      <c r="K20" s="360">
        <f t="shared" ref="K20:K22" si="13">IF(J20=0,0,J20/(J20+F20))</f>
        <v>0</v>
      </c>
      <c r="L20" s="75">
        <v>0</v>
      </c>
      <c r="M20" s="75">
        <v>0</v>
      </c>
      <c r="N20" s="75">
        <v>0</v>
      </c>
      <c r="O20" s="60"/>
      <c r="P20" s="439">
        <f>[1]Munka3!$E16</f>
        <v>0</v>
      </c>
      <c r="Q20" s="440">
        <v>8</v>
      </c>
      <c r="R20" s="483">
        <f t="shared" si="5"/>
        <v>0</v>
      </c>
      <c r="S20" s="361">
        <v>1</v>
      </c>
      <c r="T20" s="322" t="e">
        <f>AVERAGE($U$9:U20)</f>
        <v>#DIV/0!</v>
      </c>
      <c r="U20" s="336"/>
    </row>
    <row r="21" spans="1:21">
      <c r="A21" s="44">
        <f>Headcount!A22</f>
        <v>18</v>
      </c>
      <c r="B21" s="344">
        <f t="shared" si="2"/>
        <v>0</v>
      </c>
      <c r="C21" s="358">
        <f t="shared" si="10"/>
        <v>0</v>
      </c>
      <c r="D21" s="359">
        <f t="shared" si="3"/>
        <v>0</v>
      </c>
      <c r="E21" s="359">
        <f t="shared" si="6"/>
        <v>0</v>
      </c>
      <c r="F21" s="54">
        <f t="shared" si="11"/>
        <v>0</v>
      </c>
      <c r="G21" s="75"/>
      <c r="H21" s="75">
        <v>0</v>
      </c>
      <c r="I21" s="75">
        <v>0</v>
      </c>
      <c r="J21" s="74">
        <f t="shared" si="12"/>
        <v>0</v>
      </c>
      <c r="K21" s="360">
        <f t="shared" si="13"/>
        <v>0</v>
      </c>
      <c r="L21" s="75">
        <v>0</v>
      </c>
      <c r="M21" s="75">
        <v>0</v>
      </c>
      <c r="N21" s="75">
        <v>0</v>
      </c>
      <c r="O21" s="68"/>
      <c r="P21" s="439">
        <f>[1]Munka3!$E17</f>
        <v>0</v>
      </c>
      <c r="Q21" s="439">
        <v>8</v>
      </c>
      <c r="R21" s="483">
        <f t="shared" si="5"/>
        <v>0</v>
      </c>
      <c r="S21" s="361">
        <v>1</v>
      </c>
      <c r="T21" s="322" t="e">
        <f>AVERAGE($U$9:U21)</f>
        <v>#DIV/0!</v>
      </c>
      <c r="U21" s="336"/>
    </row>
    <row r="22" spans="1:21">
      <c r="A22" s="44">
        <f>Headcount!A23</f>
        <v>19</v>
      </c>
      <c r="B22" s="344">
        <f t="shared" si="2"/>
        <v>0</v>
      </c>
      <c r="C22" s="358">
        <f t="shared" ref="C22" si="14">$C$9-D21</f>
        <v>0</v>
      </c>
      <c r="D22" s="359">
        <f t="shared" si="3"/>
        <v>0</v>
      </c>
      <c r="E22" s="359">
        <f t="shared" si="4"/>
        <v>0</v>
      </c>
      <c r="F22" s="54">
        <f t="shared" si="11"/>
        <v>0</v>
      </c>
      <c r="G22" s="75"/>
      <c r="H22" s="75">
        <v>0</v>
      </c>
      <c r="I22" s="75">
        <v>0</v>
      </c>
      <c r="J22" s="74">
        <f t="shared" si="12"/>
        <v>0</v>
      </c>
      <c r="K22" s="360">
        <f t="shared" si="13"/>
        <v>0</v>
      </c>
      <c r="L22" s="75">
        <v>0</v>
      </c>
      <c r="M22" s="75">
        <v>0</v>
      </c>
      <c r="N22" s="75">
        <v>0</v>
      </c>
      <c r="O22" s="60"/>
      <c r="P22" s="439">
        <f>[1]Munka3!$E18</f>
        <v>0</v>
      </c>
      <c r="Q22" s="440">
        <v>8</v>
      </c>
      <c r="R22" s="483">
        <f t="shared" si="5"/>
        <v>0</v>
      </c>
      <c r="S22" s="361">
        <v>1</v>
      </c>
      <c r="T22" s="322" t="e">
        <f>AVERAGE($U$9:U22)</f>
        <v>#DIV/0!</v>
      </c>
      <c r="U22" s="336"/>
    </row>
    <row r="23" spans="1:21">
      <c r="A23" s="44">
        <f>Headcount!A24</f>
        <v>20</v>
      </c>
      <c r="B23" s="344">
        <f t="shared" ref="B23" si="15">$D$5</f>
        <v>0</v>
      </c>
      <c r="C23" s="358">
        <f t="shared" ref="C23" si="16">$C$9-D22</f>
        <v>0</v>
      </c>
      <c r="D23" s="359">
        <f t="shared" ref="D23" si="17">D22+$D$5</f>
        <v>0</v>
      </c>
      <c r="E23" s="359">
        <f t="shared" si="6"/>
        <v>0</v>
      </c>
      <c r="F23" s="54">
        <f t="shared" ref="F23" si="18">G23+H23+I23</f>
        <v>0</v>
      </c>
      <c r="G23" s="75"/>
      <c r="H23" s="75">
        <v>0</v>
      </c>
      <c r="I23" s="75">
        <v>0</v>
      </c>
      <c r="J23" s="74">
        <f t="shared" ref="J23" si="19">L23+M23+N23</f>
        <v>0</v>
      </c>
      <c r="K23" s="360">
        <f t="shared" ref="K23" si="20">IF(J23=0,0,J23/(J23+F23))</f>
        <v>0</v>
      </c>
      <c r="L23" s="75">
        <v>0</v>
      </c>
      <c r="M23" s="75">
        <v>0</v>
      </c>
      <c r="N23" s="75">
        <v>0</v>
      </c>
      <c r="O23" s="60"/>
      <c r="P23" s="439">
        <f>[1]Munka3!$E19</f>
        <v>0</v>
      </c>
      <c r="Q23" s="439">
        <v>8</v>
      </c>
      <c r="R23" s="483">
        <f t="shared" si="5"/>
        <v>0</v>
      </c>
      <c r="S23" s="361">
        <v>1</v>
      </c>
      <c r="T23" s="322" t="e">
        <f>AVERAGE($U$9:U23)</f>
        <v>#DIV/0!</v>
      </c>
      <c r="U23" s="336"/>
    </row>
    <row r="24" spans="1:21">
      <c r="A24" s="44"/>
      <c r="B24" s="344"/>
      <c r="C24" s="358"/>
      <c r="D24" s="359"/>
      <c r="E24" s="359"/>
      <c r="F24" s="54"/>
      <c r="G24" s="75"/>
      <c r="H24" s="75"/>
      <c r="I24" s="75"/>
      <c r="J24" s="74"/>
      <c r="K24" s="360"/>
      <c r="L24" s="75"/>
      <c r="M24" s="75"/>
      <c r="N24" s="75"/>
      <c r="O24" s="60"/>
      <c r="P24" s="439"/>
      <c r="Q24" s="440"/>
      <c r="R24" s="483"/>
      <c r="S24" s="361"/>
      <c r="T24" s="322"/>
      <c r="U24" s="336"/>
    </row>
    <row r="25" spans="1:21">
      <c r="A25" s="44"/>
      <c r="B25" s="344"/>
      <c r="C25" s="358"/>
      <c r="D25" s="359"/>
      <c r="E25" s="359"/>
      <c r="F25" s="54"/>
      <c r="G25" s="75"/>
      <c r="H25" s="75"/>
      <c r="I25" s="75"/>
      <c r="J25" s="74"/>
      <c r="K25" s="360"/>
      <c r="L25" s="75"/>
      <c r="M25" s="75"/>
      <c r="N25" s="75"/>
      <c r="O25" s="60"/>
      <c r="P25" s="439"/>
      <c r="Q25" s="439"/>
      <c r="R25" s="483"/>
      <c r="S25" s="361"/>
      <c r="T25" s="322"/>
      <c r="U25" s="336"/>
    </row>
    <row r="26" spans="1:21" ht="15.75" thickBot="1">
      <c r="A26" s="44"/>
      <c r="B26" s="344"/>
      <c r="C26" s="358"/>
      <c r="D26" s="359"/>
      <c r="E26" s="359"/>
      <c r="F26" s="54"/>
      <c r="G26" s="75"/>
      <c r="H26" s="75"/>
      <c r="I26" s="75"/>
      <c r="J26" s="74"/>
      <c r="K26" s="360"/>
      <c r="L26" s="75"/>
      <c r="M26" s="75"/>
      <c r="N26" s="75"/>
      <c r="O26" s="60"/>
      <c r="P26" s="439"/>
      <c r="Q26" s="440"/>
      <c r="R26" s="440"/>
      <c r="S26" s="361"/>
      <c r="T26" s="357"/>
      <c r="U26" s="330"/>
    </row>
    <row r="27" spans="1:21" ht="15.75" thickBot="1">
      <c r="A27" s="219" t="s">
        <v>89</v>
      </c>
      <c r="B27" s="315"/>
      <c r="C27" s="220"/>
      <c r="D27" s="221">
        <f>D7*D5</f>
        <v>0</v>
      </c>
      <c r="E27" s="221"/>
      <c r="F27" s="228">
        <f>SUM(F9:F25)</f>
        <v>0</v>
      </c>
      <c r="G27" s="223"/>
      <c r="H27" s="223"/>
      <c r="I27" s="223"/>
      <c r="J27" s="222"/>
      <c r="K27" s="224"/>
      <c r="L27" s="223">
        <f>SUM(L9:L26)</f>
        <v>0</v>
      </c>
      <c r="M27" s="223">
        <f>SUM(M9:M26)</f>
        <v>0</v>
      </c>
      <c r="N27" s="223">
        <f>SUM(N9:N26)</f>
        <v>0</v>
      </c>
      <c r="O27" s="225">
        <f>SUM(L27:N27)</f>
        <v>0</v>
      </c>
      <c r="P27" s="271"/>
      <c r="Q27" s="271"/>
      <c r="R27" s="271"/>
      <c r="S27" s="323"/>
      <c r="T27" s="403"/>
      <c r="U27" s="225"/>
    </row>
  </sheetData>
  <mergeCells count="7">
    <mergeCell ref="D3:D4"/>
    <mergeCell ref="E3:E4"/>
    <mergeCell ref="F7:I7"/>
    <mergeCell ref="J7:N7"/>
    <mergeCell ref="H1:I1"/>
    <mergeCell ref="J1:X2"/>
    <mergeCell ref="H2:I2"/>
  </mergeCells>
  <phoneticPr fontId="16"/>
  <conditionalFormatting sqref="H1:I1">
    <cfRule type="cellIs" dxfId="62" priority="5" operator="lessThan">
      <formula>0</formula>
    </cfRule>
  </conditionalFormatting>
  <conditionalFormatting sqref="K9:K27">
    <cfRule type="cellIs" dxfId="61" priority="1" operator="greaterThan">
      <formula>0.1</formula>
    </cfRule>
  </conditionalFormatting>
  <pageMargins left="0.7" right="0.7" top="0.75" bottom="0.75" header="0.3" footer="0.3"/>
  <pageSetup paperSize="9" scale="3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7">
    <pageSetUpPr fitToPage="1"/>
  </sheetPr>
  <dimension ref="A1:AC34"/>
  <sheetViews>
    <sheetView showGridLines="0" zoomScale="85" zoomScaleNormal="85" workbookViewId="0">
      <pane ySplit="2" topLeftCell="A3" activePane="bottomLeft" state="frozen"/>
      <selection activeCell="P8" sqref="P8:P32"/>
      <selection pane="bottomLeft" activeCell="D5" sqref="D5"/>
    </sheetView>
  </sheetViews>
  <sheetFormatPr defaultRowHeight="15"/>
  <cols>
    <col min="3" max="3" width="13.42578125" customWidth="1"/>
    <col min="4" max="5" width="12.42578125" customWidth="1"/>
    <col min="6" max="6" width="12.42578125" bestFit="1" customWidth="1"/>
    <col min="7" max="8" width="11.42578125" customWidth="1"/>
    <col min="9" max="9" width="17.42578125" customWidth="1"/>
    <col min="10" max="11" width="12.42578125" customWidth="1"/>
    <col min="12" max="14" width="9.42578125" customWidth="1"/>
    <col min="15" max="15" width="12" customWidth="1"/>
    <col min="16" max="18" width="9.42578125" customWidth="1"/>
    <col min="19" max="19" width="7.42578125" customWidth="1"/>
    <col min="20" max="20" width="6.42578125" customWidth="1"/>
    <col min="21" max="21" width="43.42578125" customWidth="1"/>
    <col min="22" max="22" width="17.42578125" customWidth="1"/>
    <col min="23" max="23" width="12.7109375" customWidth="1"/>
    <col min="24" max="24" width="7.7109375" customWidth="1"/>
    <col min="25" max="26" width="13.42578125" customWidth="1"/>
  </cols>
  <sheetData>
    <row r="1" spans="1:29" ht="46.5">
      <c r="A1" s="40" t="s">
        <v>98</v>
      </c>
      <c r="B1" s="40"/>
      <c r="C1" s="41"/>
      <c r="D1" s="52" t="s">
        <v>59</v>
      </c>
      <c r="E1" s="41"/>
      <c r="F1" s="41"/>
      <c r="G1" s="41"/>
      <c r="H1" s="502">
        <f>F31-D31</f>
        <v>1761</v>
      </c>
      <c r="I1" s="502"/>
      <c r="J1" s="509" t="s">
        <v>99</v>
      </c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  <c r="AB1" s="510"/>
      <c r="AC1" s="510"/>
    </row>
    <row r="2" spans="1:29" ht="46.5">
      <c r="A2" s="40"/>
      <c r="B2" s="40"/>
      <c r="C2" s="41"/>
      <c r="D2" s="52"/>
      <c r="E2" s="41"/>
      <c r="F2" s="41"/>
      <c r="G2" s="41"/>
      <c r="H2" s="503"/>
      <c r="I2" s="503"/>
      <c r="J2" s="510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510"/>
      <c r="AC2" s="510"/>
    </row>
    <row r="3" spans="1:29">
      <c r="D3" s="504" t="s">
        <v>60</v>
      </c>
      <c r="E3" s="506" t="s">
        <v>61</v>
      </c>
      <c r="F3" t="s">
        <v>5325</v>
      </c>
      <c r="H3" s="65"/>
      <c r="I3" s="65"/>
    </row>
    <row r="4" spans="1:29">
      <c r="D4" s="505"/>
      <c r="E4" s="506"/>
      <c r="F4">
        <v>4</v>
      </c>
      <c r="H4" s="65"/>
      <c r="L4" s="65">
        <f>C9/4600*8</f>
        <v>59.478260869565219</v>
      </c>
    </row>
    <row r="5" spans="1:29">
      <c r="B5" s="23" t="s">
        <v>63</v>
      </c>
      <c r="D5" s="277">
        <v>2280</v>
      </c>
      <c r="E5">
        <f>D5/(4500*F4/8)</f>
        <v>1.0133333333333334</v>
      </c>
      <c r="F5" s="4">
        <f>E23/D23</f>
        <v>1.0514912280701754</v>
      </c>
      <c r="H5" s="4"/>
      <c r="L5">
        <f>4*D6*8</f>
        <v>480</v>
      </c>
      <c r="M5" s="320">
        <f>L4/L5</f>
        <v>0.12391304347826088</v>
      </c>
    </row>
    <row r="6" spans="1:29">
      <c r="C6" s="273" t="s">
        <v>39</v>
      </c>
      <c r="D6" s="23">
        <f>Headcount!F7</f>
        <v>15</v>
      </c>
    </row>
    <row r="7" spans="1:29">
      <c r="C7" s="23" t="s">
        <v>40</v>
      </c>
      <c r="D7" s="23">
        <f>Headcount!F8</f>
        <v>15</v>
      </c>
      <c r="E7" s="23"/>
      <c r="F7" s="507" t="s">
        <v>65</v>
      </c>
      <c r="G7" s="507"/>
      <c r="H7" s="507"/>
      <c r="I7" s="507"/>
      <c r="J7" s="507" t="s">
        <v>66</v>
      </c>
      <c r="K7" s="507"/>
      <c r="L7" s="507"/>
      <c r="M7" s="507"/>
      <c r="N7" s="507"/>
      <c r="O7" s="507"/>
      <c r="P7" s="507"/>
      <c r="Q7" s="507"/>
      <c r="R7" s="507"/>
      <c r="S7" s="507"/>
      <c r="T7" s="507"/>
    </row>
    <row r="8" spans="1:29" ht="60">
      <c r="A8" s="42" t="s">
        <v>67</v>
      </c>
      <c r="B8" s="42" t="s">
        <v>68</v>
      </c>
      <c r="C8" s="43" t="s">
        <v>69</v>
      </c>
      <c r="D8" s="42" t="s">
        <v>70</v>
      </c>
      <c r="E8" s="42" t="s">
        <v>71</v>
      </c>
      <c r="F8" s="51" t="s">
        <v>72</v>
      </c>
      <c r="G8" s="42" t="s">
        <v>73</v>
      </c>
      <c r="H8" s="42" t="s">
        <v>74</v>
      </c>
      <c r="I8" s="42" t="s">
        <v>93</v>
      </c>
      <c r="J8" s="47" t="s">
        <v>76</v>
      </c>
      <c r="K8" s="42" t="s">
        <v>77</v>
      </c>
      <c r="L8" s="42" t="s">
        <v>78</v>
      </c>
      <c r="M8" s="42" t="s">
        <v>79</v>
      </c>
      <c r="N8" s="42" t="s">
        <v>100</v>
      </c>
      <c r="O8" s="285" t="s">
        <v>101</v>
      </c>
      <c r="P8" s="42" t="s">
        <v>102</v>
      </c>
      <c r="Q8" s="42" t="s">
        <v>103</v>
      </c>
      <c r="R8" s="42" t="s">
        <v>104</v>
      </c>
      <c r="S8" s="42" t="s">
        <v>105</v>
      </c>
      <c r="T8" s="42" t="s">
        <v>106</v>
      </c>
      <c r="U8" s="42" t="s">
        <v>81</v>
      </c>
      <c r="V8" s="438" t="s">
        <v>82</v>
      </c>
      <c r="W8" s="438" t="s">
        <v>83</v>
      </c>
      <c r="X8" s="438" t="s">
        <v>84</v>
      </c>
      <c r="Y8" s="42" t="s">
        <v>85</v>
      </c>
      <c r="Z8" s="42" t="s">
        <v>86</v>
      </c>
      <c r="AA8" s="42" t="s">
        <v>87</v>
      </c>
    </row>
    <row r="9" spans="1:29">
      <c r="A9" s="44">
        <f>Headcount!A10</f>
        <v>2</v>
      </c>
      <c r="B9" s="217">
        <f>$D$5</f>
        <v>2280</v>
      </c>
      <c r="C9" s="341">
        <f>D5*D6</f>
        <v>34200</v>
      </c>
      <c r="D9" s="338">
        <f>D5</f>
        <v>2280</v>
      </c>
      <c r="E9" s="338">
        <f>F9</f>
        <v>1</v>
      </c>
      <c r="F9" s="302">
        <f t="shared" ref="F9:F15" si="0">G9+H9+I9</f>
        <v>1</v>
      </c>
      <c r="G9" s="218">
        <v>1</v>
      </c>
      <c r="H9" s="265">
        <v>0</v>
      </c>
      <c r="I9" s="265">
        <v>0</v>
      </c>
      <c r="J9" s="55">
        <f t="shared" ref="J9:J18" si="1">L9+M9+N9+S9+O9</f>
        <v>0</v>
      </c>
      <c r="K9" s="346">
        <f>IF(J9=0,0,J9/(J9+F9))</f>
        <v>0</v>
      </c>
      <c r="L9" s="265">
        <v>0</v>
      </c>
      <c r="M9" s="265">
        <v>0</v>
      </c>
      <c r="N9" s="265">
        <v>0</v>
      </c>
      <c r="O9" s="265">
        <v>0</v>
      </c>
      <c r="P9" s="265">
        <v>0</v>
      </c>
      <c r="Q9" s="265">
        <v>0</v>
      </c>
      <c r="R9" s="265">
        <v>0</v>
      </c>
      <c r="S9" s="265">
        <v>0</v>
      </c>
      <c r="T9" s="265">
        <v>0</v>
      </c>
      <c r="U9" s="306"/>
      <c r="V9" s="439">
        <f>[1]Munka3!$C5</f>
        <v>0</v>
      </c>
      <c r="W9" s="439">
        <v>32</v>
      </c>
      <c r="X9" s="483">
        <f>$E$5</f>
        <v>1.0133333333333334</v>
      </c>
      <c r="Y9" s="324">
        <v>1</v>
      </c>
      <c r="Z9" s="325" t="e">
        <f>AVERAGE($AA$9:AA9)</f>
        <v>#DIV/0!</v>
      </c>
      <c r="AA9" s="335" t="s">
        <v>88</v>
      </c>
    </row>
    <row r="10" spans="1:29">
      <c r="A10" s="44">
        <f>Headcount!A11</f>
        <v>3</v>
      </c>
      <c r="B10" s="363">
        <f t="shared" ref="B10:B23" si="2">$D$5</f>
        <v>2280</v>
      </c>
      <c r="C10" s="345">
        <f>$C$9-D9</f>
        <v>31920</v>
      </c>
      <c r="D10" s="53">
        <f t="shared" ref="D10:D23" si="3">D9+$D$5</f>
        <v>4560</v>
      </c>
      <c r="E10" s="53">
        <f t="shared" ref="E10" si="4">IF(E9=0,0,E9+F10)</f>
        <v>2</v>
      </c>
      <c r="F10" s="54">
        <f t="shared" si="0"/>
        <v>1</v>
      </c>
      <c r="G10" s="60">
        <v>1</v>
      </c>
      <c r="H10" s="60">
        <v>0</v>
      </c>
      <c r="I10" s="60">
        <v>0</v>
      </c>
      <c r="J10" s="55">
        <f t="shared" si="1"/>
        <v>0</v>
      </c>
      <c r="K10" s="79">
        <f t="shared" ref="K10:K18" si="5">IF(J10=0,0,J10/(J10+F10))</f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8"/>
      <c r="V10" s="439">
        <f>[1]Munka3!$C6</f>
        <v>0</v>
      </c>
      <c r="W10" s="439">
        <v>32</v>
      </c>
      <c r="X10" s="483">
        <f t="shared" ref="X10:X23" si="6">$E$5</f>
        <v>1.0133333333333334</v>
      </c>
      <c r="Y10" s="485">
        <v>1</v>
      </c>
      <c r="Z10" s="322" t="e">
        <f>AVERAGE($AA$9:AA10)</f>
        <v>#DIV/0!</v>
      </c>
      <c r="AA10" s="427" t="s">
        <v>88</v>
      </c>
    </row>
    <row r="11" spans="1:29">
      <c r="A11" s="44">
        <f>Headcount!A12</f>
        <v>4</v>
      </c>
      <c r="B11" s="363">
        <f t="shared" si="2"/>
        <v>2280</v>
      </c>
      <c r="C11" s="345">
        <f>$C$9-D10</f>
        <v>29640</v>
      </c>
      <c r="D11" s="53">
        <f t="shared" si="3"/>
        <v>6840</v>
      </c>
      <c r="E11" s="53">
        <f t="shared" ref="E11:E12" si="7">IF(E10=0,0,E10+F11)</f>
        <v>8519</v>
      </c>
      <c r="F11" s="54">
        <f t="shared" si="0"/>
        <v>8517</v>
      </c>
      <c r="G11" s="60">
        <v>8517</v>
      </c>
      <c r="H11" s="60">
        <v>0</v>
      </c>
      <c r="I11" s="60">
        <v>0</v>
      </c>
      <c r="J11" s="55">
        <f t="shared" si="1"/>
        <v>72</v>
      </c>
      <c r="K11" s="79">
        <f t="shared" si="5"/>
        <v>8.3828152287809994E-3</v>
      </c>
      <c r="L11" s="60">
        <v>42</v>
      </c>
      <c r="M11" s="60">
        <v>0</v>
      </c>
      <c r="N11" s="60">
        <v>0</v>
      </c>
      <c r="O11" s="60">
        <v>0</v>
      </c>
      <c r="P11" s="60">
        <v>23</v>
      </c>
      <c r="Q11" s="60">
        <v>0</v>
      </c>
      <c r="R11" s="60">
        <v>1</v>
      </c>
      <c r="S11" s="60">
        <v>30</v>
      </c>
      <c r="T11" s="60">
        <v>10</v>
      </c>
      <c r="U11" s="68" t="s">
        <v>88</v>
      </c>
      <c r="V11" s="439">
        <f>[1]Munka3!$C7</f>
        <v>0</v>
      </c>
      <c r="W11" s="439">
        <v>32</v>
      </c>
      <c r="X11" s="483">
        <f t="shared" si="6"/>
        <v>1.0133333333333334</v>
      </c>
      <c r="Y11" s="364">
        <v>1</v>
      </c>
      <c r="Z11" s="322">
        <f>AVERAGE($AA$9:AA11)</f>
        <v>1.0185</v>
      </c>
      <c r="AA11" s="336">
        <v>1.0185</v>
      </c>
    </row>
    <row r="12" spans="1:29" ht="13.15" customHeight="1">
      <c r="A12" s="44">
        <f>Headcount!A13</f>
        <v>5</v>
      </c>
      <c r="B12" s="363">
        <f t="shared" si="2"/>
        <v>2280</v>
      </c>
      <c r="C12" s="345">
        <f>$C$9-D11</f>
        <v>27360</v>
      </c>
      <c r="D12" s="53">
        <f t="shared" si="3"/>
        <v>9120</v>
      </c>
      <c r="E12" s="53">
        <f t="shared" si="7"/>
        <v>16487</v>
      </c>
      <c r="F12" s="54">
        <f t="shared" si="0"/>
        <v>7968</v>
      </c>
      <c r="G12" s="60">
        <v>7968</v>
      </c>
      <c r="H12" s="60">
        <v>0</v>
      </c>
      <c r="I12" s="60">
        <v>0</v>
      </c>
      <c r="J12" s="55">
        <f t="shared" si="1"/>
        <v>18</v>
      </c>
      <c r="K12" s="79">
        <f t="shared" si="5"/>
        <v>2.2539444027047332E-3</v>
      </c>
      <c r="L12" s="60">
        <v>18</v>
      </c>
      <c r="M12" s="60">
        <v>0</v>
      </c>
      <c r="N12" s="60">
        <v>0</v>
      </c>
      <c r="O12" s="60">
        <v>0</v>
      </c>
      <c r="P12" s="60">
        <v>29</v>
      </c>
      <c r="Q12" s="60">
        <v>0</v>
      </c>
      <c r="R12" s="60">
        <v>1</v>
      </c>
      <c r="S12" s="60">
        <v>0</v>
      </c>
      <c r="T12" s="60">
        <v>13</v>
      </c>
      <c r="U12" s="68" t="s">
        <v>88</v>
      </c>
      <c r="V12" s="439">
        <f>[1]Munka3!$C8</f>
        <v>0</v>
      </c>
      <c r="W12" s="439">
        <v>32</v>
      </c>
      <c r="X12" s="483">
        <f t="shared" si="6"/>
        <v>1.0133333333333334</v>
      </c>
      <c r="Y12" s="364">
        <v>1</v>
      </c>
      <c r="Z12" s="322">
        <f>AVERAGE($AA$9:AA12)</f>
        <v>1.0137</v>
      </c>
      <c r="AA12" s="336">
        <v>1.0088999999999999</v>
      </c>
    </row>
    <row r="13" spans="1:29" ht="13.15" customHeight="1">
      <c r="A13" s="44">
        <f>Headcount!A14</f>
        <v>6</v>
      </c>
      <c r="B13" s="363">
        <f t="shared" si="2"/>
        <v>2280</v>
      </c>
      <c r="C13" s="345">
        <f t="shared" ref="C13:C21" si="8">$C$9-D12</f>
        <v>25080</v>
      </c>
      <c r="D13" s="53">
        <f t="shared" si="3"/>
        <v>11400</v>
      </c>
      <c r="E13" s="53">
        <f t="shared" ref="E13:E23" si="9">IF(E12=0,0,E12+F13)</f>
        <v>20075</v>
      </c>
      <c r="F13" s="54">
        <f>G13+H13+I13</f>
        <v>3588</v>
      </c>
      <c r="G13" s="60">
        <v>3588</v>
      </c>
      <c r="H13" s="60">
        <v>0</v>
      </c>
      <c r="I13" s="60">
        <v>0</v>
      </c>
      <c r="J13" s="55">
        <f t="shared" si="1"/>
        <v>6</v>
      </c>
      <c r="K13" s="79">
        <f>IF(J13=0,0,J13/(J13+F13))</f>
        <v>1.6694490818030051E-3</v>
      </c>
      <c r="L13" s="60">
        <v>6</v>
      </c>
      <c r="M13" s="60">
        <v>0</v>
      </c>
      <c r="N13" s="60">
        <v>0</v>
      </c>
      <c r="O13" s="60">
        <v>0</v>
      </c>
      <c r="P13" s="60">
        <v>13</v>
      </c>
      <c r="Q13" s="60">
        <v>0</v>
      </c>
      <c r="R13" s="60">
        <v>0</v>
      </c>
      <c r="S13" s="60">
        <v>0</v>
      </c>
      <c r="T13" s="60">
        <v>11</v>
      </c>
      <c r="U13" s="68" t="s">
        <v>88</v>
      </c>
      <c r="V13" s="439">
        <f>[1]Munka3!$C9</f>
        <v>0</v>
      </c>
      <c r="W13" s="439">
        <v>32</v>
      </c>
      <c r="X13" s="483">
        <f t="shared" si="6"/>
        <v>1.0133333333333334</v>
      </c>
      <c r="Y13" s="364">
        <v>1</v>
      </c>
      <c r="Z13" s="322">
        <f>AVERAGE($AA$9:AA13)</f>
        <v>1.0412666666666668</v>
      </c>
      <c r="AA13" s="336">
        <v>1.0964</v>
      </c>
    </row>
    <row r="14" spans="1:29">
      <c r="A14" s="44">
        <f>Headcount!A15</f>
        <v>9</v>
      </c>
      <c r="B14" s="363">
        <f t="shared" si="2"/>
        <v>2280</v>
      </c>
      <c r="C14" s="345">
        <f t="shared" si="8"/>
        <v>22800</v>
      </c>
      <c r="D14" s="53">
        <f t="shared" si="3"/>
        <v>13680</v>
      </c>
      <c r="E14" s="53">
        <f t="shared" si="9"/>
        <v>20076</v>
      </c>
      <c r="F14" s="54">
        <f t="shared" si="0"/>
        <v>1</v>
      </c>
      <c r="G14" s="60">
        <v>1</v>
      </c>
      <c r="H14" s="60">
        <v>0</v>
      </c>
      <c r="I14" s="60">
        <v>0</v>
      </c>
      <c r="J14" s="55">
        <f t="shared" si="1"/>
        <v>0</v>
      </c>
      <c r="K14" s="79">
        <f t="shared" si="5"/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0</v>
      </c>
      <c r="R14" s="60">
        <v>0</v>
      </c>
      <c r="S14" s="60">
        <v>0</v>
      </c>
      <c r="T14" s="60">
        <v>0</v>
      </c>
      <c r="U14" s="68" t="s">
        <v>88</v>
      </c>
      <c r="V14" s="439">
        <f>[1]Munka3!$C10</f>
        <v>0</v>
      </c>
      <c r="W14" s="439">
        <v>32</v>
      </c>
      <c r="X14" s="483">
        <f t="shared" si="6"/>
        <v>1.0133333333333334</v>
      </c>
      <c r="Y14" s="364">
        <v>1</v>
      </c>
      <c r="Z14" s="322">
        <f>AVERAGE($AA$9:AA14)</f>
        <v>1.0412666666666668</v>
      </c>
      <c r="AA14" s="336" t="s">
        <v>88</v>
      </c>
    </row>
    <row r="15" spans="1:29">
      <c r="A15" s="44">
        <f>Headcount!A16</f>
        <v>10</v>
      </c>
      <c r="B15" s="363">
        <f t="shared" si="2"/>
        <v>2280</v>
      </c>
      <c r="C15" s="345">
        <f t="shared" si="8"/>
        <v>20520</v>
      </c>
      <c r="D15" s="53">
        <f t="shared" si="3"/>
        <v>15960</v>
      </c>
      <c r="E15" s="53">
        <f t="shared" si="9"/>
        <v>20077</v>
      </c>
      <c r="F15" s="54">
        <f t="shared" si="0"/>
        <v>1</v>
      </c>
      <c r="G15" s="60">
        <v>1</v>
      </c>
      <c r="H15" s="60">
        <v>0</v>
      </c>
      <c r="I15" s="60">
        <v>0</v>
      </c>
      <c r="J15" s="55">
        <f t="shared" si="1"/>
        <v>0</v>
      </c>
      <c r="K15" s="79">
        <f t="shared" si="5"/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  <c r="R15" s="60">
        <v>0</v>
      </c>
      <c r="S15" s="60">
        <v>0</v>
      </c>
      <c r="T15" s="60">
        <v>0</v>
      </c>
      <c r="U15" s="68" t="s">
        <v>88</v>
      </c>
      <c r="V15" s="439">
        <f>[1]Munka3!$C11</f>
        <v>0</v>
      </c>
      <c r="W15" s="439">
        <v>32</v>
      </c>
      <c r="X15" s="483">
        <f t="shared" si="6"/>
        <v>1.0133333333333334</v>
      </c>
      <c r="Y15" s="364">
        <v>1</v>
      </c>
      <c r="Z15" s="322">
        <f>AVERAGE($AA$9:AA15)</f>
        <v>1.0412666666666668</v>
      </c>
      <c r="AA15" s="336" t="s">
        <v>88</v>
      </c>
    </row>
    <row r="16" spans="1:29">
      <c r="A16" s="44">
        <f>Headcount!A17</f>
        <v>11</v>
      </c>
      <c r="B16" s="363">
        <f t="shared" si="2"/>
        <v>2280</v>
      </c>
      <c r="C16" s="345">
        <f t="shared" si="8"/>
        <v>18240</v>
      </c>
      <c r="D16" s="53">
        <f t="shared" si="3"/>
        <v>18240</v>
      </c>
      <c r="E16" s="53">
        <f t="shared" si="9"/>
        <v>20078</v>
      </c>
      <c r="F16" s="54">
        <f>G16+H16+I16</f>
        <v>1</v>
      </c>
      <c r="G16" s="60">
        <v>1</v>
      </c>
      <c r="H16" s="60">
        <v>0</v>
      </c>
      <c r="I16" s="60">
        <v>0</v>
      </c>
      <c r="J16" s="55">
        <f t="shared" si="1"/>
        <v>0</v>
      </c>
      <c r="K16" s="79">
        <f t="shared" si="5"/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  <c r="R16" s="60">
        <v>0</v>
      </c>
      <c r="S16" s="60">
        <v>0</v>
      </c>
      <c r="T16" s="60">
        <v>0</v>
      </c>
      <c r="U16" s="68" t="s">
        <v>88</v>
      </c>
      <c r="V16" s="439">
        <f>[1]Munka3!$C12</f>
        <v>0</v>
      </c>
      <c r="W16" s="439">
        <v>32</v>
      </c>
      <c r="X16" s="483">
        <f t="shared" si="6"/>
        <v>1.0133333333333334</v>
      </c>
      <c r="Y16" s="364">
        <v>1</v>
      </c>
      <c r="Z16" s="322">
        <f>AVERAGE($AA$9:AA16)</f>
        <v>1.0412666666666668</v>
      </c>
      <c r="AA16" s="336" t="s">
        <v>88</v>
      </c>
    </row>
    <row r="17" spans="1:29">
      <c r="A17" s="44">
        <f>Headcount!A18</f>
        <v>12</v>
      </c>
      <c r="B17" s="363">
        <f t="shared" si="2"/>
        <v>2280</v>
      </c>
      <c r="C17" s="345">
        <f t="shared" si="8"/>
        <v>15960</v>
      </c>
      <c r="D17" s="53">
        <f t="shared" si="3"/>
        <v>20520</v>
      </c>
      <c r="E17" s="53">
        <f t="shared" si="9"/>
        <v>28429</v>
      </c>
      <c r="F17" s="54">
        <f>G17+H17+I17</f>
        <v>8351</v>
      </c>
      <c r="G17" s="60">
        <v>8351</v>
      </c>
      <c r="H17" s="60">
        <v>0</v>
      </c>
      <c r="I17" s="60">
        <v>0</v>
      </c>
      <c r="J17" s="55">
        <f t="shared" si="1"/>
        <v>38</v>
      </c>
      <c r="K17" s="79">
        <f t="shared" si="5"/>
        <v>4.5297413279294313E-3</v>
      </c>
      <c r="L17" s="60">
        <v>29</v>
      </c>
      <c r="M17" s="60">
        <v>0</v>
      </c>
      <c r="N17" s="60">
        <v>0</v>
      </c>
      <c r="O17" s="60">
        <v>0</v>
      </c>
      <c r="P17" s="60">
        <v>51</v>
      </c>
      <c r="Q17" s="60">
        <v>0</v>
      </c>
      <c r="R17" s="60">
        <v>126</v>
      </c>
      <c r="S17" s="60">
        <v>9</v>
      </c>
      <c r="T17" s="60">
        <v>37</v>
      </c>
      <c r="U17" s="68" t="s">
        <v>88</v>
      </c>
      <c r="V17" s="439">
        <f>[1]Munka3!$C13</f>
        <v>0</v>
      </c>
      <c r="W17" s="439">
        <v>32</v>
      </c>
      <c r="X17" s="483">
        <f t="shared" si="6"/>
        <v>1.0133333333333334</v>
      </c>
      <c r="Y17" s="364">
        <v>1</v>
      </c>
      <c r="Z17" s="322">
        <f>AVERAGE($AA$9:AA17)</f>
        <v>1.051925</v>
      </c>
      <c r="AA17" s="336">
        <v>1.0839000000000001</v>
      </c>
      <c r="AC17" s="4"/>
    </row>
    <row r="18" spans="1:29">
      <c r="A18" s="44">
        <f>Headcount!A19</f>
        <v>13</v>
      </c>
      <c r="B18" s="363">
        <f t="shared" si="2"/>
        <v>2280</v>
      </c>
      <c r="C18" s="345">
        <f t="shared" si="8"/>
        <v>13680</v>
      </c>
      <c r="D18" s="53">
        <f t="shared" si="3"/>
        <v>22800</v>
      </c>
      <c r="E18" s="53">
        <f t="shared" si="9"/>
        <v>34256</v>
      </c>
      <c r="F18" s="54">
        <f>G18+H18+I18</f>
        <v>5827</v>
      </c>
      <c r="G18" s="60">
        <v>5827</v>
      </c>
      <c r="H18" s="60">
        <v>0</v>
      </c>
      <c r="I18" s="60">
        <v>0</v>
      </c>
      <c r="J18" s="55">
        <f t="shared" si="1"/>
        <v>17</v>
      </c>
      <c r="K18" s="79">
        <f t="shared" si="5"/>
        <v>2.9089664613278577E-3</v>
      </c>
      <c r="L18" s="60">
        <v>17</v>
      </c>
      <c r="M18" s="60">
        <v>0</v>
      </c>
      <c r="N18" s="60">
        <v>0</v>
      </c>
      <c r="O18" s="60">
        <v>0</v>
      </c>
      <c r="P18" s="60">
        <v>30</v>
      </c>
      <c r="Q18" s="60">
        <v>0</v>
      </c>
      <c r="R18" s="60">
        <v>36</v>
      </c>
      <c r="S18" s="60">
        <v>0</v>
      </c>
      <c r="T18" s="60">
        <v>20</v>
      </c>
      <c r="U18" s="68" t="s">
        <v>88</v>
      </c>
      <c r="V18" s="439">
        <f>[1]Munka3!$C14</f>
        <v>0</v>
      </c>
      <c r="W18" s="439">
        <v>32</v>
      </c>
      <c r="X18" s="483">
        <f t="shared" si="6"/>
        <v>1.0133333333333334</v>
      </c>
      <c r="Y18" s="364">
        <v>1</v>
      </c>
      <c r="Z18" s="322">
        <f>AVERAGE($AA$9:AA18)</f>
        <v>1.0482</v>
      </c>
      <c r="AA18" s="336">
        <v>1.0333000000000001</v>
      </c>
    </row>
    <row r="19" spans="1:29">
      <c r="A19" s="44">
        <f>Headcount!A20</f>
        <v>16</v>
      </c>
      <c r="B19" s="363">
        <f t="shared" si="2"/>
        <v>2280</v>
      </c>
      <c r="C19" s="345">
        <f t="shared" si="8"/>
        <v>11400</v>
      </c>
      <c r="D19" s="53">
        <f t="shared" si="3"/>
        <v>25080</v>
      </c>
      <c r="E19" s="53">
        <f t="shared" si="9"/>
        <v>34257</v>
      </c>
      <c r="F19" s="54">
        <f t="shared" ref="F19:F22" si="10">G19+H19+I19</f>
        <v>1</v>
      </c>
      <c r="G19" s="60">
        <v>1</v>
      </c>
      <c r="H19" s="60">
        <v>0</v>
      </c>
      <c r="I19" s="60">
        <v>0</v>
      </c>
      <c r="J19" s="55">
        <f t="shared" ref="J19:J22" si="11">L19+M19+N19+S19+O19</f>
        <v>0</v>
      </c>
      <c r="K19" s="79">
        <f t="shared" ref="K19:K22" si="12">IF(J19=0,0,J19/(J19+F19))</f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8" t="s">
        <v>88</v>
      </c>
      <c r="V19" s="439">
        <f>[1]Munka3!$C15</f>
        <v>0</v>
      </c>
      <c r="W19" s="439">
        <v>32</v>
      </c>
      <c r="X19" s="483">
        <f t="shared" si="6"/>
        <v>1.0133333333333334</v>
      </c>
      <c r="Y19" s="364">
        <v>1</v>
      </c>
      <c r="Z19" s="322">
        <f>AVERAGE($AA$9:AA19)</f>
        <v>1.0482</v>
      </c>
      <c r="AA19" s="336" t="s">
        <v>88</v>
      </c>
    </row>
    <row r="20" spans="1:29">
      <c r="A20" s="44">
        <f>Headcount!A21</f>
        <v>17</v>
      </c>
      <c r="B20" s="363">
        <f t="shared" si="2"/>
        <v>2280</v>
      </c>
      <c r="C20" s="345">
        <f t="shared" si="8"/>
        <v>9120</v>
      </c>
      <c r="D20" s="53">
        <f t="shared" si="3"/>
        <v>27360</v>
      </c>
      <c r="E20" s="53">
        <f t="shared" si="9"/>
        <v>34258</v>
      </c>
      <c r="F20" s="54">
        <f t="shared" si="10"/>
        <v>1</v>
      </c>
      <c r="G20" s="60">
        <v>1</v>
      </c>
      <c r="H20" s="60">
        <v>0</v>
      </c>
      <c r="I20" s="60">
        <v>0</v>
      </c>
      <c r="J20" s="55">
        <f t="shared" si="11"/>
        <v>0</v>
      </c>
      <c r="K20" s="79">
        <f t="shared" si="12"/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8" t="s">
        <v>88</v>
      </c>
      <c r="V20" s="439">
        <f>[1]Munka3!$C16</f>
        <v>0</v>
      </c>
      <c r="W20" s="439">
        <v>32</v>
      </c>
      <c r="X20" s="483">
        <f t="shared" si="6"/>
        <v>1.0133333333333334</v>
      </c>
      <c r="Y20" s="364">
        <v>1</v>
      </c>
      <c r="Z20" s="322">
        <f>AVERAGE($AA$9:AA20)</f>
        <v>1.0482</v>
      </c>
      <c r="AA20" s="336" t="s">
        <v>88</v>
      </c>
    </row>
    <row r="21" spans="1:29">
      <c r="A21" s="44">
        <f>Headcount!A22</f>
        <v>18</v>
      </c>
      <c r="B21" s="363">
        <f t="shared" si="2"/>
        <v>2280</v>
      </c>
      <c r="C21" s="345">
        <f t="shared" si="8"/>
        <v>6840</v>
      </c>
      <c r="D21" s="53">
        <f t="shared" si="3"/>
        <v>29640</v>
      </c>
      <c r="E21" s="53">
        <f t="shared" si="9"/>
        <v>35959</v>
      </c>
      <c r="F21" s="54">
        <f t="shared" si="10"/>
        <v>1701</v>
      </c>
      <c r="G21" s="60">
        <v>1701</v>
      </c>
      <c r="H21" s="60">
        <v>0</v>
      </c>
      <c r="I21" s="60">
        <v>0</v>
      </c>
      <c r="J21" s="55">
        <f t="shared" si="11"/>
        <v>17</v>
      </c>
      <c r="K21" s="79">
        <f t="shared" si="12"/>
        <v>9.8952270081490105E-3</v>
      </c>
      <c r="L21" s="60">
        <v>7</v>
      </c>
      <c r="M21" s="60">
        <v>0</v>
      </c>
      <c r="N21" s="60">
        <v>0</v>
      </c>
      <c r="O21" s="60">
        <v>0</v>
      </c>
      <c r="P21" s="60">
        <v>4</v>
      </c>
      <c r="Q21" s="60">
        <v>0</v>
      </c>
      <c r="R21" s="60">
        <v>10</v>
      </c>
      <c r="S21" s="60">
        <v>10</v>
      </c>
      <c r="T21" s="60">
        <v>5</v>
      </c>
      <c r="U21" s="68" t="s">
        <v>88</v>
      </c>
      <c r="V21" s="439">
        <f>[1]Munka3!$C17</f>
        <v>0</v>
      </c>
      <c r="W21" s="439">
        <v>32</v>
      </c>
      <c r="X21" s="483">
        <f t="shared" si="6"/>
        <v>1.0133333333333334</v>
      </c>
      <c r="Y21" s="364">
        <v>1</v>
      </c>
      <c r="Z21" s="322">
        <f>AVERAGE($AA$9:AA21)</f>
        <v>1.0662833333333332</v>
      </c>
      <c r="AA21" s="336">
        <v>1.1567000000000001</v>
      </c>
    </row>
    <row r="22" spans="1:29">
      <c r="A22" s="44">
        <f>Headcount!A23</f>
        <v>19</v>
      </c>
      <c r="B22" s="363">
        <f t="shared" si="2"/>
        <v>2280</v>
      </c>
      <c r="C22" s="345">
        <f t="shared" ref="C22:C23" si="13">$C$9-D21</f>
        <v>4560</v>
      </c>
      <c r="D22" s="53">
        <f t="shared" si="3"/>
        <v>31920</v>
      </c>
      <c r="E22" s="53">
        <f t="shared" si="9"/>
        <v>35960</v>
      </c>
      <c r="F22" s="54">
        <f t="shared" si="10"/>
        <v>1</v>
      </c>
      <c r="G22" s="60">
        <v>1</v>
      </c>
      <c r="H22" s="60">
        <v>0</v>
      </c>
      <c r="I22" s="60">
        <v>0</v>
      </c>
      <c r="J22" s="55">
        <f t="shared" si="11"/>
        <v>0</v>
      </c>
      <c r="K22" s="79">
        <f t="shared" si="12"/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8" t="s">
        <v>88</v>
      </c>
      <c r="V22" s="439">
        <f>[1]Munka3!$C18</f>
        <v>0</v>
      </c>
      <c r="W22" s="439">
        <v>32</v>
      </c>
      <c r="X22" s="483">
        <f t="shared" si="6"/>
        <v>1.0133333333333334</v>
      </c>
      <c r="Y22" s="364">
        <v>1</v>
      </c>
      <c r="Z22" s="322">
        <f>AVERAGE($AA$9:AA22)</f>
        <v>1.0662833333333332</v>
      </c>
      <c r="AA22" s="336" t="s">
        <v>88</v>
      </c>
    </row>
    <row r="23" spans="1:29">
      <c r="A23" s="44">
        <f>Headcount!A24</f>
        <v>20</v>
      </c>
      <c r="B23" s="363">
        <f t="shared" si="2"/>
        <v>2280</v>
      </c>
      <c r="C23" s="345">
        <f t="shared" si="13"/>
        <v>2280</v>
      </c>
      <c r="D23" s="53">
        <f t="shared" si="3"/>
        <v>34200</v>
      </c>
      <c r="E23" s="53">
        <f t="shared" si="9"/>
        <v>35961</v>
      </c>
      <c r="F23" s="54">
        <f t="shared" ref="F23" si="14">G23+H23+I23</f>
        <v>1</v>
      </c>
      <c r="G23" s="60">
        <v>1</v>
      </c>
      <c r="H23" s="60">
        <v>0</v>
      </c>
      <c r="I23" s="60">
        <v>0</v>
      </c>
      <c r="J23" s="55">
        <f t="shared" ref="J23" si="15">L23+M23+N23+S23+O23</f>
        <v>0</v>
      </c>
      <c r="K23" s="79">
        <f t="shared" ref="K23" si="16">IF(J23=0,0,J23/(J23+F23))</f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8" t="s">
        <v>88</v>
      </c>
      <c r="V23" s="439">
        <f>[1]Munka3!$C19</f>
        <v>0</v>
      </c>
      <c r="W23" s="439">
        <v>32</v>
      </c>
      <c r="X23" s="483">
        <f t="shared" si="6"/>
        <v>1.0133333333333334</v>
      </c>
      <c r="Y23" s="364">
        <v>1</v>
      </c>
      <c r="Z23" s="322">
        <f>AVERAGE($AA$9:AA23)</f>
        <v>1.0662833333333332</v>
      </c>
      <c r="AA23" s="336" t="s">
        <v>88</v>
      </c>
    </row>
    <row r="24" spans="1:29">
      <c r="A24" s="44"/>
      <c r="B24" s="363"/>
      <c r="C24" s="345"/>
      <c r="D24" s="53"/>
      <c r="E24" s="53"/>
      <c r="F24" s="54"/>
      <c r="G24" s="60"/>
      <c r="H24" s="60"/>
      <c r="I24" s="60"/>
      <c r="J24" s="55"/>
      <c r="K24" s="79"/>
      <c r="L24" s="60"/>
      <c r="M24" s="60"/>
      <c r="N24" s="60"/>
      <c r="O24" s="60"/>
      <c r="P24" s="60"/>
      <c r="Q24" s="60"/>
      <c r="R24" s="60"/>
      <c r="S24" s="60"/>
      <c r="T24" s="60"/>
      <c r="U24" s="68"/>
      <c r="V24" s="439"/>
      <c r="W24" s="439"/>
      <c r="X24" s="483"/>
      <c r="Y24" s="364"/>
      <c r="Z24" s="322"/>
      <c r="AA24" s="336"/>
    </row>
    <row r="25" spans="1:29">
      <c r="A25" s="44"/>
      <c r="B25" s="363"/>
      <c r="C25" s="345"/>
      <c r="D25" s="53"/>
      <c r="E25" s="53"/>
      <c r="F25" s="54"/>
      <c r="G25" s="60"/>
      <c r="H25" s="60"/>
      <c r="I25" s="60"/>
      <c r="J25" s="55"/>
      <c r="K25" s="79"/>
      <c r="L25" s="60"/>
      <c r="M25" s="60"/>
      <c r="N25" s="60"/>
      <c r="O25" s="60"/>
      <c r="P25" s="60"/>
      <c r="Q25" s="60"/>
      <c r="R25" s="60"/>
      <c r="S25" s="60"/>
      <c r="T25" s="60"/>
      <c r="U25" s="68"/>
      <c r="V25" s="439"/>
      <c r="W25" s="439"/>
      <c r="X25" s="483"/>
      <c r="Y25" s="364"/>
      <c r="Z25" s="322"/>
      <c r="AA25" s="336"/>
    </row>
    <row r="26" spans="1:29">
      <c r="A26" s="44"/>
      <c r="B26" s="363"/>
      <c r="C26" s="345"/>
      <c r="D26" s="53"/>
      <c r="E26" s="53"/>
      <c r="F26" s="54"/>
      <c r="G26" s="60"/>
      <c r="H26" s="60"/>
      <c r="I26" s="60"/>
      <c r="J26" s="55"/>
      <c r="K26" s="79"/>
      <c r="L26" s="60"/>
      <c r="M26" s="60"/>
      <c r="N26" s="60"/>
      <c r="O26" s="60"/>
      <c r="P26" s="60"/>
      <c r="Q26" s="60"/>
      <c r="R26" s="60"/>
      <c r="S26" s="60"/>
      <c r="T26" s="60"/>
      <c r="U26" s="68"/>
      <c r="V26" s="439"/>
      <c r="W26" s="439"/>
      <c r="X26" s="483"/>
      <c r="Y26" s="364"/>
      <c r="Z26" s="322"/>
      <c r="AA26" s="336"/>
    </row>
    <row r="27" spans="1:29">
      <c r="A27" s="44"/>
      <c r="B27" s="363"/>
      <c r="C27" s="345"/>
      <c r="D27" s="53"/>
      <c r="E27" s="53"/>
      <c r="F27" s="54"/>
      <c r="G27" s="60"/>
      <c r="H27" s="60"/>
      <c r="I27" s="60"/>
      <c r="J27" s="55"/>
      <c r="K27" s="79"/>
      <c r="L27" s="60"/>
      <c r="M27" s="60"/>
      <c r="N27" s="60"/>
      <c r="O27" s="60"/>
      <c r="P27" s="60"/>
      <c r="Q27" s="60"/>
      <c r="R27" s="60"/>
      <c r="S27" s="60"/>
      <c r="T27" s="60"/>
      <c r="U27" s="68"/>
      <c r="V27" s="439"/>
      <c r="W27" s="439"/>
      <c r="X27" s="483"/>
      <c r="Y27" s="364"/>
      <c r="Z27" s="322"/>
      <c r="AA27" s="336"/>
    </row>
    <row r="28" spans="1:29" ht="15" customHeight="1">
      <c r="A28" s="44"/>
      <c r="B28" s="363"/>
      <c r="C28" s="345"/>
      <c r="D28" s="53"/>
      <c r="E28" s="53"/>
      <c r="F28" s="54"/>
      <c r="G28" s="60"/>
      <c r="H28" s="60"/>
      <c r="I28" s="60"/>
      <c r="J28" s="55"/>
      <c r="K28" s="79"/>
      <c r="L28" s="60"/>
      <c r="M28" s="60"/>
      <c r="N28" s="60"/>
      <c r="O28" s="60"/>
      <c r="P28" s="60"/>
      <c r="Q28" s="60"/>
      <c r="R28" s="60"/>
      <c r="S28" s="60"/>
      <c r="T28" s="60"/>
      <c r="U28" s="68"/>
      <c r="V28" s="439"/>
      <c r="W28" s="439"/>
      <c r="X28" s="483"/>
      <c r="Y28" s="364"/>
      <c r="Z28" s="322"/>
      <c r="AA28" s="336"/>
    </row>
    <row r="29" spans="1:29">
      <c r="A29" s="44"/>
      <c r="B29" s="363"/>
      <c r="C29" s="345"/>
      <c r="D29" s="53"/>
      <c r="E29" s="53"/>
      <c r="F29" s="54"/>
      <c r="G29" s="60"/>
      <c r="H29" s="60"/>
      <c r="I29" s="60"/>
      <c r="J29" s="55"/>
      <c r="K29" s="79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439"/>
      <c r="W29" s="439"/>
      <c r="X29" s="483"/>
      <c r="Y29" s="364"/>
      <c r="Z29" s="322"/>
      <c r="AA29" s="336"/>
    </row>
    <row r="30" spans="1:29" ht="15.75" thickBot="1">
      <c r="A30" s="44"/>
      <c r="B30" s="363"/>
      <c r="C30" s="345"/>
      <c r="D30" s="53"/>
      <c r="E30" s="53"/>
      <c r="F30" s="54"/>
      <c r="G30" s="60"/>
      <c r="H30" s="60"/>
      <c r="I30" s="60"/>
      <c r="J30" s="55"/>
      <c r="K30" s="79"/>
      <c r="L30" s="60"/>
      <c r="M30" s="60"/>
      <c r="N30" s="60"/>
      <c r="O30" s="319"/>
      <c r="P30" s="319"/>
      <c r="Q30" s="319"/>
      <c r="R30" s="319"/>
      <c r="S30" s="319"/>
      <c r="T30" s="319"/>
      <c r="U30" s="319"/>
      <c r="V30" s="439"/>
      <c r="W30" s="439"/>
      <c r="X30" s="483"/>
      <c r="Y30" s="364"/>
      <c r="Z30" s="322"/>
      <c r="AA30" s="336"/>
    </row>
    <row r="31" spans="1:29" ht="15.75" thickBot="1">
      <c r="A31" s="219" t="s">
        <v>107</v>
      </c>
      <c r="B31" s="315"/>
      <c r="C31" s="226"/>
      <c r="D31" s="227">
        <f>D7*D5</f>
        <v>34200</v>
      </c>
      <c r="E31" s="227"/>
      <c r="F31" s="228">
        <f>SUM(F9:F29)</f>
        <v>35961</v>
      </c>
      <c r="G31" s="229"/>
      <c r="H31" s="229"/>
      <c r="I31" s="229"/>
      <c r="J31" s="230">
        <f>SUM(J9:J30)</f>
        <v>168</v>
      </c>
      <c r="K31" s="231">
        <f t="shared" ref="K31" si="17">IF(J31=0,0,J31/(J31+F31))</f>
        <v>4.6500041517894214E-3</v>
      </c>
      <c r="L31" s="229">
        <f>SUM(L9:L30)</f>
        <v>119</v>
      </c>
      <c r="M31" s="229">
        <f t="shared" ref="M31:S31" si="18">SUM(M9:M30)</f>
        <v>0</v>
      </c>
      <c r="N31" s="229">
        <f t="shared" si="18"/>
        <v>0</v>
      </c>
      <c r="O31" s="229">
        <f>SUM(O9:O30)</f>
        <v>0</v>
      </c>
      <c r="P31" s="229">
        <f t="shared" si="18"/>
        <v>150</v>
      </c>
      <c r="Q31" s="229">
        <f>SUM(Q9:Q30)</f>
        <v>0</v>
      </c>
      <c r="R31" s="229">
        <f t="shared" si="18"/>
        <v>174</v>
      </c>
      <c r="S31" s="229">
        <f t="shared" si="18"/>
        <v>49</v>
      </c>
      <c r="T31" s="271">
        <f>SUM(T9:T30)</f>
        <v>96</v>
      </c>
      <c r="U31" s="442"/>
      <c r="V31" s="443"/>
      <c r="W31" s="443"/>
      <c r="X31" s="482"/>
      <c r="Y31" s="271"/>
      <c r="Z31" s="271"/>
      <c r="AA31" s="225"/>
    </row>
    <row r="32" spans="1:29" ht="15.75" thickBot="1">
      <c r="F32" s="65"/>
      <c r="J32" s="104"/>
    </row>
    <row r="33" spans="9:15">
      <c r="I33">
        <v>185</v>
      </c>
      <c r="L33" s="511" t="s">
        <v>108</v>
      </c>
      <c r="M33" s="512"/>
      <c r="N33" s="232">
        <f>L31+M31+N31+P31+R31+S31+T31+O31</f>
        <v>588</v>
      </c>
      <c r="O33" s="286"/>
    </row>
    <row r="34" spans="9:15" ht="15.75" thickBot="1">
      <c r="I34">
        <v>257</v>
      </c>
      <c r="L34" s="513" t="s">
        <v>109</v>
      </c>
      <c r="M34" s="514"/>
      <c r="N34" s="233">
        <f>L31+M31+N31+S31+T31</f>
        <v>264</v>
      </c>
      <c r="O34" s="286"/>
    </row>
  </sheetData>
  <mergeCells count="9">
    <mergeCell ref="L33:M33"/>
    <mergeCell ref="L34:M34"/>
    <mergeCell ref="F7:I7"/>
    <mergeCell ref="H1:I1"/>
    <mergeCell ref="J1:AC2"/>
    <mergeCell ref="H2:I2"/>
    <mergeCell ref="J7:T7"/>
    <mergeCell ref="D3:D4"/>
    <mergeCell ref="E3:E4"/>
  </mergeCells>
  <phoneticPr fontId="16"/>
  <conditionalFormatting sqref="H1:I1">
    <cfRule type="cellIs" dxfId="60" priority="3" operator="lessThan">
      <formula>0</formula>
    </cfRule>
  </conditionalFormatting>
  <conditionalFormatting sqref="K9:K31">
    <cfRule type="cellIs" dxfId="59" priority="4" operator="greaterThan">
      <formula>0.1</formula>
    </cfRule>
  </conditionalFormatting>
  <pageMargins left="0.7" right="0.7" top="0.75" bottom="0.75" header="0.3" footer="0.3"/>
  <pageSetup paperSize="9" scale="30" orientation="landscape" r:id="rId1"/>
  <ignoredErrors>
    <ignoredError sqref="K31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9">
    <pageSetUpPr fitToPage="1"/>
  </sheetPr>
  <dimension ref="A1:R33"/>
  <sheetViews>
    <sheetView showGridLines="0" zoomScale="83" zoomScaleNormal="83" workbookViewId="0">
      <pane ySplit="2" topLeftCell="A3" activePane="bottomLeft" state="frozen"/>
      <selection activeCell="P8" sqref="P8:P32"/>
      <selection pane="bottomLeft" activeCell="F9" sqref="F9"/>
    </sheetView>
  </sheetViews>
  <sheetFormatPr defaultRowHeight="15"/>
  <cols>
    <col min="2" max="2" width="11.42578125" customWidth="1"/>
    <col min="3" max="3" width="10.42578125" customWidth="1"/>
    <col min="4" max="4" width="19.42578125" bestFit="1" customWidth="1"/>
    <col min="5" max="5" width="11.42578125" customWidth="1"/>
    <col min="6" max="6" width="9.42578125" customWidth="1"/>
    <col min="7" max="8" width="12.42578125" customWidth="1"/>
    <col min="9" max="11" width="9.42578125" customWidth="1"/>
    <col min="12" max="13" width="10.42578125" customWidth="1"/>
    <col min="14" max="14" width="19.42578125" customWidth="1"/>
  </cols>
  <sheetData>
    <row r="1" spans="1:18" ht="46.5">
      <c r="A1" s="40" t="s">
        <v>110</v>
      </c>
      <c r="B1" s="41"/>
      <c r="C1" s="52" t="s">
        <v>59</v>
      </c>
      <c r="D1" s="41"/>
      <c r="E1" s="41"/>
      <c r="F1" s="41"/>
      <c r="G1" s="502">
        <f>E33-C33</f>
        <v>0</v>
      </c>
      <c r="H1" s="502"/>
      <c r="I1" s="515"/>
      <c r="J1" s="508"/>
      <c r="K1" s="508"/>
      <c r="L1" s="508"/>
      <c r="M1" s="508"/>
      <c r="N1" s="508"/>
      <c r="O1" s="508"/>
      <c r="P1" s="508"/>
      <c r="Q1" s="508"/>
      <c r="R1" s="508"/>
    </row>
    <row r="2" spans="1:18" ht="46.5">
      <c r="A2" s="40" t="s">
        <v>111</v>
      </c>
      <c r="B2" s="41"/>
      <c r="C2" s="52"/>
      <c r="D2" s="41"/>
      <c r="E2" s="41"/>
      <c r="F2" s="41"/>
      <c r="G2" s="503"/>
      <c r="H2" s="503"/>
      <c r="I2" s="508"/>
      <c r="J2" s="508"/>
      <c r="K2" s="508"/>
      <c r="L2" s="508"/>
      <c r="M2" s="508"/>
      <c r="N2" s="508"/>
      <c r="O2" s="508"/>
      <c r="P2" s="508"/>
      <c r="Q2" s="508"/>
      <c r="R2" s="508"/>
    </row>
    <row r="5" spans="1:18">
      <c r="B5" s="23" t="s">
        <v>112</v>
      </c>
      <c r="C5" s="272">
        <v>0</v>
      </c>
      <c r="E5" s="4" t="e">
        <f>D18/C18</f>
        <v>#DIV/0!</v>
      </c>
    </row>
    <row r="6" spans="1:18">
      <c r="B6" s="273" t="s">
        <v>39</v>
      </c>
      <c r="C6" s="23">
        <f>Headcount!F7</f>
        <v>15</v>
      </c>
      <c r="D6" s="4"/>
    </row>
    <row r="7" spans="1:18">
      <c r="B7" s="23" t="s">
        <v>40</v>
      </c>
      <c r="C7" s="23">
        <f>Headcount!F8</f>
        <v>15</v>
      </c>
      <c r="D7" s="23"/>
      <c r="E7" s="507" t="s">
        <v>65</v>
      </c>
      <c r="F7" s="507"/>
      <c r="G7" s="507"/>
      <c r="H7" s="507"/>
      <c r="I7" s="507" t="s">
        <v>113</v>
      </c>
      <c r="J7" s="507"/>
      <c r="K7" s="507"/>
    </row>
    <row r="8" spans="1:18" ht="24">
      <c r="A8" s="42" t="s">
        <v>114</v>
      </c>
      <c r="B8" s="43" t="s">
        <v>69</v>
      </c>
      <c r="C8" s="42" t="s">
        <v>115</v>
      </c>
      <c r="D8" s="42" t="s">
        <v>116</v>
      </c>
      <c r="E8" s="51" t="s">
        <v>117</v>
      </c>
      <c r="F8" s="42" t="s">
        <v>73</v>
      </c>
      <c r="G8" s="42" t="s">
        <v>74</v>
      </c>
      <c r="H8" s="42" t="s">
        <v>93</v>
      </c>
      <c r="I8" s="42" t="s">
        <v>118</v>
      </c>
      <c r="J8" s="42" t="s">
        <v>119</v>
      </c>
      <c r="K8" s="42" t="s">
        <v>120</v>
      </c>
      <c r="L8" s="42" t="s">
        <v>121</v>
      </c>
      <c r="M8" s="67" t="s">
        <v>122</v>
      </c>
      <c r="N8" s="67" t="s">
        <v>123</v>
      </c>
      <c r="P8" t="s">
        <v>124</v>
      </c>
    </row>
    <row r="9" spans="1:18">
      <c r="A9" s="44">
        <f>Headcount!A10</f>
        <v>2</v>
      </c>
      <c r="B9" s="341">
        <f>C5*C6</f>
        <v>0</v>
      </c>
      <c r="C9" s="53">
        <f>C5</f>
        <v>0</v>
      </c>
      <c r="D9" s="338">
        <f>E9</f>
        <v>0</v>
      </c>
      <c r="E9" s="302">
        <f>F9+G9+H9</f>
        <v>0</v>
      </c>
      <c r="F9" s="59"/>
      <c r="G9" s="59"/>
      <c r="H9" s="59"/>
      <c r="I9" s="49"/>
      <c r="J9" s="59"/>
      <c r="K9" s="413"/>
      <c r="L9" s="413"/>
      <c r="M9" s="239"/>
      <c r="N9" s="69"/>
    </row>
    <row r="10" spans="1:18">
      <c r="A10" s="44">
        <f>Headcount!A11</f>
        <v>3</v>
      </c>
      <c r="B10" s="345">
        <f>$B$9-C10</f>
        <v>0</v>
      </c>
      <c r="C10" s="53">
        <f t="shared" ref="C10:C23" si="0">C9+$C$5</f>
        <v>0</v>
      </c>
      <c r="D10" s="53">
        <f>IF(E10=0,0,D9+E10)</f>
        <v>0</v>
      </c>
      <c r="E10" s="302">
        <f>F10+G10+H10</f>
        <v>0</v>
      </c>
      <c r="F10" s="319"/>
      <c r="G10" s="319"/>
      <c r="H10" s="319"/>
      <c r="I10" s="411"/>
      <c r="J10" s="319"/>
      <c r="K10" s="367"/>
      <c r="L10" s="368">
        <f>IF(E10=0,0,E10/J10)</f>
        <v>0</v>
      </c>
      <c r="M10" s="239"/>
      <c r="N10" s="266"/>
    </row>
    <row r="11" spans="1:18">
      <c r="A11" s="44">
        <f>Headcount!A12</f>
        <v>4</v>
      </c>
      <c r="B11" s="345">
        <f>$B$9-C11</f>
        <v>0</v>
      </c>
      <c r="C11" s="53">
        <f t="shared" si="0"/>
        <v>0</v>
      </c>
      <c r="D11" s="53">
        <f>IF(E11=0,0,D10+E11)</f>
        <v>0</v>
      </c>
      <c r="E11" s="54">
        <f>F11+G11+H11</f>
        <v>0</v>
      </c>
      <c r="F11" s="60"/>
      <c r="G11" s="60"/>
      <c r="H11" s="60"/>
      <c r="I11" s="48"/>
      <c r="J11" s="60"/>
      <c r="K11" s="48"/>
      <c r="L11" s="53">
        <f t="shared" ref="L11:L23" si="1">IF(E11=0,0,E11/J11)</f>
        <v>0</v>
      </c>
      <c r="M11" s="61"/>
      <c r="N11" s="60"/>
    </row>
    <row r="12" spans="1:18">
      <c r="A12" s="44">
        <f>Headcount!A13</f>
        <v>5</v>
      </c>
      <c r="B12" s="345">
        <f t="shared" ref="B12:B20" si="2">$B$10-C11</f>
        <v>0</v>
      </c>
      <c r="C12" s="53">
        <f t="shared" si="0"/>
        <v>0</v>
      </c>
      <c r="D12" s="53">
        <f>IF(E12=0,0,D11+E12)</f>
        <v>0</v>
      </c>
      <c r="E12" s="54">
        <f>F12+G12+H12</f>
        <v>0</v>
      </c>
      <c r="F12" s="60"/>
      <c r="G12" s="60"/>
      <c r="H12" s="60"/>
      <c r="I12" s="48"/>
      <c r="J12" s="60"/>
      <c r="K12" s="48"/>
      <c r="L12" s="53">
        <f t="shared" si="1"/>
        <v>0</v>
      </c>
      <c r="M12" s="61"/>
      <c r="N12" s="60"/>
    </row>
    <row r="13" spans="1:18">
      <c r="A13" s="44">
        <f>Headcount!A14</f>
        <v>6</v>
      </c>
      <c r="B13" s="345">
        <f t="shared" si="2"/>
        <v>0</v>
      </c>
      <c r="C13" s="53">
        <f t="shared" si="0"/>
        <v>0</v>
      </c>
      <c r="D13" s="53">
        <f>IF(E13=0,0,D12+E13)</f>
        <v>0</v>
      </c>
      <c r="E13" s="54">
        <f t="shared" ref="E13:E21" si="3">F13+G13+H13</f>
        <v>0</v>
      </c>
      <c r="F13" s="60"/>
      <c r="G13" s="60"/>
      <c r="H13" s="60"/>
      <c r="I13" s="48"/>
      <c r="J13" s="60"/>
      <c r="K13" s="48"/>
      <c r="L13" s="53">
        <f t="shared" si="1"/>
        <v>0</v>
      </c>
      <c r="M13" s="61"/>
      <c r="N13" s="62"/>
    </row>
    <row r="14" spans="1:18">
      <c r="A14" s="44">
        <f>Headcount!A15</f>
        <v>9</v>
      </c>
      <c r="B14" s="345">
        <f t="shared" si="2"/>
        <v>0</v>
      </c>
      <c r="C14" s="53">
        <f t="shared" si="0"/>
        <v>0</v>
      </c>
      <c r="D14" s="53">
        <f t="shared" ref="D14:D23" si="4">IF(E14=0,0,D13+E14)</f>
        <v>0</v>
      </c>
      <c r="E14" s="54">
        <f t="shared" si="3"/>
        <v>0</v>
      </c>
      <c r="F14" s="60"/>
      <c r="G14" s="60"/>
      <c r="H14" s="60"/>
      <c r="I14" s="48"/>
      <c r="J14" s="60"/>
      <c r="K14" s="48"/>
      <c r="L14" s="53">
        <f t="shared" si="1"/>
        <v>0</v>
      </c>
      <c r="M14" s="61"/>
      <c r="N14" s="62"/>
    </row>
    <row r="15" spans="1:18">
      <c r="A15" s="44">
        <f>Headcount!A16</f>
        <v>10</v>
      </c>
      <c r="B15" s="345">
        <f t="shared" si="2"/>
        <v>0</v>
      </c>
      <c r="C15" s="53">
        <f t="shared" si="0"/>
        <v>0</v>
      </c>
      <c r="D15" s="53">
        <f t="shared" si="4"/>
        <v>0</v>
      </c>
      <c r="E15" s="54">
        <f t="shared" si="3"/>
        <v>0</v>
      </c>
      <c r="F15" s="60"/>
      <c r="G15" s="60"/>
      <c r="H15" s="60"/>
      <c r="I15" s="48"/>
      <c r="J15" s="60"/>
      <c r="K15" s="48"/>
      <c r="L15" s="53">
        <f t="shared" si="1"/>
        <v>0</v>
      </c>
      <c r="M15" s="61"/>
      <c r="N15" s="62"/>
    </row>
    <row r="16" spans="1:18">
      <c r="A16" s="44">
        <f>Headcount!A17</f>
        <v>11</v>
      </c>
      <c r="B16" s="345">
        <f t="shared" si="2"/>
        <v>0</v>
      </c>
      <c r="C16" s="53">
        <f t="shared" si="0"/>
        <v>0</v>
      </c>
      <c r="D16" s="53">
        <f t="shared" si="4"/>
        <v>0</v>
      </c>
      <c r="E16" s="54">
        <f t="shared" si="3"/>
        <v>0</v>
      </c>
      <c r="F16" s="60"/>
      <c r="G16" s="60"/>
      <c r="H16" s="60"/>
      <c r="I16" s="48"/>
      <c r="J16" s="60"/>
      <c r="K16" s="48"/>
      <c r="L16" s="53">
        <f t="shared" si="1"/>
        <v>0</v>
      </c>
      <c r="M16" s="61"/>
      <c r="N16" s="60"/>
    </row>
    <row r="17" spans="1:14">
      <c r="A17" s="44">
        <f>Headcount!A18</f>
        <v>12</v>
      </c>
      <c r="B17" s="345">
        <f t="shared" si="2"/>
        <v>0</v>
      </c>
      <c r="C17" s="53">
        <f t="shared" si="0"/>
        <v>0</v>
      </c>
      <c r="D17" s="53">
        <f t="shared" si="4"/>
        <v>0</v>
      </c>
      <c r="E17" s="54">
        <f t="shared" si="3"/>
        <v>0</v>
      </c>
      <c r="F17" s="60"/>
      <c r="G17" s="60"/>
      <c r="H17" s="60"/>
      <c r="I17" s="48"/>
      <c r="J17" s="60"/>
      <c r="K17" s="48"/>
      <c r="L17" s="53">
        <f t="shared" si="1"/>
        <v>0</v>
      </c>
      <c r="M17" s="61"/>
      <c r="N17" s="60"/>
    </row>
    <row r="18" spans="1:14">
      <c r="A18" s="44">
        <f>Headcount!A19</f>
        <v>13</v>
      </c>
      <c r="B18" s="345">
        <f t="shared" si="2"/>
        <v>0</v>
      </c>
      <c r="C18" s="53">
        <f t="shared" si="0"/>
        <v>0</v>
      </c>
      <c r="D18" s="53">
        <f t="shared" si="4"/>
        <v>0</v>
      </c>
      <c r="E18" s="54">
        <f t="shared" si="3"/>
        <v>0</v>
      </c>
      <c r="F18" s="60"/>
      <c r="G18" s="60"/>
      <c r="H18" s="60"/>
      <c r="I18" s="48"/>
      <c r="J18" s="60"/>
      <c r="K18" s="48"/>
      <c r="L18" s="53">
        <f t="shared" si="1"/>
        <v>0</v>
      </c>
      <c r="M18" s="61"/>
      <c r="N18" s="60"/>
    </row>
    <row r="19" spans="1:14">
      <c r="A19" s="44">
        <f>Headcount!A20</f>
        <v>16</v>
      </c>
      <c r="B19" s="345">
        <f t="shared" si="2"/>
        <v>0</v>
      </c>
      <c r="C19" s="53">
        <f t="shared" si="0"/>
        <v>0</v>
      </c>
      <c r="D19" s="53">
        <f t="shared" si="4"/>
        <v>0</v>
      </c>
      <c r="E19" s="54">
        <f t="shared" si="3"/>
        <v>0</v>
      </c>
      <c r="F19" s="60"/>
      <c r="G19" s="60"/>
      <c r="H19" s="60"/>
      <c r="I19" s="48"/>
      <c r="J19" s="60"/>
      <c r="K19" s="48"/>
      <c r="L19" s="53">
        <f t="shared" si="1"/>
        <v>0</v>
      </c>
      <c r="M19" s="61"/>
      <c r="N19" s="60"/>
    </row>
    <row r="20" spans="1:14" ht="16.5" customHeight="1">
      <c r="A20" s="44" t="e">
        <f>Headcount!#REF!</f>
        <v>#REF!</v>
      </c>
      <c r="B20" s="345">
        <f t="shared" si="2"/>
        <v>0</v>
      </c>
      <c r="C20" s="53">
        <f t="shared" si="0"/>
        <v>0</v>
      </c>
      <c r="D20" s="53">
        <f t="shared" si="4"/>
        <v>0</v>
      </c>
      <c r="E20" s="54">
        <f t="shared" si="3"/>
        <v>0</v>
      </c>
      <c r="F20" s="60"/>
      <c r="G20" s="60"/>
      <c r="H20" s="60"/>
      <c r="I20" s="48"/>
      <c r="J20" s="60"/>
      <c r="K20" s="48"/>
      <c r="L20" s="53">
        <f t="shared" si="1"/>
        <v>0</v>
      </c>
      <c r="M20" s="61"/>
      <c r="N20" s="60"/>
    </row>
    <row r="21" spans="1:14" ht="14.25" customHeight="1">
      <c r="A21" s="44">
        <f>Headcount!A21</f>
        <v>17</v>
      </c>
      <c r="B21" s="345">
        <f>$B$10-C20</f>
        <v>0</v>
      </c>
      <c r="C21" s="53">
        <f t="shared" si="0"/>
        <v>0</v>
      </c>
      <c r="D21" s="53">
        <f t="shared" si="4"/>
        <v>0</v>
      </c>
      <c r="E21" s="54">
        <f t="shared" si="3"/>
        <v>0</v>
      </c>
      <c r="F21" s="60"/>
      <c r="G21" s="60"/>
      <c r="H21" s="60"/>
      <c r="I21" s="48"/>
      <c r="J21" s="60"/>
      <c r="K21" s="48"/>
      <c r="L21" s="53">
        <f t="shared" si="1"/>
        <v>0</v>
      </c>
      <c r="M21" s="61"/>
      <c r="N21" s="60"/>
    </row>
    <row r="22" spans="1:14">
      <c r="A22" s="44">
        <f>Headcount!A22</f>
        <v>18</v>
      </c>
      <c r="B22" s="345">
        <f>$B$10-C21</f>
        <v>0</v>
      </c>
      <c r="C22" s="53">
        <f t="shared" si="0"/>
        <v>0</v>
      </c>
      <c r="D22" s="53">
        <f t="shared" si="4"/>
        <v>0</v>
      </c>
      <c r="E22" s="54">
        <f>F22+G22+H22</f>
        <v>0</v>
      </c>
      <c r="F22" s="319"/>
      <c r="G22" s="60"/>
      <c r="H22" s="60"/>
      <c r="I22" s="411"/>
      <c r="J22" s="60"/>
      <c r="K22" s="367"/>
      <c r="L22" s="53">
        <f t="shared" si="1"/>
        <v>0</v>
      </c>
      <c r="M22" s="61"/>
      <c r="N22" s="60"/>
    </row>
    <row r="23" spans="1:14">
      <c r="A23" s="44">
        <f>Headcount!A23</f>
        <v>19</v>
      </c>
      <c r="B23" s="345">
        <f t="shared" ref="B23" si="5">$B$10-C22</f>
        <v>0</v>
      </c>
      <c r="C23" s="53">
        <f t="shared" si="0"/>
        <v>0</v>
      </c>
      <c r="D23" s="53">
        <f t="shared" si="4"/>
        <v>0</v>
      </c>
      <c r="E23" s="54">
        <f>F23+G23+H23</f>
        <v>0</v>
      </c>
      <c r="F23" s="60"/>
      <c r="G23" s="60"/>
      <c r="H23" s="60"/>
      <c r="I23" s="48"/>
      <c r="J23" s="60"/>
      <c r="K23" s="48"/>
      <c r="L23" s="53">
        <f t="shared" si="1"/>
        <v>0</v>
      </c>
      <c r="M23" s="61"/>
      <c r="N23" s="60"/>
    </row>
    <row r="24" spans="1:14">
      <c r="A24" s="44"/>
      <c r="B24" s="345"/>
      <c r="C24" s="53"/>
      <c r="D24" s="53"/>
      <c r="E24" s="54"/>
      <c r="F24" s="60"/>
      <c r="G24" s="60"/>
      <c r="H24" s="60"/>
      <c r="I24" s="48"/>
      <c r="J24" s="60"/>
      <c r="K24" s="48"/>
      <c r="L24" s="53"/>
      <c r="M24" s="61"/>
      <c r="N24" s="60"/>
    </row>
    <row r="25" spans="1:14">
      <c r="A25" s="44"/>
      <c r="B25" s="345"/>
      <c r="C25" s="53"/>
      <c r="D25" s="53"/>
      <c r="E25" s="54"/>
      <c r="F25" s="60"/>
      <c r="G25" s="60"/>
      <c r="H25" s="60"/>
      <c r="I25" s="48"/>
      <c r="J25" s="60"/>
      <c r="K25" s="48"/>
      <c r="L25" s="53"/>
      <c r="M25" s="61"/>
      <c r="N25" s="60"/>
    </row>
    <row r="26" spans="1:14">
      <c r="A26" s="44"/>
      <c r="B26" s="345"/>
      <c r="C26" s="53"/>
      <c r="D26" s="53"/>
      <c r="E26" s="54"/>
      <c r="F26" s="60"/>
      <c r="G26" s="60"/>
      <c r="H26" s="60"/>
      <c r="I26" s="48"/>
      <c r="J26" s="60"/>
      <c r="K26" s="48"/>
      <c r="L26" s="53"/>
      <c r="M26" s="61"/>
      <c r="N26" s="60"/>
    </row>
    <row r="27" spans="1:14">
      <c r="A27" s="44"/>
      <c r="B27" s="345"/>
      <c r="C27" s="53"/>
      <c r="D27" s="53"/>
      <c r="E27" s="54"/>
      <c r="F27" s="60"/>
      <c r="G27" s="60"/>
      <c r="H27" s="60"/>
      <c r="I27" s="48"/>
      <c r="J27" s="60"/>
      <c r="K27" s="48"/>
      <c r="L27" s="53"/>
      <c r="M27" s="61"/>
      <c r="N27" s="60"/>
    </row>
    <row r="28" spans="1:14">
      <c r="A28" s="44"/>
      <c r="B28" s="345"/>
      <c r="C28" s="53"/>
      <c r="D28" s="53"/>
      <c r="E28" s="54"/>
      <c r="F28" s="60"/>
      <c r="G28" s="60"/>
      <c r="H28" s="60"/>
      <c r="I28" s="48"/>
      <c r="J28" s="60"/>
      <c r="K28" s="48"/>
      <c r="L28" s="53"/>
      <c r="M28" s="61"/>
      <c r="N28" s="60"/>
    </row>
    <row r="29" spans="1:14">
      <c r="A29" s="44"/>
      <c r="B29" s="345"/>
      <c r="C29" s="53"/>
      <c r="D29" s="53"/>
      <c r="E29" s="54"/>
      <c r="F29" s="60"/>
      <c r="G29" s="60"/>
      <c r="H29" s="60"/>
      <c r="I29" s="48"/>
      <c r="J29" s="60"/>
      <c r="K29" s="48"/>
      <c r="L29" s="53"/>
      <c r="M29" s="61"/>
      <c r="N29" s="60"/>
    </row>
    <row r="30" spans="1:14">
      <c r="A30" s="44"/>
      <c r="B30" s="345"/>
      <c r="C30" s="53"/>
      <c r="D30" s="53"/>
      <c r="E30" s="54"/>
      <c r="F30" s="60"/>
      <c r="G30" s="60"/>
      <c r="H30" s="60"/>
      <c r="I30" s="48"/>
      <c r="J30" s="60"/>
      <c r="K30" s="48"/>
      <c r="L30" s="53"/>
      <c r="M30" s="61"/>
      <c r="N30" s="60"/>
    </row>
    <row r="31" spans="1:14">
      <c r="A31" s="44"/>
      <c r="B31" s="345"/>
      <c r="C31" s="53"/>
      <c r="D31" s="53"/>
      <c r="E31" s="54"/>
      <c r="F31" s="60"/>
      <c r="G31" s="60"/>
      <c r="H31" s="60"/>
      <c r="I31" s="48"/>
      <c r="J31" s="60"/>
      <c r="K31" s="48"/>
      <c r="L31" s="53"/>
      <c r="M31" s="61"/>
      <c r="N31" s="60"/>
    </row>
    <row r="32" spans="1:14" ht="15.75" thickBot="1">
      <c r="A32" s="217"/>
      <c r="B32" s="343"/>
      <c r="C32" s="339"/>
      <c r="D32" s="339"/>
      <c r="E32" s="356">
        <f>F32+G32+H32</f>
        <v>0</v>
      </c>
      <c r="F32" s="266"/>
      <c r="G32" s="266"/>
      <c r="H32" s="266"/>
      <c r="I32" s="369"/>
      <c r="J32" s="266"/>
      <c r="K32" s="369"/>
      <c r="L32" s="370"/>
      <c r="M32" s="371"/>
      <c r="N32" s="218"/>
    </row>
    <row r="33" spans="1:14" ht="15.75" thickBot="1">
      <c r="A33" s="219" t="s">
        <v>107</v>
      </c>
      <c r="B33" s="226"/>
      <c r="C33" s="227">
        <f>C5*C7</f>
        <v>0</v>
      </c>
      <c r="D33" s="227"/>
      <c r="E33" s="228">
        <f>SUM(E9:E32)</f>
        <v>0</v>
      </c>
      <c r="F33" s="229"/>
      <c r="G33" s="229"/>
      <c r="H33" s="229"/>
      <c r="I33" s="240"/>
      <c r="J33" s="229"/>
      <c r="K33" s="240"/>
      <c r="L33" s="227"/>
      <c r="M33" s="241"/>
      <c r="N33" s="225"/>
    </row>
  </sheetData>
  <mergeCells count="5">
    <mergeCell ref="E7:H7"/>
    <mergeCell ref="I7:K7"/>
    <mergeCell ref="G1:H1"/>
    <mergeCell ref="I1:R2"/>
    <mergeCell ref="G2:H2"/>
  </mergeCells>
  <phoneticPr fontId="16"/>
  <conditionalFormatting sqref="G1:H1">
    <cfRule type="cellIs" dxfId="58" priority="3" operator="lessThan">
      <formula>0</formula>
    </cfRule>
  </conditionalFormatting>
  <conditionalFormatting sqref="M9:M33">
    <cfRule type="cellIs" dxfId="57" priority="1" operator="lessThan">
      <formula>0.75</formula>
    </cfRule>
  </conditionalFormatting>
  <pageMargins left="0.7" right="0.7" top="0.75" bottom="0.75" header="0.3" footer="0.3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8">
    <pageSetUpPr fitToPage="1"/>
  </sheetPr>
  <dimension ref="A1:AD43"/>
  <sheetViews>
    <sheetView showGridLines="0" topLeftCell="J1" zoomScale="85" zoomScaleNormal="85" workbookViewId="0">
      <pane ySplit="2" topLeftCell="A3" activePane="bottomLeft" state="frozen"/>
      <selection activeCell="P8" sqref="P8:P32"/>
      <selection pane="bottomLeft" activeCell="X16" sqref="X16"/>
    </sheetView>
  </sheetViews>
  <sheetFormatPr defaultRowHeight="15"/>
  <cols>
    <col min="1" max="1" width="10.42578125" bestFit="1" customWidth="1"/>
    <col min="2" max="2" width="10.42578125" customWidth="1"/>
    <col min="3" max="3" width="10" customWidth="1"/>
    <col min="4" max="4" width="12.42578125" customWidth="1"/>
    <col min="5" max="5" width="10.42578125" customWidth="1"/>
    <col min="6" max="7" width="11.42578125" customWidth="1"/>
    <col min="8" max="8" width="8.42578125" customWidth="1"/>
    <col min="9" max="9" width="8.5703125" customWidth="1"/>
    <col min="10" max="12" width="11.42578125" customWidth="1"/>
    <col min="13" max="13" width="8.42578125" customWidth="1"/>
    <col min="14" max="14" width="8.5703125" customWidth="1"/>
    <col min="15" max="20" width="11.42578125" customWidth="1"/>
    <col min="21" max="21" width="35.140625" customWidth="1"/>
    <col min="22" max="22" width="15.42578125" customWidth="1"/>
    <col min="23" max="24" width="14" customWidth="1"/>
    <col min="25" max="25" width="12" customWidth="1"/>
    <col min="26" max="26" width="19.42578125" customWidth="1"/>
    <col min="27" max="27" width="21.42578125" customWidth="1"/>
    <col min="28" max="28" width="56" customWidth="1"/>
  </cols>
  <sheetData>
    <row r="1" spans="1:30" ht="46.5">
      <c r="A1" s="40" t="s">
        <v>125</v>
      </c>
      <c r="B1" s="40"/>
      <c r="C1" s="41"/>
      <c r="D1" s="52" t="s">
        <v>59</v>
      </c>
      <c r="E1" s="41"/>
      <c r="F1" s="41"/>
      <c r="G1" s="41"/>
      <c r="H1" s="502">
        <f>F31-D31</f>
        <v>5910</v>
      </c>
      <c r="I1" s="502"/>
      <c r="J1" s="522"/>
      <c r="K1" s="516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8"/>
    </row>
    <row r="2" spans="1:30" ht="46.5">
      <c r="A2" s="40"/>
      <c r="B2" s="40"/>
      <c r="C2" s="41"/>
      <c r="D2" s="52"/>
      <c r="E2" s="41"/>
      <c r="F2" s="41"/>
      <c r="G2" s="41"/>
      <c r="H2" s="503">
        <f>'AD Auto PKY'!H1:I1+CYT!H1</f>
        <v>7671</v>
      </c>
      <c r="I2" s="503"/>
      <c r="J2" s="523"/>
      <c r="K2" s="519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  <c r="AC2" s="520"/>
      <c r="AD2" s="521"/>
    </row>
    <row r="3" spans="1:30">
      <c r="C3" s="524" t="s">
        <v>60</v>
      </c>
      <c r="D3" s="506" t="s">
        <v>61</v>
      </c>
      <c r="E3" t="s">
        <v>5325</v>
      </c>
      <c r="F3" s="65"/>
    </row>
    <row r="4" spans="1:30">
      <c r="C4" s="525"/>
      <c r="D4" s="506"/>
      <c r="E4">
        <v>2</v>
      </c>
      <c r="F4" s="65"/>
      <c r="L4" s="65">
        <f>C9/4000*8</f>
        <v>150</v>
      </c>
    </row>
    <row r="5" spans="1:30">
      <c r="A5" s="23" t="s">
        <v>126</v>
      </c>
      <c r="B5" s="23"/>
      <c r="C5" s="277">
        <v>5000</v>
      </c>
      <c r="D5">
        <f>C5/(4000*E4/8)</f>
        <v>5</v>
      </c>
      <c r="F5" s="4">
        <f>E23/D23</f>
        <v>1.0788</v>
      </c>
      <c r="L5">
        <f>2*C6*8</f>
        <v>240</v>
      </c>
      <c r="M5" s="320">
        <f>L4/L5</f>
        <v>0.625</v>
      </c>
    </row>
    <row r="6" spans="1:30">
      <c r="A6" s="273" t="s">
        <v>39</v>
      </c>
      <c r="B6" s="273"/>
      <c r="C6" s="23">
        <f>Headcount!F7</f>
        <v>15</v>
      </c>
    </row>
    <row r="7" spans="1:30">
      <c r="A7" s="23" t="s">
        <v>40</v>
      </c>
      <c r="B7" s="23"/>
      <c r="C7" s="23">
        <f>Headcount!F8</f>
        <v>15</v>
      </c>
      <c r="D7" s="23"/>
      <c r="E7" s="23"/>
      <c r="F7" s="507" t="s">
        <v>65</v>
      </c>
      <c r="G7" s="507"/>
      <c r="H7" s="507"/>
      <c r="I7" s="507"/>
      <c r="J7" s="507" t="s">
        <v>66</v>
      </c>
      <c r="K7" s="507"/>
      <c r="L7" s="507"/>
      <c r="M7" s="507"/>
      <c r="N7" s="507"/>
      <c r="O7" s="23"/>
      <c r="P7" s="23"/>
      <c r="Q7" s="23"/>
      <c r="R7" s="23"/>
      <c r="S7" s="23"/>
      <c r="T7" s="23"/>
    </row>
    <row r="8" spans="1:30" ht="60">
      <c r="A8" s="42" t="s">
        <v>67</v>
      </c>
      <c r="B8" s="42" t="s">
        <v>68</v>
      </c>
      <c r="C8" s="43" t="s">
        <v>69</v>
      </c>
      <c r="D8" s="42" t="s">
        <v>70</v>
      </c>
      <c r="E8" s="42" t="s">
        <v>71</v>
      </c>
      <c r="F8" s="51" t="s">
        <v>72</v>
      </c>
      <c r="G8" s="42" t="s">
        <v>73</v>
      </c>
      <c r="H8" s="42" t="s">
        <v>74</v>
      </c>
      <c r="I8" s="42" t="s">
        <v>93</v>
      </c>
      <c r="J8" s="47" t="s">
        <v>76</v>
      </c>
      <c r="K8" s="42" t="s">
        <v>77</v>
      </c>
      <c r="L8" s="42" t="s">
        <v>78</v>
      </c>
      <c r="M8" s="42" t="s">
        <v>79</v>
      </c>
      <c r="N8" s="42" t="s">
        <v>100</v>
      </c>
      <c r="O8" s="42" t="s">
        <v>127</v>
      </c>
      <c r="P8" s="285" t="s">
        <v>128</v>
      </c>
      <c r="Q8" s="42" t="s">
        <v>129</v>
      </c>
      <c r="R8" s="42" t="s">
        <v>104</v>
      </c>
      <c r="S8" s="42" t="s">
        <v>103</v>
      </c>
      <c r="T8" s="42" t="s">
        <v>106</v>
      </c>
      <c r="U8" s="42" t="s">
        <v>81</v>
      </c>
      <c r="V8" s="438" t="s">
        <v>82</v>
      </c>
      <c r="W8" s="438" t="s">
        <v>83</v>
      </c>
      <c r="X8" s="438" t="s">
        <v>84</v>
      </c>
      <c r="Y8" s="42" t="s">
        <v>85</v>
      </c>
      <c r="Z8" s="42" t="s">
        <v>86</v>
      </c>
      <c r="AA8" s="42" t="s">
        <v>87</v>
      </c>
    </row>
    <row r="9" spans="1:30" ht="36">
      <c r="A9" s="44">
        <f>Headcount!A10</f>
        <v>2</v>
      </c>
      <c r="B9" s="340">
        <f>$C$5</f>
        <v>5000</v>
      </c>
      <c r="C9" s="341">
        <f>C5*C6</f>
        <v>75000</v>
      </c>
      <c r="D9" s="338">
        <f>C5</f>
        <v>5000</v>
      </c>
      <c r="E9" s="338">
        <f>F9</f>
        <v>6059</v>
      </c>
      <c r="F9" s="302">
        <f t="shared" ref="F9:F18" si="0">G9+H9+I9</f>
        <v>6059</v>
      </c>
      <c r="G9" s="265">
        <v>6059</v>
      </c>
      <c r="H9" s="265">
        <v>0</v>
      </c>
      <c r="I9" s="265">
        <v>0</v>
      </c>
      <c r="J9" s="365">
        <f>L9+M9+N9+O9+P9</f>
        <v>189</v>
      </c>
      <c r="K9" s="346">
        <f>IF(J9=0,0,J9/(J9+F9))</f>
        <v>3.024967989756722E-2</v>
      </c>
      <c r="L9" s="265">
        <v>166</v>
      </c>
      <c r="M9" s="265">
        <v>0</v>
      </c>
      <c r="N9" s="265">
        <v>0</v>
      </c>
      <c r="O9" s="265">
        <v>23</v>
      </c>
      <c r="P9" s="265">
        <v>0</v>
      </c>
      <c r="Q9" s="265">
        <v>9</v>
      </c>
      <c r="R9" s="265">
        <v>23</v>
      </c>
      <c r="S9" s="265">
        <v>0</v>
      </c>
      <c r="T9" s="265">
        <v>25</v>
      </c>
      <c r="U9" s="283" t="s">
        <v>130</v>
      </c>
      <c r="V9" s="439">
        <f>[1]Munka3!$G5</f>
        <v>8</v>
      </c>
      <c r="W9" s="439">
        <f>8*2</f>
        <v>16</v>
      </c>
      <c r="X9" s="483">
        <f>$D$5</f>
        <v>5</v>
      </c>
      <c r="Y9" s="327">
        <v>1</v>
      </c>
      <c r="Z9" s="405">
        <f>AVERAGE($AA$9:AA9)</f>
        <v>0.8881</v>
      </c>
      <c r="AA9" s="335">
        <v>0.8881</v>
      </c>
      <c r="AB9" s="78" t="s">
        <v>131</v>
      </c>
    </row>
    <row r="10" spans="1:30">
      <c r="A10" s="44">
        <f>Headcount!A11</f>
        <v>3</v>
      </c>
      <c r="B10" s="344">
        <f t="shared" ref="B10:B23" si="1">$C$5</f>
        <v>5000</v>
      </c>
      <c r="C10" s="345">
        <f>$C$9-D9</f>
        <v>70000</v>
      </c>
      <c r="D10" s="53">
        <f>D9+$C$5</f>
        <v>10000</v>
      </c>
      <c r="E10" s="53">
        <f t="shared" ref="E10" si="2">IF(E9=0,0,E9+F10)</f>
        <v>11902</v>
      </c>
      <c r="F10" s="54">
        <f t="shared" si="0"/>
        <v>5843</v>
      </c>
      <c r="G10" s="60">
        <v>5843</v>
      </c>
      <c r="H10" s="60">
        <v>0</v>
      </c>
      <c r="I10" s="60">
        <v>0</v>
      </c>
      <c r="J10" s="50">
        <f t="shared" ref="J10:J18" si="3">L10+M10+N10+O10+P10</f>
        <v>164</v>
      </c>
      <c r="K10" s="79">
        <f t="shared" ref="K10:K18" si="4">IF(J10=0,0,J10/(J10+F10))</f>
        <v>2.7301481604794408E-2</v>
      </c>
      <c r="L10" s="60">
        <v>144</v>
      </c>
      <c r="M10" s="60">
        <v>0</v>
      </c>
      <c r="N10" s="60">
        <v>0</v>
      </c>
      <c r="O10" s="60">
        <v>20</v>
      </c>
      <c r="P10" s="60">
        <v>0</v>
      </c>
      <c r="Q10" s="60">
        <v>16</v>
      </c>
      <c r="R10" s="60">
        <v>15</v>
      </c>
      <c r="S10" s="60">
        <v>0</v>
      </c>
      <c r="T10" s="60">
        <v>14</v>
      </c>
      <c r="U10" s="284" t="s">
        <v>132</v>
      </c>
      <c r="V10" s="439">
        <f>[1]Munka3!$G6</f>
        <v>0</v>
      </c>
      <c r="W10" s="439">
        <f t="shared" ref="W10:W21" si="5">8*2</f>
        <v>16</v>
      </c>
      <c r="X10" s="483">
        <f t="shared" ref="X10:X23" si="6">$D$5</f>
        <v>5</v>
      </c>
      <c r="Y10" s="459">
        <v>1</v>
      </c>
      <c r="Z10" s="406">
        <f>AVERAGE($AA$9:AA10)</f>
        <v>0.93159999999999998</v>
      </c>
      <c r="AA10" s="427">
        <v>0.97509999999999997</v>
      </c>
      <c r="AB10" t="s">
        <v>131</v>
      </c>
    </row>
    <row r="11" spans="1:30" ht="24">
      <c r="A11" s="44">
        <f>Headcount!A12</f>
        <v>4</v>
      </c>
      <c r="B11" s="344">
        <f t="shared" si="1"/>
        <v>5000</v>
      </c>
      <c r="C11" s="345">
        <f>$C$9-D10</f>
        <v>65000</v>
      </c>
      <c r="D11" s="53">
        <f t="shared" ref="D11:D23" si="7">D10+$C$5</f>
        <v>15000</v>
      </c>
      <c r="E11" s="53">
        <f t="shared" ref="E11:E12" si="8">IF(E10=0,0,E10+F11)</f>
        <v>17485</v>
      </c>
      <c r="F11" s="54">
        <f t="shared" si="0"/>
        <v>5583</v>
      </c>
      <c r="G11" s="60">
        <v>5583</v>
      </c>
      <c r="H11" s="60">
        <v>0</v>
      </c>
      <c r="I11" s="60">
        <v>0</v>
      </c>
      <c r="J11" s="50">
        <f t="shared" si="3"/>
        <v>81</v>
      </c>
      <c r="K11" s="79">
        <f t="shared" si="4"/>
        <v>1.4300847457627119E-2</v>
      </c>
      <c r="L11" s="60">
        <v>74</v>
      </c>
      <c r="M11" s="60">
        <v>0</v>
      </c>
      <c r="N11" s="60">
        <v>0</v>
      </c>
      <c r="O11" s="60">
        <v>7</v>
      </c>
      <c r="P11" s="60">
        <v>0</v>
      </c>
      <c r="Q11" s="60">
        <v>10</v>
      </c>
      <c r="R11" s="60">
        <v>166</v>
      </c>
      <c r="S11" s="60">
        <v>0</v>
      </c>
      <c r="T11" s="60">
        <v>7</v>
      </c>
      <c r="U11" s="284" t="s">
        <v>133</v>
      </c>
      <c r="V11" s="439">
        <f>[1]Munka3!$G7</f>
        <v>0</v>
      </c>
      <c r="W11" s="439">
        <f t="shared" si="5"/>
        <v>16</v>
      </c>
      <c r="X11" s="483">
        <f t="shared" si="6"/>
        <v>5</v>
      </c>
      <c r="Y11" s="334">
        <v>1</v>
      </c>
      <c r="Z11" s="406">
        <f>AVERAGE($AA$9:AA11)</f>
        <v>0.96383333333333321</v>
      </c>
      <c r="AA11" s="336">
        <v>1.0283</v>
      </c>
    </row>
    <row r="12" spans="1:30" ht="24">
      <c r="A12" s="44">
        <f>Headcount!A13</f>
        <v>5</v>
      </c>
      <c r="B12" s="344">
        <f t="shared" si="1"/>
        <v>5000</v>
      </c>
      <c r="C12" s="345">
        <f>$C$9-D11</f>
        <v>60000</v>
      </c>
      <c r="D12" s="53">
        <f t="shared" si="7"/>
        <v>20000</v>
      </c>
      <c r="E12" s="53">
        <f t="shared" si="8"/>
        <v>22823</v>
      </c>
      <c r="F12" s="54">
        <f t="shared" si="0"/>
        <v>5338</v>
      </c>
      <c r="G12" s="60">
        <v>5338</v>
      </c>
      <c r="H12" s="60">
        <v>0</v>
      </c>
      <c r="I12" s="60">
        <v>0</v>
      </c>
      <c r="J12" s="50">
        <f t="shared" si="3"/>
        <v>112</v>
      </c>
      <c r="K12" s="79">
        <f t="shared" si="4"/>
        <v>2.0550458715596329E-2</v>
      </c>
      <c r="L12" s="60">
        <v>103</v>
      </c>
      <c r="M12" s="60">
        <v>0</v>
      </c>
      <c r="N12" s="60">
        <v>0</v>
      </c>
      <c r="O12" s="60">
        <v>9</v>
      </c>
      <c r="P12" s="60">
        <v>0</v>
      </c>
      <c r="Q12" s="60">
        <v>8</v>
      </c>
      <c r="R12" s="60">
        <v>138</v>
      </c>
      <c r="S12" s="60">
        <v>0</v>
      </c>
      <c r="T12" s="60">
        <v>19</v>
      </c>
      <c r="U12" s="284" t="s">
        <v>134</v>
      </c>
      <c r="V12" s="439">
        <f>[1]Munka3!$G8</f>
        <v>0</v>
      </c>
      <c r="W12" s="439">
        <f t="shared" si="5"/>
        <v>16</v>
      </c>
      <c r="X12" s="483">
        <f t="shared" si="6"/>
        <v>5</v>
      </c>
      <c r="Y12" s="334">
        <v>1</v>
      </c>
      <c r="Z12" s="406">
        <f>AVERAGE($AA$9:AA12)</f>
        <v>0.97057499999999997</v>
      </c>
      <c r="AA12" s="336">
        <v>0.99080000000000001</v>
      </c>
      <c r="AB12" t="s">
        <v>135</v>
      </c>
    </row>
    <row r="13" spans="1:30" ht="16.5" customHeight="1">
      <c r="A13" s="44">
        <f>Headcount!A14</f>
        <v>6</v>
      </c>
      <c r="B13" s="344">
        <f t="shared" si="1"/>
        <v>5000</v>
      </c>
      <c r="C13" s="345">
        <f t="shared" ref="C13:C21" si="9">$C$9-D12</f>
        <v>55000</v>
      </c>
      <c r="D13" s="53">
        <f t="shared" si="7"/>
        <v>25000</v>
      </c>
      <c r="E13" s="53">
        <f t="shared" ref="E13:E22" si="10">IF(E12=0,0,E12+F13)</f>
        <v>29179</v>
      </c>
      <c r="F13" s="54">
        <f t="shared" si="0"/>
        <v>6356</v>
      </c>
      <c r="G13" s="60">
        <v>6356</v>
      </c>
      <c r="H13" s="60">
        <v>0</v>
      </c>
      <c r="I13" s="60">
        <v>0</v>
      </c>
      <c r="J13" s="50">
        <f t="shared" si="3"/>
        <v>85</v>
      </c>
      <c r="K13" s="79">
        <f>IF(J13=0,0,J13/(J13+F13))</f>
        <v>1.319670858562335E-2</v>
      </c>
      <c r="L13" s="60">
        <v>85</v>
      </c>
      <c r="M13" s="60">
        <v>0</v>
      </c>
      <c r="N13" s="60">
        <v>0</v>
      </c>
      <c r="O13" s="60">
        <v>0</v>
      </c>
      <c r="P13" s="60">
        <v>0</v>
      </c>
      <c r="Q13" s="60">
        <v>15</v>
      </c>
      <c r="R13" s="60">
        <v>207</v>
      </c>
      <c r="S13" s="60">
        <v>0</v>
      </c>
      <c r="T13" s="60">
        <v>50</v>
      </c>
      <c r="U13" s="284" t="s">
        <v>136</v>
      </c>
      <c r="V13" s="439">
        <f>[1]Munka3!$G9</f>
        <v>0</v>
      </c>
      <c r="W13" s="439">
        <f t="shared" si="5"/>
        <v>16</v>
      </c>
      <c r="X13" s="483">
        <f t="shared" si="6"/>
        <v>5</v>
      </c>
      <c r="Y13" s="334">
        <v>1</v>
      </c>
      <c r="Z13" s="406">
        <f>AVERAGE($AA$9:AA13)</f>
        <v>1.0258400000000001</v>
      </c>
      <c r="AA13" s="336">
        <v>1.2468999999999999</v>
      </c>
    </row>
    <row r="14" spans="1:30" ht="36">
      <c r="A14" s="44">
        <f>Headcount!A15</f>
        <v>9</v>
      </c>
      <c r="B14" s="344">
        <f t="shared" si="1"/>
        <v>5000</v>
      </c>
      <c r="C14" s="345">
        <f t="shared" si="9"/>
        <v>50000</v>
      </c>
      <c r="D14" s="53">
        <f t="shared" si="7"/>
        <v>30000</v>
      </c>
      <c r="E14" s="53">
        <f t="shared" si="10"/>
        <v>34464</v>
      </c>
      <c r="F14" s="54">
        <f t="shared" si="0"/>
        <v>5285</v>
      </c>
      <c r="G14" s="60">
        <v>5285</v>
      </c>
      <c r="H14" s="60">
        <v>0</v>
      </c>
      <c r="I14" s="60">
        <v>0</v>
      </c>
      <c r="J14" s="50">
        <f>L14+M14+N14+O14+P14</f>
        <v>97</v>
      </c>
      <c r="K14" s="79">
        <f>IF(J14=0,0,J14/(J14+F14))</f>
        <v>1.8023039762170196E-2</v>
      </c>
      <c r="L14" s="60">
        <v>75</v>
      </c>
      <c r="M14" s="60">
        <v>0</v>
      </c>
      <c r="N14" s="60">
        <v>0</v>
      </c>
      <c r="O14" s="60">
        <v>22</v>
      </c>
      <c r="P14" s="60">
        <v>0</v>
      </c>
      <c r="Q14" s="60">
        <v>13</v>
      </c>
      <c r="R14" s="60">
        <v>93</v>
      </c>
      <c r="S14" s="60">
        <v>0</v>
      </c>
      <c r="T14" s="60">
        <v>9</v>
      </c>
      <c r="U14" s="284" t="s">
        <v>137</v>
      </c>
      <c r="V14" s="439">
        <f>[1]Munka3!$G10</f>
        <v>0</v>
      </c>
      <c r="W14" s="439">
        <f t="shared" si="5"/>
        <v>16</v>
      </c>
      <c r="X14" s="483">
        <f t="shared" si="6"/>
        <v>5</v>
      </c>
      <c r="Y14" s="334">
        <v>1</v>
      </c>
      <c r="Z14" s="406">
        <f>AVERAGE($AA$9:AA14)</f>
        <v>1.0111333333333332</v>
      </c>
      <c r="AA14" s="336">
        <v>0.93759999999999999</v>
      </c>
      <c r="AB14" t="s">
        <v>138</v>
      </c>
    </row>
    <row r="15" spans="1:30">
      <c r="A15" s="44">
        <f>Headcount!A16</f>
        <v>10</v>
      </c>
      <c r="B15" s="344">
        <f t="shared" si="1"/>
        <v>5000</v>
      </c>
      <c r="C15" s="345">
        <f t="shared" si="9"/>
        <v>45000</v>
      </c>
      <c r="D15" s="53">
        <f t="shared" si="7"/>
        <v>35000</v>
      </c>
      <c r="E15" s="53">
        <f t="shared" si="10"/>
        <v>42376</v>
      </c>
      <c r="F15" s="54">
        <f t="shared" si="0"/>
        <v>7912</v>
      </c>
      <c r="G15" s="60">
        <v>7912</v>
      </c>
      <c r="H15" s="60">
        <v>0</v>
      </c>
      <c r="I15" s="60">
        <v>0</v>
      </c>
      <c r="J15" s="50">
        <f t="shared" si="3"/>
        <v>44</v>
      </c>
      <c r="K15" s="79">
        <f t="shared" si="4"/>
        <v>5.5304172951231778E-3</v>
      </c>
      <c r="L15" s="60">
        <v>31</v>
      </c>
      <c r="M15" s="60">
        <v>0</v>
      </c>
      <c r="N15" s="60">
        <v>0</v>
      </c>
      <c r="O15" s="60">
        <v>13</v>
      </c>
      <c r="P15" s="60">
        <v>0</v>
      </c>
      <c r="Q15" s="60">
        <v>12</v>
      </c>
      <c r="R15" s="60">
        <v>344</v>
      </c>
      <c r="S15" s="60">
        <v>0</v>
      </c>
      <c r="T15" s="60">
        <v>12</v>
      </c>
      <c r="U15" s="68" t="s">
        <v>139</v>
      </c>
      <c r="V15" s="439">
        <f>[1]Munka3!$G11</f>
        <v>0</v>
      </c>
      <c r="W15" s="439">
        <f t="shared" si="5"/>
        <v>16</v>
      </c>
      <c r="X15" s="483">
        <f t="shared" si="6"/>
        <v>5</v>
      </c>
      <c r="Y15" s="334">
        <v>1</v>
      </c>
      <c r="Z15" s="406">
        <f>AVERAGE($AA$9:AA15)</f>
        <v>1.0186714285714287</v>
      </c>
      <c r="AA15" s="336">
        <v>1.0639000000000001</v>
      </c>
    </row>
    <row r="16" spans="1:30">
      <c r="A16" s="44">
        <f>Headcount!A17</f>
        <v>11</v>
      </c>
      <c r="B16" s="344">
        <f t="shared" si="1"/>
        <v>5000</v>
      </c>
      <c r="C16" s="345">
        <f t="shared" si="9"/>
        <v>40000</v>
      </c>
      <c r="D16" s="53">
        <f t="shared" si="7"/>
        <v>40000</v>
      </c>
      <c r="E16" s="53">
        <f t="shared" si="10"/>
        <v>50128</v>
      </c>
      <c r="F16" s="54">
        <f t="shared" si="0"/>
        <v>7752</v>
      </c>
      <c r="G16" s="60">
        <v>7752</v>
      </c>
      <c r="H16" s="60">
        <v>0</v>
      </c>
      <c r="I16" s="60">
        <v>0</v>
      </c>
      <c r="J16" s="50">
        <f t="shared" si="3"/>
        <v>57</v>
      </c>
      <c r="K16" s="79">
        <f t="shared" si="4"/>
        <v>7.2992700729927005E-3</v>
      </c>
      <c r="L16" s="60">
        <v>57</v>
      </c>
      <c r="M16" s="60">
        <v>0</v>
      </c>
      <c r="N16" s="60">
        <v>0</v>
      </c>
      <c r="O16" s="60">
        <v>0</v>
      </c>
      <c r="P16" s="60">
        <v>0</v>
      </c>
      <c r="Q16" s="60">
        <v>51</v>
      </c>
      <c r="R16" s="60">
        <v>121</v>
      </c>
      <c r="S16" s="60">
        <v>0</v>
      </c>
      <c r="T16" s="60">
        <v>18</v>
      </c>
      <c r="U16" s="68" t="s">
        <v>140</v>
      </c>
      <c r="V16" s="439">
        <f>[1]Munka3!$G12</f>
        <v>0</v>
      </c>
      <c r="W16" s="439">
        <f t="shared" si="5"/>
        <v>16</v>
      </c>
      <c r="X16" s="483">
        <f>$D$5</f>
        <v>5</v>
      </c>
      <c r="Y16" s="334">
        <v>1</v>
      </c>
      <c r="Z16" s="406">
        <f>AVERAGE($AA$9:AA16)</f>
        <v>1.014775</v>
      </c>
      <c r="AA16" s="336">
        <v>0.98750000000000004</v>
      </c>
    </row>
    <row r="17" spans="1:28" ht="14.1" customHeight="1">
      <c r="A17" s="44">
        <f>Headcount!A18</f>
        <v>12</v>
      </c>
      <c r="B17" s="344">
        <f t="shared" si="1"/>
        <v>5000</v>
      </c>
      <c r="C17" s="345">
        <f t="shared" si="9"/>
        <v>35000</v>
      </c>
      <c r="D17" s="53">
        <f t="shared" si="7"/>
        <v>45000</v>
      </c>
      <c r="E17" s="53">
        <f t="shared" si="10"/>
        <v>55914</v>
      </c>
      <c r="F17" s="54">
        <f t="shared" si="0"/>
        <v>5786</v>
      </c>
      <c r="G17" s="60">
        <v>5786</v>
      </c>
      <c r="H17" s="60">
        <v>0</v>
      </c>
      <c r="I17" s="60">
        <v>0</v>
      </c>
      <c r="J17" s="50">
        <f t="shared" si="3"/>
        <v>48</v>
      </c>
      <c r="K17" s="79">
        <f t="shared" si="4"/>
        <v>8.2276311278711E-3</v>
      </c>
      <c r="L17" s="60">
        <v>45</v>
      </c>
      <c r="M17" s="60">
        <v>0</v>
      </c>
      <c r="N17" s="60">
        <v>0</v>
      </c>
      <c r="O17" s="60">
        <v>3</v>
      </c>
      <c r="P17" s="60">
        <v>0</v>
      </c>
      <c r="Q17" s="60">
        <v>153</v>
      </c>
      <c r="R17" s="60">
        <v>18</v>
      </c>
      <c r="S17" s="60">
        <v>0</v>
      </c>
      <c r="T17" s="60">
        <v>9</v>
      </c>
      <c r="U17" s="68" t="s">
        <v>88</v>
      </c>
      <c r="V17" s="439">
        <f>[1]Munka3!$G13</f>
        <v>0</v>
      </c>
      <c r="W17" s="439">
        <f t="shared" si="5"/>
        <v>16</v>
      </c>
      <c r="X17" s="483">
        <f t="shared" si="6"/>
        <v>5</v>
      </c>
      <c r="Y17" s="334">
        <v>1</v>
      </c>
      <c r="Z17" s="406">
        <f>AVERAGE($AA$9:AA17)</f>
        <v>1.0108222222222223</v>
      </c>
      <c r="AA17" s="336">
        <v>0.97919999999999996</v>
      </c>
    </row>
    <row r="18" spans="1:28">
      <c r="A18" s="44">
        <f>Headcount!A19</f>
        <v>13</v>
      </c>
      <c r="B18" s="344">
        <f t="shared" si="1"/>
        <v>5000</v>
      </c>
      <c r="C18" s="345">
        <f t="shared" si="9"/>
        <v>30000</v>
      </c>
      <c r="D18" s="53">
        <f t="shared" si="7"/>
        <v>50000</v>
      </c>
      <c r="E18" s="53">
        <f t="shared" si="10"/>
        <v>62286</v>
      </c>
      <c r="F18" s="54">
        <f t="shared" si="0"/>
        <v>6372</v>
      </c>
      <c r="G18" s="60">
        <v>6372</v>
      </c>
      <c r="H18" s="60">
        <v>0</v>
      </c>
      <c r="I18" s="60">
        <v>0</v>
      </c>
      <c r="J18" s="50">
        <f t="shared" si="3"/>
        <v>82</v>
      </c>
      <c r="K18" s="79">
        <f t="shared" si="4"/>
        <v>1.2705299039355439E-2</v>
      </c>
      <c r="L18" s="60">
        <v>61</v>
      </c>
      <c r="M18" s="60">
        <v>0</v>
      </c>
      <c r="N18" s="60">
        <v>0</v>
      </c>
      <c r="O18" s="60">
        <v>21</v>
      </c>
      <c r="P18" s="60">
        <v>0</v>
      </c>
      <c r="Q18" s="60">
        <v>142</v>
      </c>
      <c r="R18" s="60">
        <v>29</v>
      </c>
      <c r="S18" s="60">
        <v>0</v>
      </c>
      <c r="T18" s="60">
        <v>17</v>
      </c>
      <c r="U18" s="68" t="s">
        <v>88</v>
      </c>
      <c r="V18" s="439">
        <f>[1]Munka3!$G14</f>
        <v>0</v>
      </c>
      <c r="W18" s="439">
        <f t="shared" si="5"/>
        <v>16</v>
      </c>
      <c r="X18" s="483">
        <f t="shared" si="6"/>
        <v>5</v>
      </c>
      <c r="Y18" s="334">
        <v>1</v>
      </c>
      <c r="Z18" s="406">
        <f>AVERAGE($AA$9:AA18)</f>
        <v>1.0067900000000001</v>
      </c>
      <c r="AA18" s="336">
        <v>0.97050000000000003</v>
      </c>
    </row>
    <row r="19" spans="1:28">
      <c r="A19" s="44">
        <f>Headcount!A20</f>
        <v>16</v>
      </c>
      <c r="B19" s="344">
        <f t="shared" si="1"/>
        <v>5000</v>
      </c>
      <c r="C19" s="345">
        <f t="shared" si="9"/>
        <v>25000</v>
      </c>
      <c r="D19" s="53">
        <f t="shared" si="7"/>
        <v>55000</v>
      </c>
      <c r="E19" s="53">
        <f t="shared" si="10"/>
        <v>64007</v>
      </c>
      <c r="F19" s="54">
        <f t="shared" ref="F19:F22" si="11">G19+H19+I19</f>
        <v>1721</v>
      </c>
      <c r="G19" s="60">
        <v>1721</v>
      </c>
      <c r="H19" s="60">
        <v>0</v>
      </c>
      <c r="I19" s="60">
        <v>0</v>
      </c>
      <c r="J19" s="50">
        <f t="shared" ref="J19:J22" si="12">L19+M19+N19+O19+P19</f>
        <v>19</v>
      </c>
      <c r="K19" s="79">
        <f t="shared" ref="K19:K22" si="13">IF(J19=0,0,J19/(J19+F19))</f>
        <v>1.0919540229885057E-2</v>
      </c>
      <c r="L19" s="60">
        <v>19</v>
      </c>
      <c r="M19" s="60">
        <v>0</v>
      </c>
      <c r="N19" s="60">
        <v>0</v>
      </c>
      <c r="O19" s="60">
        <v>0</v>
      </c>
      <c r="P19" s="60">
        <v>0</v>
      </c>
      <c r="Q19" s="60">
        <v>19</v>
      </c>
      <c r="R19" s="60">
        <v>29</v>
      </c>
      <c r="S19" s="60">
        <v>0</v>
      </c>
      <c r="T19" s="60">
        <v>3</v>
      </c>
      <c r="U19" s="68" t="s">
        <v>88</v>
      </c>
      <c r="V19" s="439">
        <f>[1]Munka3!$G15</f>
        <v>0</v>
      </c>
      <c r="W19" s="439">
        <f t="shared" si="5"/>
        <v>16</v>
      </c>
      <c r="X19" s="483">
        <f t="shared" si="6"/>
        <v>5</v>
      </c>
      <c r="Y19" s="334">
        <v>1</v>
      </c>
      <c r="Z19" s="406">
        <f>AVERAGE($AA$9:AA19)</f>
        <v>1.0057545454545453</v>
      </c>
      <c r="AA19" s="336">
        <v>0.99539999999999995</v>
      </c>
    </row>
    <row r="20" spans="1:28">
      <c r="A20" s="44">
        <f>Headcount!A21</f>
        <v>17</v>
      </c>
      <c r="B20" s="344">
        <f t="shared" si="1"/>
        <v>5000</v>
      </c>
      <c r="C20" s="345">
        <f t="shared" si="9"/>
        <v>20000</v>
      </c>
      <c r="D20" s="53">
        <f t="shared" si="7"/>
        <v>60000</v>
      </c>
      <c r="E20" s="53">
        <f t="shared" si="10"/>
        <v>64008</v>
      </c>
      <c r="F20" s="54">
        <f t="shared" si="11"/>
        <v>1</v>
      </c>
      <c r="G20" s="60">
        <v>1</v>
      </c>
      <c r="H20" s="60">
        <v>0</v>
      </c>
      <c r="I20" s="60">
        <v>0</v>
      </c>
      <c r="J20" s="50">
        <f t="shared" si="12"/>
        <v>0</v>
      </c>
      <c r="K20" s="79">
        <f t="shared" si="13"/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8" t="s">
        <v>88</v>
      </c>
      <c r="V20" s="439">
        <f>[1]Munka3!$G16</f>
        <v>0</v>
      </c>
      <c r="W20" s="439">
        <f t="shared" si="5"/>
        <v>16</v>
      </c>
      <c r="X20" s="483">
        <f t="shared" si="6"/>
        <v>5</v>
      </c>
      <c r="Y20" s="334">
        <v>1</v>
      </c>
      <c r="Z20" s="406">
        <f>AVERAGE($AA$9:AA20)</f>
        <v>1.0057545454545453</v>
      </c>
      <c r="AA20" s="336" t="s">
        <v>88</v>
      </c>
      <c r="AB20" s="386"/>
    </row>
    <row r="21" spans="1:28">
      <c r="A21" s="44">
        <f>Headcount!A22</f>
        <v>18</v>
      </c>
      <c r="B21" s="344">
        <f t="shared" si="1"/>
        <v>5000</v>
      </c>
      <c r="C21" s="345">
        <f t="shared" si="9"/>
        <v>15000</v>
      </c>
      <c r="D21" s="53">
        <f t="shared" si="7"/>
        <v>65000</v>
      </c>
      <c r="E21" s="53">
        <f t="shared" si="10"/>
        <v>69757</v>
      </c>
      <c r="F21" s="54">
        <f t="shared" si="11"/>
        <v>5749</v>
      </c>
      <c r="G21" s="60">
        <v>5749</v>
      </c>
      <c r="H21" s="60">
        <v>0</v>
      </c>
      <c r="I21" s="60">
        <v>0</v>
      </c>
      <c r="J21" s="50">
        <f t="shared" si="12"/>
        <v>73</v>
      </c>
      <c r="K21" s="79">
        <f t="shared" si="13"/>
        <v>1.2538646513225695E-2</v>
      </c>
      <c r="L21" s="60">
        <v>55</v>
      </c>
      <c r="M21" s="60">
        <v>0</v>
      </c>
      <c r="N21" s="60">
        <v>0</v>
      </c>
      <c r="O21" s="60">
        <v>18</v>
      </c>
      <c r="P21" s="60">
        <v>0</v>
      </c>
      <c r="Q21" s="60">
        <v>56</v>
      </c>
      <c r="R21" s="60">
        <v>2</v>
      </c>
      <c r="S21" s="60">
        <v>0</v>
      </c>
      <c r="T21" s="60">
        <v>5</v>
      </c>
      <c r="U21" s="68" t="s">
        <v>5341</v>
      </c>
      <c r="V21" s="439">
        <f>[1]Munka3!$G17</f>
        <v>0</v>
      </c>
      <c r="W21" s="439">
        <f t="shared" si="5"/>
        <v>16</v>
      </c>
      <c r="X21" s="483">
        <f t="shared" si="6"/>
        <v>5</v>
      </c>
      <c r="Y21" s="334">
        <v>1</v>
      </c>
      <c r="Z21" s="406">
        <f>AVERAGE($AA$9:AA21)</f>
        <v>1.0098083333333332</v>
      </c>
      <c r="AA21" s="336">
        <v>1.0544</v>
      </c>
    </row>
    <row r="22" spans="1:28">
      <c r="A22" s="44">
        <f>Headcount!A23</f>
        <v>19</v>
      </c>
      <c r="B22" s="344">
        <f t="shared" si="1"/>
        <v>5000</v>
      </c>
      <c r="C22" s="345">
        <f t="shared" ref="C22:C23" si="14">$C$9-D21</f>
        <v>10000</v>
      </c>
      <c r="D22" s="53">
        <f t="shared" si="7"/>
        <v>70000</v>
      </c>
      <c r="E22" s="53">
        <f t="shared" si="10"/>
        <v>76238</v>
      </c>
      <c r="F22" s="54">
        <f t="shared" si="11"/>
        <v>6481</v>
      </c>
      <c r="G22" s="60">
        <v>6481</v>
      </c>
      <c r="H22" s="60">
        <v>0</v>
      </c>
      <c r="I22" s="60">
        <v>0</v>
      </c>
      <c r="J22" s="50">
        <f t="shared" si="12"/>
        <v>30</v>
      </c>
      <c r="K22" s="79">
        <f t="shared" si="13"/>
        <v>4.6075871601904466E-3</v>
      </c>
      <c r="L22" s="60">
        <v>24</v>
      </c>
      <c r="M22" s="60">
        <v>0</v>
      </c>
      <c r="N22" s="60">
        <v>0</v>
      </c>
      <c r="O22" s="60">
        <v>6</v>
      </c>
      <c r="P22" s="60">
        <v>0</v>
      </c>
      <c r="Q22" s="60">
        <v>199</v>
      </c>
      <c r="R22" s="60">
        <v>8</v>
      </c>
      <c r="S22" s="60">
        <v>0</v>
      </c>
      <c r="T22" s="60">
        <v>6</v>
      </c>
      <c r="U22" s="68" t="s">
        <v>88</v>
      </c>
      <c r="V22" s="439">
        <f>[1]Munka3!$G18</f>
        <v>0</v>
      </c>
      <c r="W22" s="439">
        <v>16</v>
      </c>
      <c r="X22" s="483">
        <f t="shared" si="6"/>
        <v>5</v>
      </c>
      <c r="Y22" s="334">
        <v>1</v>
      </c>
      <c r="Z22" s="406">
        <f>AVERAGE($AA$9:AA22)</f>
        <v>1.007353846153846</v>
      </c>
      <c r="AA22" s="336">
        <v>0.97789999999999999</v>
      </c>
    </row>
    <row r="23" spans="1:28" s="66" customFormat="1">
      <c r="A23" s="44">
        <f>Headcount!A24</f>
        <v>20</v>
      </c>
      <c r="B23" s="344">
        <f t="shared" si="1"/>
        <v>5000</v>
      </c>
      <c r="C23" s="345">
        <f t="shared" si="14"/>
        <v>5000</v>
      </c>
      <c r="D23" s="53">
        <f t="shared" si="7"/>
        <v>75000</v>
      </c>
      <c r="E23" s="53">
        <f>IF(E22=0,0,E22+F23)</f>
        <v>80910</v>
      </c>
      <c r="F23" s="54">
        <f t="shared" ref="F23" si="15">G23+H23+I23</f>
        <v>4672</v>
      </c>
      <c r="G23" s="60">
        <v>4672</v>
      </c>
      <c r="H23" s="60">
        <v>0</v>
      </c>
      <c r="I23" s="60">
        <v>0</v>
      </c>
      <c r="J23" s="50">
        <f t="shared" ref="J23" si="16">L23+M23+N23+O23+P23</f>
        <v>34</v>
      </c>
      <c r="K23" s="79">
        <f t="shared" ref="K23" si="17">IF(J23=0,0,J23/(J23+F23))</f>
        <v>7.2248193795155123E-3</v>
      </c>
      <c r="L23" s="70">
        <v>27</v>
      </c>
      <c r="M23" s="60">
        <v>0</v>
      </c>
      <c r="N23" s="60">
        <v>0</v>
      </c>
      <c r="O23" s="70">
        <v>7</v>
      </c>
      <c r="P23" s="70">
        <v>0</v>
      </c>
      <c r="Q23" s="70">
        <v>7</v>
      </c>
      <c r="R23" s="70">
        <v>26</v>
      </c>
      <c r="S23" s="70">
        <v>0</v>
      </c>
      <c r="T23" s="70">
        <v>6</v>
      </c>
      <c r="U23" s="284" t="s">
        <v>88</v>
      </c>
      <c r="V23" s="439">
        <f>[1]Munka3!$G19</f>
        <v>0</v>
      </c>
      <c r="W23" s="439">
        <v>16</v>
      </c>
      <c r="X23" s="483">
        <f t="shared" si="6"/>
        <v>5</v>
      </c>
      <c r="Y23" s="334">
        <v>1</v>
      </c>
      <c r="Z23" s="406">
        <f>AVERAGE($AA$9:AA23)</f>
        <v>1.0032285714285714</v>
      </c>
      <c r="AA23" s="337">
        <v>0.9496</v>
      </c>
      <c r="AB23" s="494"/>
    </row>
    <row r="24" spans="1:28">
      <c r="A24" s="44"/>
      <c r="B24" s="344"/>
      <c r="C24" s="345"/>
      <c r="D24" s="53"/>
      <c r="E24" s="53"/>
      <c r="F24" s="54"/>
      <c r="G24" s="60"/>
      <c r="H24" s="60"/>
      <c r="I24" s="60"/>
      <c r="J24" s="50"/>
      <c r="K24" s="79"/>
      <c r="L24" s="60"/>
      <c r="M24" s="60"/>
      <c r="N24" s="60"/>
      <c r="O24" s="60"/>
      <c r="P24" s="60"/>
      <c r="Q24" s="60"/>
      <c r="R24" s="60"/>
      <c r="S24" s="60"/>
      <c r="T24" s="60"/>
      <c r="U24" s="68"/>
      <c r="V24" s="439"/>
      <c r="W24" s="439"/>
      <c r="X24" s="483"/>
      <c r="Y24" s="334"/>
      <c r="Z24" s="406"/>
      <c r="AA24" s="336"/>
    </row>
    <row r="25" spans="1:28">
      <c r="A25" s="44"/>
      <c r="B25" s="344"/>
      <c r="C25" s="345"/>
      <c r="D25" s="53"/>
      <c r="E25" s="53"/>
      <c r="F25" s="54"/>
      <c r="G25" s="60"/>
      <c r="H25" s="60"/>
      <c r="I25" s="60"/>
      <c r="J25" s="50"/>
      <c r="K25" s="79"/>
      <c r="L25" s="70"/>
      <c r="M25" s="60"/>
      <c r="N25" s="60"/>
      <c r="O25" s="70"/>
      <c r="P25" s="70"/>
      <c r="Q25" s="70"/>
      <c r="R25" s="70"/>
      <c r="S25" s="70"/>
      <c r="T25" s="70"/>
      <c r="U25" s="282"/>
      <c r="V25" s="439"/>
      <c r="W25" s="439"/>
      <c r="X25" s="483"/>
      <c r="Y25" s="334"/>
      <c r="Z25" s="406"/>
      <c r="AA25" s="337"/>
    </row>
    <row r="26" spans="1:28" ht="14.1" customHeight="1">
      <c r="A26" s="44"/>
      <c r="B26" s="344"/>
      <c r="C26" s="345"/>
      <c r="D26" s="53"/>
      <c r="E26" s="53"/>
      <c r="F26" s="54"/>
      <c r="G26" s="60"/>
      <c r="H26" s="60"/>
      <c r="I26" s="60"/>
      <c r="J26" s="50"/>
      <c r="K26" s="79"/>
      <c r="L26" s="60"/>
      <c r="M26" s="60"/>
      <c r="N26" s="60"/>
      <c r="O26" s="60"/>
      <c r="P26" s="70"/>
      <c r="Q26" s="70"/>
      <c r="R26" s="70"/>
      <c r="S26" s="70"/>
      <c r="T26" s="70"/>
      <c r="U26" s="282"/>
      <c r="V26" s="439"/>
      <c r="W26" s="439"/>
      <c r="X26" s="483"/>
      <c r="Y26" s="334"/>
      <c r="Z26" s="406"/>
      <c r="AA26" s="337"/>
    </row>
    <row r="27" spans="1:28">
      <c r="A27" s="44"/>
      <c r="B27" s="344"/>
      <c r="C27" s="345"/>
      <c r="D27" s="53"/>
      <c r="E27" s="53"/>
      <c r="F27" s="54"/>
      <c r="G27" s="60"/>
      <c r="H27" s="60"/>
      <c r="I27" s="60"/>
      <c r="J27" s="50"/>
      <c r="K27" s="79"/>
      <c r="L27" s="70"/>
      <c r="M27" s="60"/>
      <c r="N27" s="60"/>
      <c r="O27" s="70"/>
      <c r="P27" s="70"/>
      <c r="Q27" s="70"/>
      <c r="R27" s="70"/>
      <c r="S27" s="70"/>
      <c r="T27" s="70"/>
      <c r="U27" s="284"/>
      <c r="V27" s="439"/>
      <c r="W27" s="439"/>
      <c r="X27" s="483"/>
      <c r="Y27" s="334"/>
      <c r="Z27" s="406"/>
      <c r="AA27" s="337"/>
    </row>
    <row r="28" spans="1:28">
      <c r="A28" s="44"/>
      <c r="B28" s="344"/>
      <c r="C28" s="345"/>
      <c r="D28" s="53"/>
      <c r="E28" s="53"/>
      <c r="F28" s="54"/>
      <c r="G28" s="60"/>
      <c r="H28" s="60"/>
      <c r="I28" s="60"/>
      <c r="J28" s="50"/>
      <c r="K28" s="79"/>
      <c r="L28" s="60"/>
      <c r="M28" s="60"/>
      <c r="N28" s="60"/>
      <c r="O28" s="60"/>
      <c r="P28" s="60"/>
      <c r="Q28" s="60"/>
      <c r="R28" s="60"/>
      <c r="S28" s="60"/>
      <c r="T28" s="60"/>
      <c r="U28" s="68"/>
      <c r="V28" s="439"/>
      <c r="W28" s="439"/>
      <c r="X28" s="483"/>
      <c r="Y28" s="334"/>
      <c r="Z28" s="406"/>
      <c r="AA28" s="336"/>
    </row>
    <row r="29" spans="1:28" ht="14.1" customHeight="1">
      <c r="A29" s="44"/>
      <c r="B29" s="344"/>
      <c r="C29" s="345"/>
      <c r="D29" s="53"/>
      <c r="E29" s="53"/>
      <c r="F29" s="54"/>
      <c r="G29" s="60"/>
      <c r="H29" s="60"/>
      <c r="I29" s="60"/>
      <c r="J29" s="50"/>
      <c r="K29" s="79"/>
      <c r="L29" s="60"/>
      <c r="M29" s="60"/>
      <c r="N29" s="60"/>
      <c r="O29" s="60"/>
      <c r="P29" s="70"/>
      <c r="Q29" s="70"/>
      <c r="R29" s="70"/>
      <c r="S29" s="70"/>
      <c r="T29" s="70"/>
      <c r="U29" s="282"/>
      <c r="V29" s="439"/>
      <c r="W29" s="439"/>
      <c r="X29" s="483"/>
      <c r="Y29" s="334"/>
      <c r="Z29" s="406"/>
      <c r="AA29" s="337"/>
    </row>
    <row r="30" spans="1:28" ht="14.1" customHeight="1">
      <c r="A30" s="44"/>
      <c r="B30" s="344"/>
      <c r="C30" s="345"/>
      <c r="D30" s="53"/>
      <c r="E30" s="53"/>
      <c r="F30" s="54"/>
      <c r="G30" s="60"/>
      <c r="H30" s="60"/>
      <c r="I30" s="60"/>
      <c r="J30" s="50"/>
      <c r="K30" s="79"/>
      <c r="L30" s="70"/>
      <c r="M30" s="60"/>
      <c r="N30" s="70"/>
      <c r="O30" s="331"/>
      <c r="P30" s="331"/>
      <c r="Q30" s="331"/>
      <c r="R30" s="331"/>
      <c r="S30" s="331"/>
      <c r="T30" s="331"/>
      <c r="U30" s="331"/>
      <c r="V30" s="439"/>
      <c r="W30" s="439"/>
      <c r="X30" s="483"/>
      <c r="Y30" s="334"/>
      <c r="Z30" s="406"/>
      <c r="AA30" s="337"/>
    </row>
    <row r="31" spans="1:28" ht="15.75" thickBot="1">
      <c r="A31" s="219" t="s">
        <v>107</v>
      </c>
      <c r="B31" s="315"/>
      <c r="C31" s="226"/>
      <c r="D31" s="234">
        <f>C7*C5</f>
        <v>75000</v>
      </c>
      <c r="E31" s="227"/>
      <c r="F31" s="228">
        <f>SUM(F9:F29)</f>
        <v>80910</v>
      </c>
      <c r="G31" s="235"/>
      <c r="H31" s="235"/>
      <c r="I31" s="235"/>
      <c r="J31" s="236"/>
      <c r="K31" s="231"/>
      <c r="L31" s="235">
        <f>SUM(L9:L30)</f>
        <v>966</v>
      </c>
      <c r="M31" s="235">
        <f t="shared" ref="M31:R31" si="18">SUM(M9:M30)</f>
        <v>0</v>
      </c>
      <c r="N31" s="235">
        <f t="shared" si="18"/>
        <v>0</v>
      </c>
      <c r="O31" s="235">
        <f t="shared" si="18"/>
        <v>149</v>
      </c>
      <c r="P31" s="235">
        <f>SUM(P9:P30)</f>
        <v>0</v>
      </c>
      <c r="Q31" s="235">
        <f>SUM(Q9:Q30)</f>
        <v>710</v>
      </c>
      <c r="R31" s="235">
        <f t="shared" si="18"/>
        <v>1219</v>
      </c>
      <c r="S31" s="235">
        <f>SUM(S9:S30)</f>
        <v>0</v>
      </c>
      <c r="T31" s="235">
        <f>SUM(T9:T30)</f>
        <v>200</v>
      </c>
      <c r="U31" s="237"/>
      <c r="V31" s="326"/>
      <c r="W31" s="326"/>
      <c r="X31" s="326"/>
      <c r="Y31" s="326"/>
      <c r="Z31" s="420"/>
      <c r="AA31" s="235"/>
    </row>
    <row r="32" spans="1:28" ht="15.75" thickBot="1">
      <c r="F32" s="65"/>
    </row>
    <row r="33" spans="6:21">
      <c r="F33" s="26"/>
      <c r="L33" s="526" t="s">
        <v>141</v>
      </c>
      <c r="M33" s="527"/>
      <c r="N33" s="238">
        <f>L31+M31+N31+O31+Q31+R31+T31+P31</f>
        <v>3244</v>
      </c>
    </row>
    <row r="34" spans="6:21" ht="15.75" thickBot="1">
      <c r="L34" s="513" t="s">
        <v>142</v>
      </c>
      <c r="M34" s="514"/>
      <c r="N34" s="233">
        <f>L31+M31+N31+O31+T31</f>
        <v>1315</v>
      </c>
    </row>
    <row r="43" spans="6:21">
      <c r="U43" t="s">
        <v>143</v>
      </c>
    </row>
  </sheetData>
  <mergeCells count="9">
    <mergeCell ref="L33:M33"/>
    <mergeCell ref="L34:M34"/>
    <mergeCell ref="F7:I7"/>
    <mergeCell ref="J7:N7"/>
    <mergeCell ref="K1:AD2"/>
    <mergeCell ref="H1:J1"/>
    <mergeCell ref="H2:J2"/>
    <mergeCell ref="C3:C4"/>
    <mergeCell ref="D3:D4"/>
  </mergeCells>
  <phoneticPr fontId="16"/>
  <conditionalFormatting sqref="H1">
    <cfRule type="cellIs" dxfId="56" priority="4" operator="lessThan">
      <formula>0</formula>
    </cfRule>
  </conditionalFormatting>
  <conditionalFormatting sqref="K9:K31">
    <cfRule type="cellIs" dxfId="55" priority="1" operator="greaterThan">
      <formula>0.1</formula>
    </cfRule>
  </conditionalFormatting>
  <pageMargins left="0.7" right="0.7" top="0.75" bottom="0.75" header="0.3" footer="0.3"/>
  <pageSetup paperSize="9" scale="2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10">
    <pageSetUpPr fitToPage="1"/>
  </sheetPr>
  <dimension ref="A1:O35"/>
  <sheetViews>
    <sheetView showGridLines="0" zoomScale="80" zoomScaleNormal="80" workbookViewId="0">
      <pane ySplit="2" topLeftCell="A3" activePane="bottomLeft" state="frozen"/>
      <selection activeCell="P8" sqref="P8:P32"/>
      <selection pane="bottomLeft" activeCell="C5" sqref="C5"/>
    </sheetView>
  </sheetViews>
  <sheetFormatPr defaultRowHeight="15"/>
  <cols>
    <col min="1" max="1" width="9.42578125" bestFit="1" customWidth="1"/>
    <col min="2" max="2" width="15.42578125" customWidth="1"/>
    <col min="3" max="3" width="16.42578125" customWidth="1"/>
    <col min="4" max="4" width="19.42578125" bestFit="1" customWidth="1"/>
    <col min="5" max="5" width="13.42578125" bestFit="1" customWidth="1"/>
    <col min="6" max="6" width="12.42578125" customWidth="1"/>
    <col min="7" max="7" width="9.42578125" bestFit="1" customWidth="1"/>
    <col min="8" max="8" width="16.42578125" customWidth="1"/>
    <col min="14" max="14" width="13.42578125" customWidth="1"/>
  </cols>
  <sheetData>
    <row r="1" spans="1:15" ht="46.5">
      <c r="A1" s="40" t="s">
        <v>144</v>
      </c>
      <c r="B1" s="41"/>
      <c r="C1" s="52" t="s">
        <v>59</v>
      </c>
      <c r="D1" s="41"/>
      <c r="E1" s="41"/>
      <c r="F1" s="41"/>
      <c r="G1" s="502">
        <f>E31-C31</f>
        <v>0</v>
      </c>
      <c r="H1" s="502"/>
      <c r="I1" s="76"/>
      <c r="J1" s="76"/>
      <c r="K1" s="76"/>
      <c r="L1" s="76"/>
    </row>
    <row r="2" spans="1:15" ht="46.5">
      <c r="A2" s="40" t="s">
        <v>145</v>
      </c>
      <c r="B2" s="41"/>
      <c r="C2" s="52"/>
      <c r="D2" s="41"/>
      <c r="E2" s="41"/>
      <c r="F2" s="41"/>
      <c r="G2" s="503"/>
      <c r="H2" s="503"/>
      <c r="I2" s="76"/>
      <c r="J2" s="76"/>
      <c r="K2" s="76"/>
      <c r="L2" s="76"/>
    </row>
    <row r="3" spans="1:15">
      <c r="E3" s="65"/>
    </row>
    <row r="4" spans="1:15">
      <c r="E4" s="65"/>
    </row>
    <row r="5" spans="1:15">
      <c r="B5" s="23" t="s">
        <v>112</v>
      </c>
      <c r="C5" s="277">
        <v>0</v>
      </c>
      <c r="E5" s="4" t="e">
        <f>D9/C9</f>
        <v>#DIV/0!</v>
      </c>
    </row>
    <row r="6" spans="1:15">
      <c r="B6" s="273" t="s">
        <v>39</v>
      </c>
      <c r="C6" s="23">
        <f>Headcount!F7</f>
        <v>15</v>
      </c>
    </row>
    <row r="7" spans="1:15">
      <c r="B7" s="23" t="s">
        <v>40</v>
      </c>
      <c r="C7" s="23">
        <f>Headcount!F8</f>
        <v>15</v>
      </c>
      <c r="D7" s="23"/>
      <c r="E7" s="507" t="s">
        <v>65</v>
      </c>
      <c r="F7" s="507"/>
      <c r="G7" s="507"/>
      <c r="H7" s="507"/>
      <c r="I7" s="507" t="s">
        <v>66</v>
      </c>
      <c r="J7" s="507"/>
      <c r="K7" s="507"/>
      <c r="L7" s="507"/>
      <c r="M7" s="507"/>
    </row>
    <row r="8" spans="1:15" ht="36">
      <c r="A8" s="42" t="s">
        <v>114</v>
      </c>
      <c r="B8" s="43" t="s">
        <v>69</v>
      </c>
      <c r="C8" s="42" t="s">
        <v>115</v>
      </c>
      <c r="D8" s="42" t="s">
        <v>116</v>
      </c>
      <c r="E8" s="51" t="s">
        <v>117</v>
      </c>
      <c r="F8" s="42" t="s">
        <v>73</v>
      </c>
      <c r="G8" s="42" t="s">
        <v>74</v>
      </c>
      <c r="H8" s="42" t="s">
        <v>93</v>
      </c>
      <c r="I8" s="47" t="s">
        <v>76</v>
      </c>
      <c r="J8" s="42" t="s">
        <v>77</v>
      </c>
      <c r="K8" s="42" t="s">
        <v>78</v>
      </c>
      <c r="L8" s="42" t="s">
        <v>79</v>
      </c>
      <c r="M8" s="42" t="s">
        <v>100</v>
      </c>
      <c r="N8" s="42" t="s">
        <v>81</v>
      </c>
      <c r="O8" s="42" t="s">
        <v>124</v>
      </c>
    </row>
    <row r="9" spans="1:15">
      <c r="A9" s="44">
        <f>Headcount!A10</f>
        <v>2</v>
      </c>
      <c r="B9" s="341">
        <f>C5*C6</f>
        <v>0</v>
      </c>
      <c r="C9" s="338">
        <f>C5</f>
        <v>0</v>
      </c>
      <c r="D9" s="338">
        <f>E9</f>
        <v>0</v>
      </c>
      <c r="E9" s="54">
        <f>F9+G9+H9</f>
        <v>0</v>
      </c>
      <c r="F9" s="59"/>
      <c r="G9" s="59">
        <v>0</v>
      </c>
      <c r="H9" s="59">
        <v>0</v>
      </c>
      <c r="I9" s="55">
        <f>K9+L9+M9</f>
        <v>0</v>
      </c>
      <c r="J9" s="79">
        <f>IF(I9=0,0,I9/(I9+E9))</f>
        <v>0</v>
      </c>
      <c r="K9" s="59"/>
      <c r="L9" s="265">
        <v>0</v>
      </c>
      <c r="M9" s="265">
        <v>0</v>
      </c>
      <c r="N9" s="69"/>
      <c r="O9" s="460"/>
    </row>
    <row r="10" spans="1:15">
      <c r="A10" s="44">
        <f>Headcount!A11</f>
        <v>3</v>
      </c>
      <c r="B10" s="345">
        <f>B9-$C$5</f>
        <v>0</v>
      </c>
      <c r="C10" s="53">
        <f t="shared" ref="C10:C26" si="0">C9+$C$5</f>
        <v>0</v>
      </c>
      <c r="D10" s="53">
        <f t="shared" ref="D10" si="1">IF(E10=0,0,D9+E10)</f>
        <v>0</v>
      </c>
      <c r="E10" s="54">
        <f>F10+G10+H10</f>
        <v>0</v>
      </c>
      <c r="F10" s="60"/>
      <c r="G10" s="60">
        <v>0</v>
      </c>
      <c r="H10" s="60">
        <v>0</v>
      </c>
      <c r="I10" s="55">
        <f>K10+L10+M10</f>
        <v>0</v>
      </c>
      <c r="J10" s="79">
        <f t="shared" ref="J10:J17" si="2">IF(I10=0,0,I10/(I10+E10))</f>
        <v>0</v>
      </c>
      <c r="K10" s="60"/>
      <c r="L10" s="60">
        <v>0</v>
      </c>
      <c r="M10" s="60">
        <v>0</v>
      </c>
      <c r="N10" s="68"/>
      <c r="O10" s="349"/>
    </row>
    <row r="11" spans="1:15">
      <c r="A11" s="44">
        <f>Headcount!A12</f>
        <v>4</v>
      </c>
      <c r="B11" s="345">
        <f t="shared" ref="B11:B26" si="3">B10-$C$5</f>
        <v>0</v>
      </c>
      <c r="C11" s="53">
        <f t="shared" si="0"/>
        <v>0</v>
      </c>
      <c r="D11" s="53"/>
      <c r="E11" s="54">
        <f>F11+G11+H11</f>
        <v>0</v>
      </c>
      <c r="F11" s="60"/>
      <c r="G11" s="60">
        <v>0</v>
      </c>
      <c r="H11" s="60">
        <v>0</v>
      </c>
      <c r="I11" s="55">
        <f>K11+L11+M11</f>
        <v>0</v>
      </c>
      <c r="J11" s="79">
        <f t="shared" si="2"/>
        <v>0</v>
      </c>
      <c r="K11" s="60"/>
      <c r="L11" s="60">
        <v>0</v>
      </c>
      <c r="M11" s="60">
        <v>0</v>
      </c>
      <c r="N11" s="68"/>
      <c r="O11" s="349"/>
    </row>
    <row r="12" spans="1:15">
      <c r="A12" s="44">
        <f>Headcount!A13</f>
        <v>5</v>
      </c>
      <c r="B12" s="345">
        <f t="shared" si="3"/>
        <v>0</v>
      </c>
      <c r="C12" s="53">
        <f t="shared" si="0"/>
        <v>0</v>
      </c>
      <c r="D12" s="53"/>
      <c r="E12" s="54">
        <f t="shared" ref="E12:E18" si="4">F12+G12+H12</f>
        <v>0</v>
      </c>
      <c r="F12" s="60"/>
      <c r="G12" s="60">
        <v>0</v>
      </c>
      <c r="H12" s="60">
        <v>0</v>
      </c>
      <c r="I12" s="55">
        <f>K12+L12+M12</f>
        <v>0</v>
      </c>
      <c r="J12" s="79">
        <f t="shared" si="2"/>
        <v>0</v>
      </c>
      <c r="K12" s="60"/>
      <c r="L12" s="60">
        <v>0</v>
      </c>
      <c r="M12" s="60">
        <v>0</v>
      </c>
      <c r="N12" s="68"/>
      <c r="O12" s="349"/>
    </row>
    <row r="13" spans="1:15">
      <c r="A13" s="44">
        <f>Headcount!A14</f>
        <v>6</v>
      </c>
      <c r="B13" s="345">
        <f t="shared" si="3"/>
        <v>0</v>
      </c>
      <c r="C13" s="53">
        <f t="shared" si="0"/>
        <v>0</v>
      </c>
      <c r="D13" s="53"/>
      <c r="E13" s="54">
        <f t="shared" si="4"/>
        <v>0</v>
      </c>
      <c r="F13" s="60"/>
      <c r="G13" s="60">
        <v>0</v>
      </c>
      <c r="H13" s="60">
        <v>0</v>
      </c>
      <c r="I13" s="55">
        <f t="shared" ref="I13:I17" si="5">K13+L13+M13</f>
        <v>0</v>
      </c>
      <c r="J13" s="79">
        <f t="shared" si="2"/>
        <v>0</v>
      </c>
      <c r="K13" s="60"/>
      <c r="L13" s="60">
        <v>0</v>
      </c>
      <c r="M13" s="60">
        <v>0</v>
      </c>
      <c r="N13" s="68"/>
      <c r="O13" s="349"/>
    </row>
    <row r="14" spans="1:15">
      <c r="A14" s="44">
        <f>Headcount!A15</f>
        <v>9</v>
      </c>
      <c r="B14" s="345">
        <f>B13-$C$5</f>
        <v>0</v>
      </c>
      <c r="C14" s="53">
        <f t="shared" si="0"/>
        <v>0</v>
      </c>
      <c r="D14" s="53"/>
      <c r="E14" s="54">
        <f>F14+G14+H14</f>
        <v>0</v>
      </c>
      <c r="F14" s="60"/>
      <c r="G14" s="60">
        <v>0</v>
      </c>
      <c r="H14" s="60">
        <v>0</v>
      </c>
      <c r="I14" s="55">
        <f t="shared" si="5"/>
        <v>0</v>
      </c>
      <c r="J14" s="79">
        <v>0</v>
      </c>
      <c r="K14" s="60"/>
      <c r="L14" s="60">
        <v>0</v>
      </c>
      <c r="M14" s="60">
        <v>0</v>
      </c>
      <c r="N14" s="68"/>
      <c r="O14" s="349"/>
    </row>
    <row r="15" spans="1:15">
      <c r="A15" s="44">
        <f>Headcount!A16</f>
        <v>10</v>
      </c>
      <c r="B15" s="345">
        <f t="shared" si="3"/>
        <v>0</v>
      </c>
      <c r="C15" s="53">
        <f t="shared" si="0"/>
        <v>0</v>
      </c>
      <c r="D15" s="53"/>
      <c r="E15" s="54">
        <f t="shared" si="4"/>
        <v>0</v>
      </c>
      <c r="F15" s="60"/>
      <c r="G15" s="60">
        <v>0</v>
      </c>
      <c r="H15" s="60">
        <v>0</v>
      </c>
      <c r="I15" s="55">
        <f t="shared" si="5"/>
        <v>0</v>
      </c>
      <c r="J15" s="79">
        <f t="shared" si="2"/>
        <v>0</v>
      </c>
      <c r="K15" s="60"/>
      <c r="L15" s="60">
        <v>0</v>
      </c>
      <c r="M15" s="60">
        <v>0</v>
      </c>
      <c r="N15" s="68"/>
      <c r="O15" s="349"/>
    </row>
    <row r="16" spans="1:15">
      <c r="A16" s="44">
        <f>Headcount!A17</f>
        <v>11</v>
      </c>
      <c r="B16" s="345">
        <f t="shared" si="3"/>
        <v>0</v>
      </c>
      <c r="C16" s="53">
        <f t="shared" si="0"/>
        <v>0</v>
      </c>
      <c r="D16" s="53"/>
      <c r="E16" s="54">
        <f t="shared" si="4"/>
        <v>0</v>
      </c>
      <c r="F16" s="60"/>
      <c r="G16" s="60">
        <v>0</v>
      </c>
      <c r="H16" s="60">
        <v>0</v>
      </c>
      <c r="I16" s="55">
        <f t="shared" si="5"/>
        <v>0</v>
      </c>
      <c r="J16" s="79">
        <f t="shared" si="2"/>
        <v>0</v>
      </c>
      <c r="K16" s="60"/>
      <c r="L16" s="60">
        <v>0</v>
      </c>
      <c r="M16" s="60">
        <v>0</v>
      </c>
      <c r="N16" s="60"/>
      <c r="O16" s="336"/>
    </row>
    <row r="17" spans="1:15">
      <c r="A17" s="44">
        <f>Headcount!A18</f>
        <v>12</v>
      </c>
      <c r="B17" s="345">
        <f t="shared" si="3"/>
        <v>0</v>
      </c>
      <c r="C17" s="53">
        <f t="shared" si="0"/>
        <v>0</v>
      </c>
      <c r="D17" s="53"/>
      <c r="E17" s="54">
        <f t="shared" si="4"/>
        <v>0</v>
      </c>
      <c r="F17" s="60"/>
      <c r="G17" s="60">
        <v>0</v>
      </c>
      <c r="H17" s="60">
        <v>0</v>
      </c>
      <c r="I17" s="55">
        <f t="shared" si="5"/>
        <v>0</v>
      </c>
      <c r="J17" s="79">
        <f t="shared" si="2"/>
        <v>0</v>
      </c>
      <c r="K17" s="60"/>
      <c r="L17" s="60">
        <v>0</v>
      </c>
      <c r="M17" s="60">
        <v>0</v>
      </c>
      <c r="N17" s="60"/>
      <c r="O17" s="336"/>
    </row>
    <row r="18" spans="1:15">
      <c r="A18" s="44">
        <f>Headcount!A19</f>
        <v>13</v>
      </c>
      <c r="B18" s="345">
        <f t="shared" si="3"/>
        <v>0</v>
      </c>
      <c r="C18" s="53">
        <f t="shared" si="0"/>
        <v>0</v>
      </c>
      <c r="D18" s="53"/>
      <c r="E18" s="54">
        <f t="shared" si="4"/>
        <v>0</v>
      </c>
      <c r="F18" s="60"/>
      <c r="G18" s="60">
        <v>0</v>
      </c>
      <c r="H18" s="60">
        <v>0</v>
      </c>
      <c r="I18" s="55">
        <f t="shared" ref="I18:I21" si="6">K18+L18+M18</f>
        <v>0</v>
      </c>
      <c r="J18" s="79">
        <f t="shared" ref="J18:J21" si="7">IF(I18=0,0,I18/(I18+E18))</f>
        <v>0</v>
      </c>
      <c r="K18" s="60"/>
      <c r="L18" s="60">
        <v>0</v>
      </c>
      <c r="M18" s="60">
        <v>0</v>
      </c>
      <c r="N18" s="60"/>
      <c r="O18" s="336"/>
    </row>
    <row r="19" spans="1:15">
      <c r="A19" s="44">
        <f>Headcount!A20</f>
        <v>16</v>
      </c>
      <c r="B19" s="345">
        <f t="shared" si="3"/>
        <v>0</v>
      </c>
      <c r="C19" s="53">
        <f t="shared" si="0"/>
        <v>0</v>
      </c>
      <c r="D19" s="53"/>
      <c r="E19" s="54">
        <f t="shared" ref="E19:E21" si="8">F19+G19+H19</f>
        <v>0</v>
      </c>
      <c r="F19" s="60"/>
      <c r="G19" s="60">
        <v>0</v>
      </c>
      <c r="H19" s="60">
        <v>0</v>
      </c>
      <c r="I19" s="55">
        <f t="shared" si="6"/>
        <v>0</v>
      </c>
      <c r="J19" s="79">
        <f t="shared" si="7"/>
        <v>0</v>
      </c>
      <c r="K19" s="60"/>
      <c r="L19" s="60">
        <v>0</v>
      </c>
      <c r="M19" s="60">
        <v>0</v>
      </c>
      <c r="N19" s="60"/>
      <c r="O19" s="336"/>
    </row>
    <row r="20" spans="1:15">
      <c r="A20" s="44">
        <f>Headcount!A21</f>
        <v>17</v>
      </c>
      <c r="B20" s="345">
        <f t="shared" si="3"/>
        <v>0</v>
      </c>
      <c r="C20" s="53">
        <f t="shared" si="0"/>
        <v>0</v>
      </c>
      <c r="D20" s="53"/>
      <c r="E20" s="54">
        <f t="shared" si="8"/>
        <v>0</v>
      </c>
      <c r="F20" s="60"/>
      <c r="G20" s="60">
        <v>0</v>
      </c>
      <c r="H20" s="60">
        <v>0</v>
      </c>
      <c r="I20" s="55">
        <f t="shared" si="6"/>
        <v>0</v>
      </c>
      <c r="J20" s="79">
        <f t="shared" si="7"/>
        <v>0</v>
      </c>
      <c r="K20" s="60"/>
      <c r="L20" s="60">
        <v>0</v>
      </c>
      <c r="M20" s="60">
        <v>0</v>
      </c>
      <c r="N20" s="60"/>
      <c r="O20" s="336"/>
    </row>
    <row r="21" spans="1:15">
      <c r="A21" s="44">
        <f>Headcount!A22</f>
        <v>18</v>
      </c>
      <c r="B21" s="345">
        <f t="shared" si="3"/>
        <v>0</v>
      </c>
      <c r="C21" s="53">
        <f t="shared" si="0"/>
        <v>0</v>
      </c>
      <c r="D21" s="53"/>
      <c r="E21" s="54">
        <f t="shared" si="8"/>
        <v>0</v>
      </c>
      <c r="F21" s="60"/>
      <c r="G21" s="60">
        <v>0</v>
      </c>
      <c r="H21" s="60">
        <v>0</v>
      </c>
      <c r="I21" s="55">
        <f t="shared" si="6"/>
        <v>0</v>
      </c>
      <c r="J21" s="79">
        <f t="shared" si="7"/>
        <v>0</v>
      </c>
      <c r="K21" s="60"/>
      <c r="L21" s="60">
        <v>0</v>
      </c>
      <c r="M21" s="60">
        <v>0</v>
      </c>
      <c r="N21" s="68"/>
      <c r="O21" s="349"/>
    </row>
    <row r="22" spans="1:15">
      <c r="A22" s="44">
        <f>Headcount!A23</f>
        <v>19</v>
      </c>
      <c r="B22" s="345">
        <f t="shared" si="3"/>
        <v>0</v>
      </c>
      <c r="C22" s="53">
        <f t="shared" si="0"/>
        <v>0</v>
      </c>
      <c r="D22" s="53"/>
      <c r="E22" s="54">
        <f t="shared" ref="E22:E26" si="9">F22+G22+H22</f>
        <v>0</v>
      </c>
      <c r="F22" s="60"/>
      <c r="G22" s="60">
        <v>0</v>
      </c>
      <c r="H22" s="60">
        <v>0</v>
      </c>
      <c r="I22" s="55">
        <f t="shared" ref="I22:I26" si="10">K22+L22+M22</f>
        <v>0</v>
      </c>
      <c r="J22" s="79">
        <f t="shared" ref="J22:J26" si="11">IF(I22=0,0,I22/(I22+E22))</f>
        <v>0</v>
      </c>
      <c r="K22" s="60"/>
      <c r="L22" s="60">
        <v>0</v>
      </c>
      <c r="M22" s="60">
        <v>0</v>
      </c>
      <c r="N22" s="68"/>
      <c r="O22" s="349"/>
    </row>
    <row r="23" spans="1:15">
      <c r="A23" s="44">
        <f>Headcount!A24</f>
        <v>20</v>
      </c>
      <c r="B23" s="345">
        <f t="shared" si="3"/>
        <v>0</v>
      </c>
      <c r="C23" s="53">
        <f t="shared" si="0"/>
        <v>0</v>
      </c>
      <c r="D23" s="53"/>
      <c r="E23" s="54">
        <f t="shared" si="9"/>
        <v>0</v>
      </c>
      <c r="F23" s="60"/>
      <c r="G23" s="60">
        <v>0</v>
      </c>
      <c r="H23" s="60">
        <v>0</v>
      </c>
      <c r="I23" s="55">
        <f t="shared" si="10"/>
        <v>0</v>
      </c>
      <c r="J23" s="79">
        <f t="shared" si="11"/>
        <v>0</v>
      </c>
      <c r="K23" s="60"/>
      <c r="L23" s="60">
        <v>0</v>
      </c>
      <c r="M23" s="60">
        <v>0</v>
      </c>
      <c r="N23" s="60"/>
      <c r="O23" s="336"/>
    </row>
    <row r="24" spans="1:15">
      <c r="A24" s="44">
        <f>Headcount!A25</f>
        <v>0</v>
      </c>
      <c r="B24" s="345">
        <f t="shared" si="3"/>
        <v>0</v>
      </c>
      <c r="C24" s="53">
        <f t="shared" si="0"/>
        <v>0</v>
      </c>
      <c r="D24" s="53"/>
      <c r="E24" s="54">
        <f t="shared" si="9"/>
        <v>0</v>
      </c>
      <c r="F24" s="60"/>
      <c r="G24" s="60">
        <v>0</v>
      </c>
      <c r="H24" s="60">
        <v>0</v>
      </c>
      <c r="I24" s="55">
        <f t="shared" si="10"/>
        <v>0</v>
      </c>
      <c r="J24" s="79">
        <f t="shared" si="11"/>
        <v>0</v>
      </c>
      <c r="K24" s="60"/>
      <c r="L24" s="60">
        <v>0</v>
      </c>
      <c r="M24" s="60">
        <v>0</v>
      </c>
      <c r="N24" s="60"/>
      <c r="O24" s="336"/>
    </row>
    <row r="25" spans="1:15">
      <c r="A25" s="44">
        <f>Headcount!A26</f>
        <v>0</v>
      </c>
      <c r="B25" s="345">
        <f t="shared" si="3"/>
        <v>0</v>
      </c>
      <c r="C25" s="53">
        <f t="shared" si="0"/>
        <v>0</v>
      </c>
      <c r="D25" s="53"/>
      <c r="E25" s="54">
        <f t="shared" si="9"/>
        <v>0</v>
      </c>
      <c r="F25" s="60"/>
      <c r="G25" s="60">
        <v>0</v>
      </c>
      <c r="H25" s="60">
        <v>0</v>
      </c>
      <c r="I25" s="55">
        <f t="shared" si="10"/>
        <v>0</v>
      </c>
      <c r="J25" s="79">
        <f t="shared" si="11"/>
        <v>0</v>
      </c>
      <c r="K25" s="60"/>
      <c r="L25" s="60">
        <v>0</v>
      </c>
      <c r="M25" s="60">
        <v>0</v>
      </c>
      <c r="N25" s="60"/>
      <c r="O25" s="336"/>
    </row>
    <row r="26" spans="1:15">
      <c r="A26" s="44">
        <f>Headcount!A27</f>
        <v>0</v>
      </c>
      <c r="B26" s="345">
        <f t="shared" si="3"/>
        <v>0</v>
      </c>
      <c r="C26" s="53">
        <f t="shared" si="0"/>
        <v>0</v>
      </c>
      <c r="D26" s="53"/>
      <c r="E26" s="54">
        <f t="shared" si="9"/>
        <v>0</v>
      </c>
      <c r="F26" s="60"/>
      <c r="G26" s="60">
        <v>0</v>
      </c>
      <c r="H26" s="60">
        <v>0</v>
      </c>
      <c r="I26" s="55">
        <f t="shared" si="10"/>
        <v>0</v>
      </c>
      <c r="J26" s="79">
        <f t="shared" si="11"/>
        <v>0</v>
      </c>
      <c r="K26" s="60"/>
      <c r="L26" s="60">
        <v>0</v>
      </c>
      <c r="M26" s="60">
        <v>0</v>
      </c>
      <c r="N26" s="60"/>
      <c r="O26" s="336"/>
    </row>
    <row r="27" spans="1:15">
      <c r="A27" s="44">
        <f>Headcount!A28</f>
        <v>0</v>
      </c>
      <c r="B27" s="345">
        <f>B26-$C$5</f>
        <v>0</v>
      </c>
      <c r="C27" s="53">
        <f>C26+$C$5</f>
        <v>0</v>
      </c>
      <c r="D27" s="53"/>
      <c r="E27" s="54">
        <f>F27+G27+H27</f>
        <v>0</v>
      </c>
      <c r="F27" s="60"/>
      <c r="G27" s="60">
        <v>0</v>
      </c>
      <c r="H27" s="60">
        <v>0</v>
      </c>
      <c r="I27" s="55">
        <f>K27+L27+M27</f>
        <v>0</v>
      </c>
      <c r="J27" s="79">
        <f>IF(I27=0,0,I27/(I27+E27))</f>
        <v>0</v>
      </c>
      <c r="K27" s="60"/>
      <c r="L27" s="60">
        <v>0</v>
      </c>
      <c r="M27" s="60">
        <v>0</v>
      </c>
      <c r="N27" s="60"/>
      <c r="O27" s="336"/>
    </row>
    <row r="28" spans="1:15">
      <c r="A28" s="44">
        <f>Headcount!A29</f>
        <v>0</v>
      </c>
      <c r="B28" s="345">
        <f>B27-$C$5</f>
        <v>0</v>
      </c>
      <c r="C28" s="53">
        <f>C27+$C$5</f>
        <v>0</v>
      </c>
      <c r="D28" s="53"/>
      <c r="E28" s="54">
        <f>F28+G28+H28</f>
        <v>0</v>
      </c>
      <c r="F28" s="60"/>
      <c r="G28" s="60">
        <v>0</v>
      </c>
      <c r="H28" s="60">
        <v>0</v>
      </c>
      <c r="I28" s="55">
        <f>K28+L28+M28</f>
        <v>0</v>
      </c>
      <c r="J28" s="79">
        <f>IF(I28=0,0,I28/(I28+E28))</f>
        <v>0</v>
      </c>
      <c r="K28" s="60"/>
      <c r="L28" s="60">
        <v>0</v>
      </c>
      <c r="M28" s="60">
        <v>0</v>
      </c>
      <c r="N28" s="60"/>
      <c r="O28" s="336"/>
    </row>
    <row r="29" spans="1:15">
      <c r="A29" s="44"/>
      <c r="B29" s="345"/>
      <c r="C29" s="53"/>
      <c r="D29" s="53"/>
      <c r="E29" s="54"/>
      <c r="F29" s="60"/>
      <c r="G29" s="60"/>
      <c r="H29" s="60"/>
      <c r="I29" s="55"/>
      <c r="J29" s="79"/>
      <c r="K29" s="60"/>
      <c r="L29" s="60"/>
      <c r="M29" s="60"/>
      <c r="N29" s="60"/>
      <c r="O29" s="336"/>
    </row>
    <row r="30" spans="1:15">
      <c r="A30" s="44"/>
      <c r="B30" s="345"/>
      <c r="C30" s="53"/>
      <c r="D30" s="53"/>
      <c r="E30" s="54"/>
      <c r="F30" s="60"/>
      <c r="G30" s="60"/>
      <c r="H30" s="60"/>
      <c r="I30" s="55"/>
      <c r="J30" s="79"/>
      <c r="K30" s="60"/>
      <c r="L30" s="60"/>
      <c r="M30" s="60"/>
      <c r="N30" s="218"/>
      <c r="O30" s="336"/>
    </row>
    <row r="31" spans="1:15">
      <c r="A31" s="219" t="s">
        <v>107</v>
      </c>
      <c r="B31" s="226"/>
      <c r="C31" s="227">
        <f>C7*C5</f>
        <v>0</v>
      </c>
      <c r="D31" s="227"/>
      <c r="E31" s="228">
        <f>SUM(E9:E29)</f>
        <v>0</v>
      </c>
      <c r="F31" s="229"/>
      <c r="G31" s="229"/>
      <c r="H31" s="229"/>
      <c r="I31" s="230"/>
      <c r="J31" s="231"/>
      <c r="K31" s="229">
        <f>SUM(K9:K30)</f>
        <v>0</v>
      </c>
      <c r="L31" s="229">
        <f>SUM(L9:L30)</f>
        <v>0</v>
      </c>
      <c r="M31" s="229">
        <f>SUM(M9:M30)</f>
        <v>0</v>
      </c>
      <c r="N31" s="225">
        <f>SUM(K31:M31)</f>
        <v>0</v>
      </c>
      <c r="O31" s="225"/>
    </row>
    <row r="35" spans="4:4">
      <c r="D35" s="65"/>
    </row>
  </sheetData>
  <mergeCells count="4">
    <mergeCell ref="E7:H7"/>
    <mergeCell ref="G1:H1"/>
    <mergeCell ref="G2:H2"/>
    <mergeCell ref="I7:M7"/>
  </mergeCells>
  <phoneticPr fontId="16"/>
  <conditionalFormatting sqref="G1:H1">
    <cfRule type="cellIs" dxfId="54" priority="7" operator="lessThan">
      <formula>0</formula>
    </cfRule>
  </conditionalFormatting>
  <conditionalFormatting sqref="J9:J31">
    <cfRule type="cellIs" dxfId="53" priority="1" operator="greaterThan">
      <formula>0.1</formula>
    </cfRule>
  </conditionalFormatting>
  <pageMargins left="0.7" right="0.7" top="0.75" bottom="0.75" header="0.3" footer="0.3"/>
  <pageSetup paperSize="9"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36"/>
  <sheetViews>
    <sheetView showGridLines="0" zoomScale="85" zoomScaleNormal="85" workbookViewId="0">
      <pane ySplit="2" topLeftCell="A3" activePane="bottomLeft" state="frozen"/>
      <selection activeCell="P8" sqref="P8:P32"/>
      <selection pane="bottomLeft" activeCell="G24" sqref="G24"/>
    </sheetView>
  </sheetViews>
  <sheetFormatPr defaultRowHeight="15"/>
  <cols>
    <col min="1" max="1" width="9.42578125" bestFit="1" customWidth="1"/>
    <col min="2" max="2" width="9.42578125" customWidth="1"/>
    <col min="3" max="3" width="15.42578125" customWidth="1"/>
    <col min="4" max="4" width="16.42578125" customWidth="1"/>
    <col min="5" max="5" width="19.42578125" bestFit="1" customWidth="1"/>
    <col min="6" max="6" width="13.42578125" bestFit="1" customWidth="1"/>
    <col min="7" max="7" width="12.42578125" customWidth="1"/>
    <col min="8" max="8" width="9.42578125" bestFit="1" customWidth="1"/>
    <col min="9" max="9" width="16.42578125" customWidth="1"/>
    <col min="15" max="20" width="19.7109375" customWidth="1"/>
  </cols>
  <sheetData>
    <row r="1" spans="1:21" ht="46.5">
      <c r="A1" s="40" t="s">
        <v>146</v>
      </c>
      <c r="B1" s="40"/>
      <c r="C1" s="41"/>
      <c r="D1" s="52" t="s">
        <v>59</v>
      </c>
      <c r="E1" s="41"/>
      <c r="F1" s="41"/>
      <c r="G1" s="41"/>
      <c r="H1" s="502">
        <f>F32-D32</f>
        <v>54.050000000000182</v>
      </c>
      <c r="I1" s="502"/>
      <c r="J1" s="76"/>
      <c r="K1" s="76"/>
      <c r="L1" s="76"/>
      <c r="M1" s="76"/>
    </row>
    <row r="2" spans="1:21" ht="46.5">
      <c r="A2" s="40" t="s">
        <v>145</v>
      </c>
      <c r="B2" s="40"/>
      <c r="C2" s="41"/>
      <c r="D2" s="52"/>
      <c r="E2" s="41"/>
      <c r="F2" s="41"/>
      <c r="G2" s="41"/>
      <c r="H2" s="503"/>
      <c r="I2" s="503"/>
      <c r="J2" s="76"/>
      <c r="K2" s="76"/>
      <c r="L2" s="76"/>
      <c r="M2" s="76"/>
    </row>
    <row r="3" spans="1:21">
      <c r="F3" s="65"/>
    </row>
    <row r="4" spans="1:21">
      <c r="F4" s="65"/>
      <c r="M4" s="65">
        <f>C9/2000*8</f>
        <v>24.799799999999998</v>
      </c>
    </row>
    <row r="5" spans="1:21">
      <c r="C5" s="23" t="s">
        <v>112</v>
      </c>
      <c r="D5" s="277">
        <v>413.33</v>
      </c>
      <c r="E5">
        <f>D5/(2000/8)</f>
        <v>1.6533199999999999</v>
      </c>
      <c r="F5" s="4">
        <f>E23/D23</f>
        <v>1.0087178122404212</v>
      </c>
      <c r="M5">
        <f>1*D6*8</f>
        <v>120</v>
      </c>
      <c r="N5" s="320">
        <f>M4/M5</f>
        <v>0.20666499999999999</v>
      </c>
    </row>
    <row r="6" spans="1:21">
      <c r="C6" s="273" t="s">
        <v>39</v>
      </c>
      <c r="D6" s="23">
        <f>Headcount!F7</f>
        <v>15</v>
      </c>
    </row>
    <row r="7" spans="1:21">
      <c r="C7" s="23" t="s">
        <v>40</v>
      </c>
      <c r="D7" s="23">
        <f>Headcount!F8</f>
        <v>15</v>
      </c>
      <c r="E7" s="23"/>
      <c r="F7" s="507" t="s">
        <v>65</v>
      </c>
      <c r="G7" s="507"/>
      <c r="H7" s="507"/>
      <c r="I7" s="507"/>
      <c r="J7" s="507" t="s">
        <v>66</v>
      </c>
      <c r="K7" s="507"/>
      <c r="L7" s="507"/>
      <c r="M7" s="507"/>
      <c r="N7" s="507"/>
    </row>
    <row r="8" spans="1:21" ht="36">
      <c r="A8" s="42" t="s">
        <v>114</v>
      </c>
      <c r="B8" s="42" t="s">
        <v>68</v>
      </c>
      <c r="C8" s="43" t="s">
        <v>69</v>
      </c>
      <c r="D8" s="42" t="s">
        <v>115</v>
      </c>
      <c r="E8" s="42" t="s">
        <v>116</v>
      </c>
      <c r="F8" s="51" t="s">
        <v>117</v>
      </c>
      <c r="G8" s="42" t="s">
        <v>73</v>
      </c>
      <c r="H8" s="42" t="s">
        <v>74</v>
      </c>
      <c r="I8" s="42" t="s">
        <v>93</v>
      </c>
      <c r="J8" s="47" t="s">
        <v>76</v>
      </c>
      <c r="K8" s="42" t="s">
        <v>77</v>
      </c>
      <c r="L8" s="42" t="s">
        <v>78</v>
      </c>
      <c r="M8" s="42" t="s">
        <v>79</v>
      </c>
      <c r="N8" s="42" t="s">
        <v>100</v>
      </c>
      <c r="O8" s="42" t="s">
        <v>81</v>
      </c>
      <c r="P8" s="438" t="s">
        <v>82</v>
      </c>
      <c r="Q8" s="438" t="s">
        <v>97</v>
      </c>
      <c r="R8" s="438" t="s">
        <v>84</v>
      </c>
      <c r="S8" s="42" t="s">
        <v>85</v>
      </c>
      <c r="T8" s="42" t="s">
        <v>86</v>
      </c>
      <c r="U8" s="42" t="s">
        <v>124</v>
      </c>
    </row>
    <row r="9" spans="1:21">
      <c r="A9" s="44">
        <f>Headcount!A10</f>
        <v>2</v>
      </c>
      <c r="B9" s="340">
        <f>$D$5</f>
        <v>413.33</v>
      </c>
      <c r="C9" s="341">
        <f>D5*D6</f>
        <v>6199.95</v>
      </c>
      <c r="D9" s="338">
        <f>D5</f>
        <v>413.33</v>
      </c>
      <c r="E9" s="338">
        <f>F9</f>
        <v>1</v>
      </c>
      <c r="F9" s="54">
        <f t="shared" ref="F9:F17" si="0">G9+H9+I9</f>
        <v>1</v>
      </c>
      <c r="G9" s="59">
        <v>1</v>
      </c>
      <c r="H9" s="59">
        <v>0</v>
      </c>
      <c r="I9" s="59">
        <v>0</v>
      </c>
      <c r="J9" s="55">
        <f>L9+M9+N9</f>
        <v>0</v>
      </c>
      <c r="K9" s="79">
        <f>IF(J9=0,0,J9/(J9+F9))</f>
        <v>0</v>
      </c>
      <c r="L9" s="59">
        <v>0</v>
      </c>
      <c r="M9" s="59">
        <v>0</v>
      </c>
      <c r="N9" s="59">
        <v>0</v>
      </c>
      <c r="O9" s="69"/>
      <c r="P9" s="306">
        <f>[1]Munka3!$H5</f>
        <v>0</v>
      </c>
      <c r="Q9" s="306">
        <v>8</v>
      </c>
      <c r="R9" s="306">
        <f>$E$5</f>
        <v>1.6533199999999999</v>
      </c>
      <c r="S9" s="327">
        <v>1</v>
      </c>
      <c r="T9" s="405" t="e">
        <f>AVERAGE(U$9:$U9)</f>
        <v>#DIV/0!</v>
      </c>
      <c r="U9" s="348" t="s">
        <v>88</v>
      </c>
    </row>
    <row r="10" spans="1:21">
      <c r="A10" s="44">
        <f>Headcount!A11</f>
        <v>3</v>
      </c>
      <c r="B10" s="340">
        <f t="shared" ref="B10:B23" si="1">$D$5</f>
        <v>413.33</v>
      </c>
      <c r="C10" s="345">
        <f>C9-$D$5</f>
        <v>5786.62</v>
      </c>
      <c r="D10" s="53">
        <f t="shared" ref="D10:D23" si="2">D9+$D$5</f>
        <v>826.66</v>
      </c>
      <c r="E10" s="53">
        <f t="shared" ref="E10" si="3">IF(F10=0,0,E9+F10)</f>
        <v>2</v>
      </c>
      <c r="F10" s="54">
        <f t="shared" si="0"/>
        <v>1</v>
      </c>
      <c r="G10" s="60">
        <v>1</v>
      </c>
      <c r="H10" s="60">
        <v>0</v>
      </c>
      <c r="I10" s="60">
        <v>0</v>
      </c>
      <c r="J10" s="55">
        <f>L10+M10+N10</f>
        <v>0</v>
      </c>
      <c r="K10" s="79">
        <f t="shared" ref="K10:K21" si="4">IF(J10=0,0,J10/(J10+F10))</f>
        <v>0</v>
      </c>
      <c r="L10" s="60">
        <v>0</v>
      </c>
      <c r="M10" s="60">
        <v>0</v>
      </c>
      <c r="N10" s="60">
        <v>0</v>
      </c>
      <c r="O10" s="414"/>
      <c r="P10" s="306">
        <f>[1]Munka3!$H6</f>
        <v>0</v>
      </c>
      <c r="Q10" s="414">
        <v>8</v>
      </c>
      <c r="R10" s="306">
        <f t="shared" ref="R10:R23" si="5">$E$5</f>
        <v>1.6533199999999999</v>
      </c>
      <c r="S10" s="459">
        <v>1</v>
      </c>
      <c r="T10" s="406" t="e">
        <f>AVERAGE(U$9:$U10)</f>
        <v>#DIV/0!</v>
      </c>
      <c r="U10" s="349" t="s">
        <v>88</v>
      </c>
    </row>
    <row r="11" spans="1:21" ht="24">
      <c r="A11" s="44">
        <f>Headcount!A12</f>
        <v>4</v>
      </c>
      <c r="B11" s="340">
        <f t="shared" si="1"/>
        <v>413.33</v>
      </c>
      <c r="C11" s="345">
        <f t="shared" ref="C11:C23" si="6">C10-$D$5</f>
        <v>5373.29</v>
      </c>
      <c r="D11" s="53">
        <f t="shared" si="2"/>
        <v>1239.99</v>
      </c>
      <c r="E11" s="53">
        <f t="shared" ref="E11:E12" si="7">IF(F11=0,0,E10+F11)</f>
        <v>15</v>
      </c>
      <c r="F11" s="54">
        <f t="shared" si="0"/>
        <v>13</v>
      </c>
      <c r="G11" s="60">
        <v>13</v>
      </c>
      <c r="H11" s="60">
        <v>0</v>
      </c>
      <c r="I11" s="60">
        <v>0</v>
      </c>
      <c r="J11" s="55">
        <f>L11+M11+N11</f>
        <v>9</v>
      </c>
      <c r="K11" s="79">
        <f t="shared" si="4"/>
        <v>0.40909090909090912</v>
      </c>
      <c r="L11" s="60">
        <v>9</v>
      </c>
      <c r="M11" s="60">
        <v>0</v>
      </c>
      <c r="N11" s="60">
        <v>0</v>
      </c>
      <c r="O11" s="414" t="s">
        <v>147</v>
      </c>
      <c r="P11" s="306">
        <f>[1]Munka3!$H7</f>
        <v>0</v>
      </c>
      <c r="Q11" s="414">
        <v>8</v>
      </c>
      <c r="R11" s="306">
        <f t="shared" si="5"/>
        <v>1.6533199999999999</v>
      </c>
      <c r="S11" s="334">
        <v>1</v>
      </c>
      <c r="T11" s="406">
        <f>AVERAGE(U$9:$U11)</f>
        <v>1.0737000000000001</v>
      </c>
      <c r="U11" s="349">
        <v>1.0737000000000001</v>
      </c>
    </row>
    <row r="12" spans="1:21">
      <c r="A12" s="44">
        <f>Headcount!A13</f>
        <v>5</v>
      </c>
      <c r="B12" s="340">
        <f t="shared" si="1"/>
        <v>413.33</v>
      </c>
      <c r="C12" s="345">
        <f t="shared" si="6"/>
        <v>4959.96</v>
      </c>
      <c r="D12" s="53">
        <f t="shared" si="2"/>
        <v>1653.32</v>
      </c>
      <c r="E12" s="53">
        <f t="shared" si="7"/>
        <v>1237</v>
      </c>
      <c r="F12" s="54">
        <f t="shared" si="0"/>
        <v>1222</v>
      </c>
      <c r="G12" s="60">
        <v>1222</v>
      </c>
      <c r="H12" s="60">
        <v>0</v>
      </c>
      <c r="I12" s="60">
        <v>0</v>
      </c>
      <c r="J12" s="55">
        <f>L12+M12+N12</f>
        <v>2</v>
      </c>
      <c r="K12" s="79">
        <f t="shared" si="4"/>
        <v>1.6339869281045752E-3</v>
      </c>
      <c r="L12" s="60">
        <v>2</v>
      </c>
      <c r="M12" s="60">
        <v>0</v>
      </c>
      <c r="N12" s="60">
        <v>0</v>
      </c>
      <c r="O12" s="414"/>
      <c r="P12" s="306">
        <f>[1]Munka3!$H8</f>
        <v>0</v>
      </c>
      <c r="Q12" s="414">
        <v>8</v>
      </c>
      <c r="R12" s="306">
        <f t="shared" si="5"/>
        <v>1.6533199999999999</v>
      </c>
      <c r="S12" s="334">
        <v>1</v>
      </c>
      <c r="T12" s="406">
        <f>AVERAGE(U$9:$U12)</f>
        <v>1.07735</v>
      </c>
      <c r="U12" s="349">
        <v>1.081</v>
      </c>
    </row>
    <row r="13" spans="1:21">
      <c r="A13" s="44">
        <f>Headcount!A14</f>
        <v>6</v>
      </c>
      <c r="B13" s="340">
        <f t="shared" si="1"/>
        <v>413.33</v>
      </c>
      <c r="C13" s="345">
        <f t="shared" si="6"/>
        <v>4546.63</v>
      </c>
      <c r="D13" s="53">
        <f t="shared" si="2"/>
        <v>2066.65</v>
      </c>
      <c r="E13" s="53">
        <f t="shared" ref="E13:E23" si="8">IF(F13=0,0,E12+F13)</f>
        <v>2073</v>
      </c>
      <c r="F13" s="54">
        <f t="shared" si="0"/>
        <v>836</v>
      </c>
      <c r="G13" s="60">
        <v>836</v>
      </c>
      <c r="H13" s="60">
        <v>0</v>
      </c>
      <c r="I13" s="60">
        <v>0</v>
      </c>
      <c r="J13" s="55">
        <f t="shared" ref="J13:J21" si="9">L13+M13+N13</f>
        <v>13</v>
      </c>
      <c r="K13" s="79">
        <f t="shared" si="4"/>
        <v>1.5312131919905771E-2</v>
      </c>
      <c r="L13" s="60">
        <v>13</v>
      </c>
      <c r="M13" s="60">
        <v>0</v>
      </c>
      <c r="N13" s="60">
        <v>0</v>
      </c>
      <c r="O13" s="414"/>
      <c r="P13" s="306">
        <f>[1]Munka3!$H9</f>
        <v>0</v>
      </c>
      <c r="Q13" s="414">
        <v>8</v>
      </c>
      <c r="R13" s="306">
        <f t="shared" si="5"/>
        <v>1.6533199999999999</v>
      </c>
      <c r="S13" s="334">
        <v>1</v>
      </c>
      <c r="T13" s="406">
        <f>AVERAGE(U$9:$U13)</f>
        <v>1.0147999999999999</v>
      </c>
      <c r="U13" s="349">
        <v>0.88970000000000005</v>
      </c>
    </row>
    <row r="14" spans="1:21">
      <c r="A14" s="44">
        <f>Headcount!A15</f>
        <v>9</v>
      </c>
      <c r="B14" s="340">
        <f t="shared" si="1"/>
        <v>413.33</v>
      </c>
      <c r="C14" s="345">
        <f t="shared" si="6"/>
        <v>4133.3</v>
      </c>
      <c r="D14" s="53">
        <f t="shared" si="2"/>
        <v>2479.98</v>
      </c>
      <c r="E14" s="53">
        <f t="shared" si="8"/>
        <v>3583</v>
      </c>
      <c r="F14" s="54">
        <f>G14+H14+I14</f>
        <v>1510</v>
      </c>
      <c r="G14" s="60">
        <v>1510</v>
      </c>
      <c r="H14" s="60">
        <v>0</v>
      </c>
      <c r="I14" s="60">
        <v>0</v>
      </c>
      <c r="J14" s="55">
        <f t="shared" si="9"/>
        <v>16</v>
      </c>
      <c r="K14" s="79">
        <f t="shared" si="4"/>
        <v>1.0484927916120577E-2</v>
      </c>
      <c r="L14" s="60">
        <v>16</v>
      </c>
      <c r="M14" s="60">
        <v>0</v>
      </c>
      <c r="N14" s="60">
        <v>0</v>
      </c>
      <c r="O14" s="414"/>
      <c r="P14" s="306">
        <f>[1]Munka3!$H10</f>
        <v>0</v>
      </c>
      <c r="Q14" s="414">
        <v>8</v>
      </c>
      <c r="R14" s="306">
        <f t="shared" si="5"/>
        <v>1.6533199999999999</v>
      </c>
      <c r="S14" s="334">
        <v>1</v>
      </c>
      <c r="T14" s="406">
        <f>AVERAGE(U$9:$U14)</f>
        <v>0.96540000000000004</v>
      </c>
      <c r="U14" s="349">
        <v>0.81720000000000004</v>
      </c>
    </row>
    <row r="15" spans="1:21">
      <c r="A15" s="44">
        <f>Headcount!A16</f>
        <v>10</v>
      </c>
      <c r="B15" s="340">
        <f t="shared" si="1"/>
        <v>413.33</v>
      </c>
      <c r="C15" s="345">
        <f t="shared" si="6"/>
        <v>3719.9700000000003</v>
      </c>
      <c r="D15" s="53">
        <f t="shared" si="2"/>
        <v>2893.31</v>
      </c>
      <c r="E15" s="53">
        <f t="shared" si="8"/>
        <v>4948</v>
      </c>
      <c r="F15" s="54">
        <f t="shared" si="0"/>
        <v>1365</v>
      </c>
      <c r="G15" s="60">
        <v>1365</v>
      </c>
      <c r="H15" s="60">
        <v>0</v>
      </c>
      <c r="I15" s="60">
        <v>0</v>
      </c>
      <c r="J15" s="55">
        <f t="shared" si="9"/>
        <v>7</v>
      </c>
      <c r="K15" s="79">
        <f t="shared" si="4"/>
        <v>5.1020408163265302E-3</v>
      </c>
      <c r="L15" s="60">
        <v>7</v>
      </c>
      <c r="M15" s="60">
        <v>0</v>
      </c>
      <c r="N15" s="60">
        <v>0</v>
      </c>
      <c r="O15" s="414"/>
      <c r="P15" s="306">
        <f>[1]Munka3!$H11</f>
        <v>0</v>
      </c>
      <c r="Q15" s="414">
        <v>8</v>
      </c>
      <c r="R15" s="306">
        <f t="shared" si="5"/>
        <v>1.6533199999999999</v>
      </c>
      <c r="S15" s="334">
        <v>1</v>
      </c>
      <c r="T15" s="406">
        <f>AVERAGE(U$9:$U15)</f>
        <v>0.93190000000000006</v>
      </c>
      <c r="U15" s="349">
        <v>0.79790000000000005</v>
      </c>
    </row>
    <row r="16" spans="1:21">
      <c r="A16" s="44">
        <f>Headcount!A17</f>
        <v>11</v>
      </c>
      <c r="B16" s="340">
        <f t="shared" si="1"/>
        <v>413.33</v>
      </c>
      <c r="C16" s="345">
        <f t="shared" si="6"/>
        <v>3306.6400000000003</v>
      </c>
      <c r="D16" s="53">
        <f t="shared" si="2"/>
        <v>3306.64</v>
      </c>
      <c r="E16" s="53">
        <f t="shared" si="8"/>
        <v>5017</v>
      </c>
      <c r="F16" s="54">
        <f t="shared" si="0"/>
        <v>69</v>
      </c>
      <c r="G16" s="60">
        <v>69</v>
      </c>
      <c r="H16" s="60">
        <v>0</v>
      </c>
      <c r="I16" s="60">
        <v>0</v>
      </c>
      <c r="J16" s="55">
        <f t="shared" si="9"/>
        <v>0</v>
      </c>
      <c r="K16" s="79">
        <f t="shared" si="4"/>
        <v>0</v>
      </c>
      <c r="L16" s="60">
        <v>0</v>
      </c>
      <c r="M16" s="60">
        <v>0</v>
      </c>
      <c r="N16" s="60">
        <v>0</v>
      </c>
      <c r="O16" s="414"/>
      <c r="P16" s="306">
        <f>[1]Munka3!$H12</f>
        <v>0</v>
      </c>
      <c r="Q16" s="414">
        <v>8</v>
      </c>
      <c r="R16" s="306">
        <f t="shared" si="5"/>
        <v>1.6533199999999999</v>
      </c>
      <c r="S16" s="334">
        <v>1</v>
      </c>
      <c r="T16" s="406">
        <f>AVERAGE(U$9:$U16)</f>
        <v>0.93190000000000006</v>
      </c>
      <c r="U16" s="349" t="s">
        <v>88</v>
      </c>
    </row>
    <row r="17" spans="1:21">
      <c r="A17" s="44">
        <f>Headcount!A18</f>
        <v>12</v>
      </c>
      <c r="B17" s="340">
        <f t="shared" si="1"/>
        <v>413.33</v>
      </c>
      <c r="C17" s="345">
        <f t="shared" si="6"/>
        <v>2893.3100000000004</v>
      </c>
      <c r="D17" s="53">
        <f t="shared" si="2"/>
        <v>3719.97</v>
      </c>
      <c r="E17" s="53">
        <f t="shared" si="8"/>
        <v>5018</v>
      </c>
      <c r="F17" s="54">
        <f t="shared" si="0"/>
        <v>1</v>
      </c>
      <c r="G17" s="60">
        <v>1</v>
      </c>
      <c r="H17" s="60">
        <v>0</v>
      </c>
      <c r="I17" s="60">
        <v>0</v>
      </c>
      <c r="J17" s="55">
        <f t="shared" si="9"/>
        <v>0</v>
      </c>
      <c r="K17" s="79">
        <f t="shared" si="4"/>
        <v>0</v>
      </c>
      <c r="L17" s="60">
        <v>0</v>
      </c>
      <c r="M17" s="60">
        <v>0</v>
      </c>
      <c r="N17" s="60">
        <v>0</v>
      </c>
      <c r="O17" s="414"/>
      <c r="P17" s="306">
        <f>[1]Munka3!$H13</f>
        <v>0</v>
      </c>
      <c r="Q17" s="414">
        <v>8</v>
      </c>
      <c r="R17" s="306">
        <f t="shared" si="5"/>
        <v>1.6533199999999999</v>
      </c>
      <c r="S17" s="334">
        <v>1</v>
      </c>
      <c r="T17" s="406">
        <f>AVERAGE(U$9:$U17)</f>
        <v>0.93190000000000006</v>
      </c>
      <c r="U17" s="349" t="s">
        <v>88</v>
      </c>
    </row>
    <row r="18" spans="1:21">
      <c r="A18" s="44">
        <f>Headcount!A19</f>
        <v>13</v>
      </c>
      <c r="B18" s="340">
        <f t="shared" si="1"/>
        <v>413.33</v>
      </c>
      <c r="C18" s="345">
        <f t="shared" si="6"/>
        <v>2479.9800000000005</v>
      </c>
      <c r="D18" s="53">
        <f t="shared" si="2"/>
        <v>4133.3</v>
      </c>
      <c r="E18" s="53">
        <f t="shared" si="8"/>
        <v>5019</v>
      </c>
      <c r="F18" s="54">
        <f t="shared" ref="F18:F21" si="10">G18+H18+I18</f>
        <v>1</v>
      </c>
      <c r="G18" s="60">
        <v>1</v>
      </c>
      <c r="H18" s="60">
        <v>0</v>
      </c>
      <c r="I18" s="60">
        <v>0</v>
      </c>
      <c r="J18" s="55">
        <f t="shared" si="9"/>
        <v>0</v>
      </c>
      <c r="K18" s="79">
        <f t="shared" si="4"/>
        <v>0</v>
      </c>
      <c r="L18" s="60">
        <v>0</v>
      </c>
      <c r="M18" s="60">
        <v>0</v>
      </c>
      <c r="N18" s="60">
        <v>0</v>
      </c>
      <c r="O18" s="414"/>
      <c r="P18" s="306">
        <f>[1]Munka3!$H14</f>
        <v>0</v>
      </c>
      <c r="Q18" s="414">
        <v>8</v>
      </c>
      <c r="R18" s="306">
        <f t="shared" si="5"/>
        <v>1.6533199999999999</v>
      </c>
      <c r="S18" s="334">
        <v>1</v>
      </c>
      <c r="T18" s="406">
        <f>AVERAGE(U$9:$U18)</f>
        <v>0.93190000000000006</v>
      </c>
      <c r="U18" s="349" t="s">
        <v>88</v>
      </c>
    </row>
    <row r="19" spans="1:21">
      <c r="A19" s="44">
        <f>Headcount!A20</f>
        <v>16</v>
      </c>
      <c r="B19" s="340">
        <f t="shared" si="1"/>
        <v>413.33</v>
      </c>
      <c r="C19" s="345">
        <f t="shared" si="6"/>
        <v>2066.6500000000005</v>
      </c>
      <c r="D19" s="53">
        <f t="shared" si="2"/>
        <v>4546.63</v>
      </c>
      <c r="E19" s="53">
        <f t="shared" si="8"/>
        <v>5867</v>
      </c>
      <c r="F19" s="54">
        <f t="shared" si="10"/>
        <v>848</v>
      </c>
      <c r="G19" s="60">
        <v>848</v>
      </c>
      <c r="H19" s="60">
        <v>0</v>
      </c>
      <c r="I19" s="60">
        <v>0</v>
      </c>
      <c r="J19" s="55">
        <f t="shared" si="9"/>
        <v>7</v>
      </c>
      <c r="K19" s="79">
        <f t="shared" si="4"/>
        <v>8.1871345029239772E-3</v>
      </c>
      <c r="L19" s="60">
        <v>7</v>
      </c>
      <c r="M19" s="60">
        <v>0</v>
      </c>
      <c r="N19" s="60">
        <v>0</v>
      </c>
      <c r="O19" s="414"/>
      <c r="P19" s="306">
        <f>[1]Munka3!$H15</f>
        <v>0</v>
      </c>
      <c r="Q19" s="414">
        <v>8</v>
      </c>
      <c r="R19" s="306">
        <f t="shared" si="5"/>
        <v>1.6533199999999999</v>
      </c>
      <c r="S19" s="334">
        <v>1</v>
      </c>
      <c r="T19" s="406">
        <f>AVERAGE(U$9:$U19)</f>
        <v>0.9130666666666668</v>
      </c>
      <c r="U19" s="349">
        <v>0.81889999999999996</v>
      </c>
    </row>
    <row r="20" spans="1:21">
      <c r="A20" s="44">
        <f>Headcount!A21</f>
        <v>17</v>
      </c>
      <c r="B20" s="340">
        <f t="shared" si="1"/>
        <v>413.33</v>
      </c>
      <c r="C20" s="345">
        <f t="shared" si="6"/>
        <v>1653.3200000000006</v>
      </c>
      <c r="D20" s="53">
        <f t="shared" si="2"/>
        <v>4959.96</v>
      </c>
      <c r="E20" s="53">
        <f t="shared" si="8"/>
        <v>6251</v>
      </c>
      <c r="F20" s="54">
        <f t="shared" si="10"/>
        <v>384</v>
      </c>
      <c r="G20" s="60">
        <v>384</v>
      </c>
      <c r="H20" s="60">
        <v>0</v>
      </c>
      <c r="I20" s="60">
        <v>0</v>
      </c>
      <c r="J20" s="55">
        <f t="shared" si="9"/>
        <v>0</v>
      </c>
      <c r="K20" s="79">
        <f t="shared" si="4"/>
        <v>0</v>
      </c>
      <c r="L20" s="60">
        <v>0</v>
      </c>
      <c r="M20" s="60">
        <v>0</v>
      </c>
      <c r="N20" s="60">
        <v>0</v>
      </c>
      <c r="O20" s="267"/>
      <c r="P20" s="306">
        <f>[1]Munka3!$H16</f>
        <v>0</v>
      </c>
      <c r="Q20" s="267">
        <v>8</v>
      </c>
      <c r="R20" s="306">
        <f t="shared" si="5"/>
        <v>1.6533199999999999</v>
      </c>
      <c r="S20" s="334">
        <v>1</v>
      </c>
      <c r="T20" s="406">
        <f>AVERAGE(U$9:$U20)</f>
        <v>0.93731428571428577</v>
      </c>
      <c r="U20" s="349">
        <v>1.0828</v>
      </c>
    </row>
    <row r="21" spans="1:21">
      <c r="A21" s="44">
        <f>Headcount!A22</f>
        <v>18</v>
      </c>
      <c r="B21" s="340">
        <f t="shared" si="1"/>
        <v>413.33</v>
      </c>
      <c r="C21" s="345">
        <f t="shared" si="6"/>
        <v>1239.9900000000007</v>
      </c>
      <c r="D21" s="53">
        <f t="shared" si="2"/>
        <v>5373.29</v>
      </c>
      <c r="E21" s="53">
        <f t="shared" si="8"/>
        <v>6252</v>
      </c>
      <c r="F21" s="54">
        <f t="shared" si="10"/>
        <v>1</v>
      </c>
      <c r="G21" s="60">
        <v>1</v>
      </c>
      <c r="H21" s="60">
        <v>0</v>
      </c>
      <c r="I21" s="60">
        <v>0</v>
      </c>
      <c r="J21" s="55">
        <f t="shared" si="9"/>
        <v>0</v>
      </c>
      <c r="K21" s="79">
        <f t="shared" si="4"/>
        <v>0</v>
      </c>
      <c r="L21" s="60">
        <v>0</v>
      </c>
      <c r="M21" s="60">
        <v>0</v>
      </c>
      <c r="N21" s="60">
        <v>0</v>
      </c>
      <c r="O21" s="414"/>
      <c r="P21" s="306">
        <f>[1]Munka3!$H17</f>
        <v>0</v>
      </c>
      <c r="Q21" s="414">
        <v>8</v>
      </c>
      <c r="R21" s="306">
        <f t="shared" si="5"/>
        <v>1.6533199999999999</v>
      </c>
      <c r="S21" s="334">
        <v>1</v>
      </c>
      <c r="T21" s="406">
        <f>AVERAGE(U$9:$U21)</f>
        <v>0.93731428571428577</v>
      </c>
      <c r="U21" s="349" t="s">
        <v>88</v>
      </c>
    </row>
    <row r="22" spans="1:21">
      <c r="A22" s="44">
        <f>Headcount!A23</f>
        <v>19</v>
      </c>
      <c r="B22" s="340">
        <f t="shared" si="1"/>
        <v>413.33</v>
      </c>
      <c r="C22" s="345">
        <f t="shared" si="6"/>
        <v>826.66000000000076</v>
      </c>
      <c r="D22" s="53">
        <f t="shared" si="2"/>
        <v>5786.62</v>
      </c>
      <c r="E22" s="53">
        <f t="shared" si="8"/>
        <v>6253</v>
      </c>
      <c r="F22" s="54">
        <f t="shared" ref="F22:F23" si="11">G22+H22+I22</f>
        <v>1</v>
      </c>
      <c r="G22" s="60">
        <v>1</v>
      </c>
      <c r="H22" s="60">
        <v>0</v>
      </c>
      <c r="I22" s="60">
        <v>0</v>
      </c>
      <c r="J22" s="55">
        <f t="shared" ref="J22:J23" si="12">L22+M22+N22</f>
        <v>0</v>
      </c>
      <c r="K22" s="79">
        <f t="shared" ref="K22:K23" si="13">IF(J22=0,0,J22/(J22+F22))</f>
        <v>0</v>
      </c>
      <c r="L22" s="60">
        <v>0</v>
      </c>
      <c r="M22" s="60">
        <v>0</v>
      </c>
      <c r="N22" s="60">
        <v>0</v>
      </c>
      <c r="O22" s="414"/>
      <c r="P22" s="306">
        <f>[1]Munka3!$H18</f>
        <v>0</v>
      </c>
      <c r="Q22" s="414">
        <v>8</v>
      </c>
      <c r="R22" s="306">
        <f t="shared" si="5"/>
        <v>1.6533199999999999</v>
      </c>
      <c r="S22" s="334">
        <v>1</v>
      </c>
      <c r="T22" s="406">
        <f>AVERAGE(U$9:$U22)</f>
        <v>0.93731428571428577</v>
      </c>
      <c r="U22" s="349" t="s">
        <v>88</v>
      </c>
    </row>
    <row r="23" spans="1:21">
      <c r="A23" s="44">
        <f>Headcount!A24</f>
        <v>20</v>
      </c>
      <c r="B23" s="340">
        <f t="shared" si="1"/>
        <v>413.33</v>
      </c>
      <c r="C23" s="345">
        <f t="shared" si="6"/>
        <v>413.33000000000078</v>
      </c>
      <c r="D23" s="53">
        <f t="shared" si="2"/>
        <v>6199.95</v>
      </c>
      <c r="E23" s="53">
        <f t="shared" si="8"/>
        <v>6254</v>
      </c>
      <c r="F23" s="54">
        <f t="shared" si="11"/>
        <v>1</v>
      </c>
      <c r="G23" s="60">
        <v>1</v>
      </c>
      <c r="H23" s="60">
        <v>0</v>
      </c>
      <c r="I23" s="60">
        <v>0</v>
      </c>
      <c r="J23" s="55">
        <f t="shared" si="12"/>
        <v>0</v>
      </c>
      <c r="K23" s="79">
        <f t="shared" si="13"/>
        <v>0</v>
      </c>
      <c r="L23" s="60">
        <v>0</v>
      </c>
      <c r="M23" s="60">
        <v>0</v>
      </c>
      <c r="N23" s="60">
        <v>0</v>
      </c>
      <c r="O23" s="267"/>
      <c r="P23" s="306">
        <f>[1]Munka3!$H19</f>
        <v>0</v>
      </c>
      <c r="Q23" s="267">
        <v>8</v>
      </c>
      <c r="R23" s="306">
        <f t="shared" si="5"/>
        <v>1.6533199999999999</v>
      </c>
      <c r="S23" s="334">
        <v>1</v>
      </c>
      <c r="T23" s="406">
        <f>AVERAGE(U$9:$U23)</f>
        <v>0.93731428571428577</v>
      </c>
      <c r="U23" s="349" t="s">
        <v>88</v>
      </c>
    </row>
    <row r="24" spans="1:21">
      <c r="A24" s="44"/>
      <c r="B24" s="342"/>
      <c r="C24" s="345"/>
      <c r="D24" s="53"/>
      <c r="E24" s="53"/>
      <c r="F24" s="54"/>
      <c r="G24" s="60"/>
      <c r="H24" s="60"/>
      <c r="I24" s="60"/>
      <c r="J24" s="55"/>
      <c r="K24" s="79"/>
      <c r="L24" s="60"/>
      <c r="M24" s="60"/>
      <c r="N24" s="60"/>
      <c r="O24" s="267"/>
      <c r="P24" s="267"/>
      <c r="Q24" s="267"/>
      <c r="R24" s="267"/>
      <c r="S24" s="267"/>
      <c r="T24" s="267"/>
      <c r="U24" s="349"/>
    </row>
    <row r="25" spans="1:21">
      <c r="A25" s="44"/>
      <c r="B25" s="342"/>
      <c r="C25" s="345"/>
      <c r="D25" s="53"/>
      <c r="E25" s="53"/>
      <c r="F25" s="54"/>
      <c r="G25" s="60"/>
      <c r="H25" s="60"/>
      <c r="I25" s="60"/>
      <c r="J25" s="55"/>
      <c r="K25" s="79"/>
      <c r="L25" s="60"/>
      <c r="M25" s="60"/>
      <c r="N25" s="60"/>
      <c r="O25" s="267"/>
      <c r="P25" s="267"/>
      <c r="Q25" s="267"/>
      <c r="R25" s="267"/>
      <c r="S25" s="267"/>
      <c r="T25" s="267"/>
      <c r="U25" s="349"/>
    </row>
    <row r="26" spans="1:21">
      <c r="A26" s="44"/>
      <c r="B26" s="342"/>
      <c r="C26" s="345"/>
      <c r="D26" s="53"/>
      <c r="E26" s="53"/>
      <c r="F26" s="54"/>
      <c r="G26" s="60"/>
      <c r="H26" s="60"/>
      <c r="I26" s="60"/>
      <c r="J26" s="55"/>
      <c r="K26" s="79"/>
      <c r="L26" s="60"/>
      <c r="M26" s="60"/>
      <c r="N26" s="60"/>
      <c r="O26" s="267"/>
      <c r="P26" s="267"/>
      <c r="Q26" s="267"/>
      <c r="R26" s="267"/>
      <c r="S26" s="267"/>
      <c r="T26" s="267"/>
      <c r="U26" s="349"/>
    </row>
    <row r="27" spans="1:21">
      <c r="A27" s="44"/>
      <c r="B27" s="342"/>
      <c r="C27" s="345"/>
      <c r="D27" s="53"/>
      <c r="E27" s="53"/>
      <c r="F27" s="54"/>
      <c r="G27" s="60"/>
      <c r="H27" s="60"/>
      <c r="I27" s="60"/>
      <c r="J27" s="55"/>
      <c r="K27" s="79"/>
      <c r="L27" s="60"/>
      <c r="M27" s="60"/>
      <c r="N27" s="60"/>
      <c r="O27" s="267"/>
      <c r="P27" s="267"/>
      <c r="Q27" s="267"/>
      <c r="R27" s="267"/>
      <c r="S27" s="267"/>
      <c r="T27" s="267"/>
      <c r="U27" s="349"/>
    </row>
    <row r="28" spans="1:21">
      <c r="A28" s="44"/>
      <c r="B28" s="342"/>
      <c r="C28" s="345"/>
      <c r="D28" s="53"/>
      <c r="E28" s="53"/>
      <c r="F28" s="54"/>
      <c r="G28" s="60"/>
      <c r="H28" s="60"/>
      <c r="I28" s="60"/>
      <c r="J28" s="55"/>
      <c r="K28" s="79"/>
      <c r="L28" s="60"/>
      <c r="M28" s="60"/>
      <c r="N28" s="60"/>
      <c r="O28" s="267"/>
      <c r="P28" s="267"/>
      <c r="Q28" s="267"/>
      <c r="R28" s="267"/>
      <c r="S28" s="267"/>
      <c r="T28" s="267"/>
      <c r="U28" s="349"/>
    </row>
    <row r="29" spans="1:21">
      <c r="A29" s="44"/>
      <c r="B29" s="342"/>
      <c r="C29" s="345"/>
      <c r="D29" s="53"/>
      <c r="E29" s="53"/>
      <c r="F29" s="54"/>
      <c r="G29" s="60"/>
      <c r="H29" s="60"/>
      <c r="I29" s="60"/>
      <c r="J29" s="55"/>
      <c r="K29" s="79"/>
      <c r="L29" s="60"/>
      <c r="M29" s="60"/>
      <c r="N29" s="60"/>
      <c r="O29" s="60"/>
      <c r="P29" s="266"/>
      <c r="Q29" s="266"/>
      <c r="R29" s="266"/>
      <c r="S29" s="266"/>
      <c r="T29" s="266"/>
      <c r="U29" s="417"/>
    </row>
    <row r="30" spans="1:21">
      <c r="A30" s="44"/>
      <c r="B30" s="342"/>
      <c r="C30" s="345"/>
      <c r="D30" s="53"/>
      <c r="E30" s="53"/>
      <c r="F30" s="54"/>
      <c r="G30" s="60"/>
      <c r="H30" s="60"/>
      <c r="I30" s="60"/>
      <c r="J30" s="55"/>
      <c r="K30" s="79"/>
      <c r="L30" s="60"/>
      <c r="M30" s="60"/>
      <c r="N30" s="60"/>
      <c r="O30" s="60"/>
      <c r="P30" s="60"/>
      <c r="Q30" s="60"/>
      <c r="R30" s="60"/>
      <c r="S30" s="60"/>
      <c r="T30" s="60"/>
      <c r="U30" s="418"/>
    </row>
    <row r="31" spans="1:21" ht="15.75" thickBot="1">
      <c r="A31" s="217"/>
      <c r="B31" s="342"/>
      <c r="C31" s="343"/>
      <c r="D31" s="339"/>
      <c r="E31" s="339"/>
      <c r="F31" s="54"/>
      <c r="G31" s="60"/>
      <c r="H31" s="60"/>
      <c r="I31" s="60"/>
      <c r="J31" s="55"/>
      <c r="K31" s="79"/>
      <c r="L31" s="218"/>
      <c r="M31" s="218"/>
      <c r="N31" s="218"/>
      <c r="O31" s="218"/>
      <c r="P31" s="218"/>
      <c r="Q31" s="218"/>
      <c r="R31" s="218"/>
      <c r="S31" s="218"/>
      <c r="T31" s="218"/>
      <c r="U31" s="419"/>
    </row>
    <row r="32" spans="1:21" ht="15.75" thickBot="1">
      <c r="A32" s="219" t="s">
        <v>107</v>
      </c>
      <c r="B32" s="315"/>
      <c r="C32" s="226"/>
      <c r="D32" s="227">
        <f>D7*D5</f>
        <v>6199.95</v>
      </c>
      <c r="E32" s="227"/>
      <c r="F32" s="228">
        <f>SUM(F9:F31)</f>
        <v>6254</v>
      </c>
      <c r="G32" s="229"/>
      <c r="H32" s="229"/>
      <c r="I32" s="229"/>
      <c r="J32" s="230"/>
      <c r="K32" s="231"/>
      <c r="L32" s="229">
        <f>SUM(L9:L31)</f>
        <v>54</v>
      </c>
      <c r="M32" s="229">
        <f>SUM(M9:M31)</f>
        <v>0</v>
      </c>
      <c r="N32" s="229">
        <f>SUM(N9:N31)</f>
        <v>0</v>
      </c>
      <c r="O32" s="225">
        <f>SUM(L32:N32)</f>
        <v>54</v>
      </c>
      <c r="P32" s="225"/>
      <c r="Q32" s="225"/>
      <c r="R32" s="225"/>
      <c r="S32" s="225"/>
      <c r="T32" s="225"/>
      <c r="U32" s="447">
        <f>AVERAGE(U9:U31)</f>
        <v>0.93731428571428577</v>
      </c>
    </row>
    <row r="36" spans="5:5">
      <c r="E36" s="65"/>
    </row>
  </sheetData>
  <mergeCells count="4">
    <mergeCell ref="H1:I1"/>
    <mergeCell ref="H2:I2"/>
    <mergeCell ref="F7:I7"/>
    <mergeCell ref="J7:N7"/>
  </mergeCells>
  <conditionalFormatting sqref="H1:I1">
    <cfRule type="cellIs" dxfId="52" priority="3" operator="lessThan">
      <formula>0</formula>
    </cfRule>
  </conditionalFormatting>
  <conditionalFormatting sqref="K9:K32">
    <cfRule type="cellIs" dxfId="51" priority="1" operator="greaterThan">
      <formula>0.1</formula>
    </cfRule>
  </conditionalFormatting>
  <pageMargins left="0.7" right="0.7" top="0.75" bottom="0.75" header="0.3" footer="0.3"/>
  <pageSetup paperSize="9" scale="7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11">
    <pageSetUpPr fitToPage="1"/>
  </sheetPr>
  <dimension ref="A1:W31"/>
  <sheetViews>
    <sheetView showGridLines="0" zoomScale="70" zoomScaleNormal="70" workbookViewId="0">
      <pane ySplit="2" topLeftCell="A3" activePane="bottomLeft" state="frozen"/>
      <selection activeCell="P8" sqref="P8:P32"/>
      <selection pane="bottomLeft" activeCell="G24" sqref="G24"/>
    </sheetView>
  </sheetViews>
  <sheetFormatPr defaultRowHeight="15"/>
  <cols>
    <col min="2" max="2" width="8.85546875" customWidth="1"/>
    <col min="3" max="3" width="11.42578125" customWidth="1"/>
    <col min="4" max="4" width="10.42578125" customWidth="1"/>
    <col min="5" max="5" width="19.42578125" customWidth="1"/>
    <col min="6" max="6" width="11.42578125" customWidth="1"/>
    <col min="7" max="7" width="9.42578125" customWidth="1"/>
    <col min="8" max="8" width="13.42578125" customWidth="1"/>
    <col min="9" max="9" width="12.42578125" customWidth="1"/>
    <col min="10" max="10" width="8.85546875" customWidth="1"/>
    <col min="11" max="11" width="11.42578125" customWidth="1"/>
    <col min="12" max="18" width="8.85546875" customWidth="1"/>
    <col min="19" max="19" width="10.42578125" customWidth="1"/>
    <col min="21" max="21" width="25.140625" customWidth="1"/>
  </cols>
  <sheetData>
    <row r="1" spans="1:23" ht="46.5">
      <c r="A1" s="40" t="s">
        <v>148</v>
      </c>
      <c r="B1" s="40"/>
      <c r="C1" s="41"/>
      <c r="D1" s="52" t="s">
        <v>59</v>
      </c>
      <c r="E1" s="41"/>
      <c r="F1" s="41"/>
      <c r="G1" s="41"/>
      <c r="H1" s="502">
        <f>F31-D31</f>
        <v>108</v>
      </c>
      <c r="I1" s="502"/>
      <c r="J1" s="76" t="s">
        <v>149</v>
      </c>
      <c r="K1" s="76"/>
      <c r="L1" s="76"/>
    </row>
    <row r="2" spans="1:23" ht="46.5">
      <c r="A2" s="40"/>
      <c r="B2" s="40"/>
      <c r="C2" s="41"/>
      <c r="D2" s="52"/>
      <c r="E2" s="41"/>
      <c r="F2" s="41"/>
      <c r="G2" s="41"/>
      <c r="H2" s="503"/>
      <c r="I2" s="503"/>
      <c r="J2" s="76"/>
      <c r="K2" s="76"/>
      <c r="L2" s="76"/>
    </row>
    <row r="3" spans="1:23">
      <c r="D3" s="524" t="s">
        <v>60</v>
      </c>
      <c r="E3" s="506" t="s">
        <v>61</v>
      </c>
      <c r="F3" t="s">
        <v>5325</v>
      </c>
    </row>
    <row r="4" spans="1:23">
      <c r="D4" s="525"/>
      <c r="E4" s="506"/>
      <c r="F4">
        <v>2</v>
      </c>
      <c r="L4" s="65">
        <f>C9/2200*8</f>
        <v>48</v>
      </c>
    </row>
    <row r="5" spans="1:23">
      <c r="C5" s="23" t="s">
        <v>112</v>
      </c>
      <c r="D5" s="277">
        <v>880</v>
      </c>
      <c r="E5">
        <f>D5/(2000*F4/8)</f>
        <v>1.76</v>
      </c>
      <c r="F5" s="4">
        <f>E21/D21</f>
        <v>1.163111888111888</v>
      </c>
      <c r="L5">
        <f>2*D6*8</f>
        <v>240</v>
      </c>
      <c r="M5" s="320">
        <f>L4/L5</f>
        <v>0.2</v>
      </c>
    </row>
    <row r="6" spans="1:23">
      <c r="C6" s="273" t="s">
        <v>39</v>
      </c>
      <c r="D6" s="23">
        <f>Headcount!F7</f>
        <v>15</v>
      </c>
      <c r="E6" s="4"/>
    </row>
    <row r="7" spans="1:23">
      <c r="C7" s="23" t="s">
        <v>40</v>
      </c>
      <c r="D7" s="23">
        <f>Headcount!F8</f>
        <v>15</v>
      </c>
      <c r="E7" s="23"/>
      <c r="F7" s="507" t="s">
        <v>150</v>
      </c>
      <c r="G7" s="507"/>
      <c r="H7" s="507"/>
      <c r="I7" s="507"/>
      <c r="J7" s="507" t="s">
        <v>66</v>
      </c>
      <c r="K7" s="507"/>
      <c r="L7" s="507"/>
      <c r="M7" s="507"/>
      <c r="N7" s="507"/>
      <c r="O7" s="23"/>
      <c r="P7" s="23"/>
      <c r="Q7" s="23"/>
      <c r="R7" s="23"/>
      <c r="S7" s="23"/>
      <c r="T7" s="23"/>
    </row>
    <row r="8" spans="1:23" ht="72">
      <c r="A8" s="42" t="s">
        <v>67</v>
      </c>
      <c r="B8" s="42" t="s">
        <v>68</v>
      </c>
      <c r="C8" s="43" t="s">
        <v>69</v>
      </c>
      <c r="D8" s="42" t="s">
        <v>70</v>
      </c>
      <c r="E8" s="42" t="s">
        <v>71</v>
      </c>
      <c r="F8" s="51" t="s">
        <v>72</v>
      </c>
      <c r="G8" s="42" t="s">
        <v>73</v>
      </c>
      <c r="H8" s="42" t="s">
        <v>74</v>
      </c>
      <c r="I8" s="42" t="s">
        <v>93</v>
      </c>
      <c r="J8" s="47" t="s">
        <v>76</v>
      </c>
      <c r="K8" s="42" t="s">
        <v>77</v>
      </c>
      <c r="L8" s="42" t="s">
        <v>78</v>
      </c>
      <c r="M8" s="42" t="s">
        <v>79</v>
      </c>
      <c r="N8" s="42" t="s">
        <v>100</v>
      </c>
      <c r="O8" s="438" t="s">
        <v>82</v>
      </c>
      <c r="P8" s="438" t="s">
        <v>97</v>
      </c>
      <c r="Q8" s="438" t="s">
        <v>84</v>
      </c>
      <c r="R8" s="42" t="s">
        <v>85</v>
      </c>
      <c r="S8" s="42" t="s">
        <v>86</v>
      </c>
      <c r="T8" s="42" t="s">
        <v>87</v>
      </c>
    </row>
    <row r="9" spans="1:23">
      <c r="A9" s="44">
        <f>Headcount!A10</f>
        <v>2</v>
      </c>
      <c r="B9" s="217">
        <f>$D$5</f>
        <v>880</v>
      </c>
      <c r="C9" s="341">
        <f>D5*D6</f>
        <v>13200</v>
      </c>
      <c r="D9" s="338">
        <f>D5</f>
        <v>880</v>
      </c>
      <c r="E9" s="338">
        <f>F9</f>
        <v>1</v>
      </c>
      <c r="F9" s="302">
        <f>G9+H9+I9</f>
        <v>1</v>
      </c>
      <c r="G9" s="218">
        <v>1</v>
      </c>
      <c r="H9" s="218">
        <v>0</v>
      </c>
      <c r="I9" s="265">
        <v>0</v>
      </c>
      <c r="J9" s="365">
        <f t="shared" ref="J9:J19" si="0">L9+M9+N9</f>
        <v>0</v>
      </c>
      <c r="K9" s="346">
        <f t="shared" ref="K9:K19" si="1">IF(J9=0,0,J9/(J9+F9))</f>
        <v>0</v>
      </c>
      <c r="L9" s="218">
        <v>0</v>
      </c>
      <c r="M9" s="218">
        <v>0</v>
      </c>
      <c r="N9" s="218">
        <v>0</v>
      </c>
      <c r="O9" s="439">
        <f>[1]Munka3!$D5</f>
        <v>6</v>
      </c>
      <c r="P9" s="439">
        <f>8*2</f>
        <v>16</v>
      </c>
      <c r="Q9" s="483">
        <f>$E$5</f>
        <v>1.76</v>
      </c>
      <c r="R9" s="327">
        <v>1</v>
      </c>
      <c r="S9" s="405" t="e">
        <f>AVERAGE($T$9:T9)</f>
        <v>#DIV/0!</v>
      </c>
      <c r="T9" s="335" t="s">
        <v>88</v>
      </c>
    </row>
    <row r="10" spans="1:23">
      <c r="A10" s="44">
        <f>Headcount!A11</f>
        <v>3</v>
      </c>
      <c r="B10" s="363">
        <f t="shared" ref="B10:B23" si="2">$D$5</f>
        <v>880</v>
      </c>
      <c r="C10" s="345">
        <f>$C$9-D9</f>
        <v>12320</v>
      </c>
      <c r="D10" s="53">
        <f t="shared" ref="D10:D23" si="3">D9+$D$5</f>
        <v>1760</v>
      </c>
      <c r="E10" s="53">
        <f t="shared" ref="E10" si="4">IF(E9=0,0,E9+F10)</f>
        <v>2</v>
      </c>
      <c r="F10" s="54">
        <f>G10+H10+I10</f>
        <v>1</v>
      </c>
      <c r="G10" s="60">
        <v>1</v>
      </c>
      <c r="H10" s="60">
        <v>0</v>
      </c>
      <c r="I10" s="60">
        <v>0</v>
      </c>
      <c r="J10" s="50">
        <f t="shared" si="0"/>
        <v>0</v>
      </c>
      <c r="K10" s="79">
        <f t="shared" si="1"/>
        <v>0</v>
      </c>
      <c r="L10" s="60">
        <v>0</v>
      </c>
      <c r="M10" s="60">
        <v>0</v>
      </c>
      <c r="N10" s="60">
        <v>0</v>
      </c>
      <c r="O10" s="439">
        <f>[1]Munka3!$D6</f>
        <v>0</v>
      </c>
      <c r="P10" s="439">
        <f t="shared" ref="P10:P21" si="5">8*2</f>
        <v>16</v>
      </c>
      <c r="Q10" s="483">
        <f t="shared" ref="Q10:Q23" si="6">$E$5</f>
        <v>1.76</v>
      </c>
      <c r="R10" s="459">
        <v>1</v>
      </c>
      <c r="S10" s="406" t="e">
        <f>AVERAGE($T$9:T10)</f>
        <v>#DIV/0!</v>
      </c>
      <c r="T10" s="427" t="s">
        <v>88</v>
      </c>
    </row>
    <row r="11" spans="1:23">
      <c r="A11" s="44">
        <f>Headcount!A12</f>
        <v>4</v>
      </c>
      <c r="B11" s="363">
        <f t="shared" si="2"/>
        <v>880</v>
      </c>
      <c r="C11" s="345">
        <f>$C$9-D10</f>
        <v>11440</v>
      </c>
      <c r="D11" s="53">
        <f t="shared" si="3"/>
        <v>2640</v>
      </c>
      <c r="E11" s="53">
        <f t="shared" ref="E11" si="7">IF(E10=0,0,E10+F11)</f>
        <v>1782</v>
      </c>
      <c r="F11" s="54">
        <f t="shared" ref="F11:F21" si="8">G11+H11+I11</f>
        <v>1780</v>
      </c>
      <c r="G11" s="60">
        <v>1780</v>
      </c>
      <c r="H11" s="60">
        <v>0</v>
      </c>
      <c r="I11" s="60">
        <v>0</v>
      </c>
      <c r="J11" s="50">
        <f t="shared" si="0"/>
        <v>2</v>
      </c>
      <c r="K11" s="79">
        <f t="shared" si="1"/>
        <v>1.1223344556677891E-3</v>
      </c>
      <c r="L11" s="60">
        <v>2</v>
      </c>
      <c r="M11" s="60">
        <v>0</v>
      </c>
      <c r="N11" s="60">
        <v>0</v>
      </c>
      <c r="O11" s="439">
        <f>[1]Munka3!$D7</f>
        <v>0</v>
      </c>
      <c r="P11" s="439">
        <f t="shared" si="5"/>
        <v>16</v>
      </c>
      <c r="Q11" s="483">
        <f t="shared" si="6"/>
        <v>1.76</v>
      </c>
      <c r="R11" s="334">
        <v>1</v>
      </c>
      <c r="S11" s="406">
        <f>AVERAGE($T$9:T11)</f>
        <v>0.66879999999999995</v>
      </c>
      <c r="T11" s="336">
        <v>0.66879999999999995</v>
      </c>
      <c r="U11" s="528"/>
      <c r="V11" s="504"/>
      <c r="W11" s="504"/>
    </row>
    <row r="12" spans="1:23">
      <c r="A12" s="44">
        <f>Headcount!A13</f>
        <v>5</v>
      </c>
      <c r="B12" s="363">
        <f t="shared" si="2"/>
        <v>880</v>
      </c>
      <c r="C12" s="345">
        <f>$C$9-D11</f>
        <v>10560</v>
      </c>
      <c r="D12" s="53">
        <f t="shared" si="3"/>
        <v>3520</v>
      </c>
      <c r="E12" s="53">
        <f t="shared" ref="E12:E22" si="9">IF(E11=0,0,E11+F12)</f>
        <v>5327</v>
      </c>
      <c r="F12" s="54">
        <f t="shared" si="8"/>
        <v>3545</v>
      </c>
      <c r="G12" s="60">
        <v>3545</v>
      </c>
      <c r="H12" s="60">
        <v>0</v>
      </c>
      <c r="I12" s="60">
        <v>0</v>
      </c>
      <c r="J12" s="50">
        <f t="shared" si="0"/>
        <v>3</v>
      </c>
      <c r="K12" s="79">
        <f t="shared" si="1"/>
        <v>8.4554678692220966E-4</v>
      </c>
      <c r="L12" s="60">
        <v>3</v>
      </c>
      <c r="M12" s="60">
        <v>0</v>
      </c>
      <c r="N12" s="60">
        <v>0</v>
      </c>
      <c r="O12" s="439">
        <f>[1]Munka3!$D8</f>
        <v>0</v>
      </c>
      <c r="P12" s="439">
        <f t="shared" si="5"/>
        <v>16</v>
      </c>
      <c r="Q12" s="483">
        <f t="shared" si="6"/>
        <v>1.76</v>
      </c>
      <c r="R12" s="334">
        <v>1</v>
      </c>
      <c r="S12" s="406">
        <f>AVERAGE($T$9:T12)</f>
        <v>0.79194999999999993</v>
      </c>
      <c r="T12" s="336">
        <v>0.91510000000000002</v>
      </c>
    </row>
    <row r="13" spans="1:23">
      <c r="A13" s="44">
        <f>Headcount!A14</f>
        <v>6</v>
      </c>
      <c r="B13" s="363">
        <f t="shared" si="2"/>
        <v>880</v>
      </c>
      <c r="C13" s="345">
        <f t="shared" ref="C13:C16" si="10">$C$9-D12</f>
        <v>9680</v>
      </c>
      <c r="D13" s="53">
        <f t="shared" si="3"/>
        <v>4400</v>
      </c>
      <c r="E13" s="53">
        <f t="shared" si="9"/>
        <v>8624</v>
      </c>
      <c r="F13" s="54">
        <f t="shared" si="8"/>
        <v>3297</v>
      </c>
      <c r="G13" s="60">
        <v>3297</v>
      </c>
      <c r="H13" s="60">
        <v>0</v>
      </c>
      <c r="I13" s="60">
        <v>0</v>
      </c>
      <c r="J13" s="50">
        <f>L13+M13+N13</f>
        <v>2</v>
      </c>
      <c r="K13" s="79">
        <f>IF(J13=0,0,J13/(J13+F13))</f>
        <v>6.062443164595332E-4</v>
      </c>
      <c r="L13" s="60">
        <v>2</v>
      </c>
      <c r="M13" s="60">
        <v>0</v>
      </c>
      <c r="N13" s="60">
        <v>0</v>
      </c>
      <c r="O13" s="439">
        <f>[1]Munka3!$D9</f>
        <v>0</v>
      </c>
      <c r="P13" s="439">
        <f t="shared" si="5"/>
        <v>16</v>
      </c>
      <c r="Q13" s="483">
        <f t="shared" si="6"/>
        <v>1.76</v>
      </c>
      <c r="R13" s="334">
        <v>1</v>
      </c>
      <c r="S13" s="406">
        <f>AVERAGE($T$9:T13)</f>
        <v>0.85243333333333327</v>
      </c>
      <c r="T13" s="336">
        <v>0.97340000000000004</v>
      </c>
    </row>
    <row r="14" spans="1:23">
      <c r="A14" s="44">
        <f>Headcount!A15</f>
        <v>9</v>
      </c>
      <c r="B14" s="363">
        <f t="shared" si="2"/>
        <v>880</v>
      </c>
      <c r="C14" s="345">
        <f t="shared" si="10"/>
        <v>8800</v>
      </c>
      <c r="D14" s="53">
        <f t="shared" si="3"/>
        <v>5280</v>
      </c>
      <c r="E14" s="53">
        <f t="shared" si="9"/>
        <v>12101</v>
      </c>
      <c r="F14" s="54">
        <f t="shared" si="8"/>
        <v>3477</v>
      </c>
      <c r="G14" s="60">
        <v>3477</v>
      </c>
      <c r="H14" s="60">
        <v>0</v>
      </c>
      <c r="I14" s="60">
        <v>0</v>
      </c>
      <c r="J14" s="50">
        <f t="shared" si="0"/>
        <v>4</v>
      </c>
      <c r="K14" s="79">
        <f t="shared" si="1"/>
        <v>1.1490950876185005E-3</v>
      </c>
      <c r="L14" s="60">
        <v>4</v>
      </c>
      <c r="M14" s="60">
        <v>0</v>
      </c>
      <c r="N14" s="60">
        <v>0</v>
      </c>
      <c r="O14" s="439">
        <f>[1]Munka3!$D10</f>
        <v>0</v>
      </c>
      <c r="P14" s="439">
        <f t="shared" si="5"/>
        <v>16</v>
      </c>
      <c r="Q14" s="483">
        <f t="shared" si="6"/>
        <v>1.76</v>
      </c>
      <c r="R14" s="334">
        <v>1</v>
      </c>
      <c r="S14" s="406">
        <f>AVERAGE($T$9:T14)</f>
        <v>0.86397499999999994</v>
      </c>
      <c r="T14" s="427">
        <v>0.89859999999999995</v>
      </c>
      <c r="U14" s="305"/>
    </row>
    <row r="15" spans="1:23">
      <c r="A15" s="44">
        <f>Headcount!A16</f>
        <v>10</v>
      </c>
      <c r="B15" s="363">
        <f t="shared" si="2"/>
        <v>880</v>
      </c>
      <c r="C15" s="345">
        <f t="shared" si="10"/>
        <v>7920</v>
      </c>
      <c r="D15" s="53">
        <f t="shared" si="3"/>
        <v>6160</v>
      </c>
      <c r="E15" s="53">
        <f t="shared" si="9"/>
        <v>12102</v>
      </c>
      <c r="F15" s="54">
        <f t="shared" si="8"/>
        <v>1</v>
      </c>
      <c r="G15" s="60">
        <v>1</v>
      </c>
      <c r="H15" s="60">
        <v>0</v>
      </c>
      <c r="I15" s="60">
        <v>0</v>
      </c>
      <c r="J15" s="50">
        <f t="shared" si="0"/>
        <v>0</v>
      </c>
      <c r="K15" s="79">
        <f t="shared" si="1"/>
        <v>0</v>
      </c>
      <c r="L15" s="60">
        <v>0</v>
      </c>
      <c r="M15" s="60">
        <v>0</v>
      </c>
      <c r="N15" s="60">
        <v>0</v>
      </c>
      <c r="O15" s="439">
        <f>[1]Munka3!$D11</f>
        <v>0</v>
      </c>
      <c r="P15" s="439">
        <f t="shared" si="5"/>
        <v>16</v>
      </c>
      <c r="Q15" s="483">
        <f t="shared" si="6"/>
        <v>1.76</v>
      </c>
      <c r="R15" s="334">
        <v>1</v>
      </c>
      <c r="S15" s="406">
        <f>AVERAGE($T$9:T15)</f>
        <v>0.86397499999999994</v>
      </c>
      <c r="T15" s="336" t="s">
        <v>88</v>
      </c>
      <c r="U15" s="479"/>
    </row>
    <row r="16" spans="1:23">
      <c r="A16" s="44">
        <f>Headcount!A17</f>
        <v>11</v>
      </c>
      <c r="B16" s="363">
        <f t="shared" si="2"/>
        <v>880</v>
      </c>
      <c r="C16" s="345">
        <f t="shared" si="10"/>
        <v>7040</v>
      </c>
      <c r="D16" s="53">
        <f t="shared" si="3"/>
        <v>7040</v>
      </c>
      <c r="E16" s="53">
        <f t="shared" si="9"/>
        <v>12103</v>
      </c>
      <c r="F16" s="54">
        <f t="shared" si="8"/>
        <v>1</v>
      </c>
      <c r="G16" s="60">
        <v>1</v>
      </c>
      <c r="H16" s="60">
        <v>0</v>
      </c>
      <c r="I16" s="60">
        <v>0</v>
      </c>
      <c r="J16" s="50">
        <f t="shared" si="0"/>
        <v>0</v>
      </c>
      <c r="K16" s="79">
        <f t="shared" si="1"/>
        <v>0</v>
      </c>
      <c r="L16" s="60">
        <v>0</v>
      </c>
      <c r="M16" s="60">
        <v>0</v>
      </c>
      <c r="N16" s="60">
        <v>0</v>
      </c>
      <c r="O16" s="439">
        <f>[1]Munka3!$D12</f>
        <v>0</v>
      </c>
      <c r="P16" s="439">
        <f t="shared" si="5"/>
        <v>16</v>
      </c>
      <c r="Q16" s="483">
        <f t="shared" si="6"/>
        <v>1.76</v>
      </c>
      <c r="R16" s="334">
        <v>1</v>
      </c>
      <c r="S16" s="406">
        <f>AVERAGE($T$9:T16)</f>
        <v>0.86397499999999994</v>
      </c>
      <c r="T16" s="336" t="s">
        <v>88</v>
      </c>
      <c r="U16" s="479"/>
    </row>
    <row r="17" spans="1:22">
      <c r="A17" s="44">
        <f>Headcount!A18</f>
        <v>12</v>
      </c>
      <c r="B17" s="363">
        <f t="shared" si="2"/>
        <v>880</v>
      </c>
      <c r="C17" s="345">
        <f t="shared" ref="C17" si="11">$C$9-D16</f>
        <v>6160</v>
      </c>
      <c r="D17" s="53">
        <f t="shared" si="3"/>
        <v>7920</v>
      </c>
      <c r="E17" s="53">
        <f t="shared" si="9"/>
        <v>12104</v>
      </c>
      <c r="F17" s="54">
        <f t="shared" si="8"/>
        <v>1</v>
      </c>
      <c r="G17" s="60">
        <v>1</v>
      </c>
      <c r="H17" s="60">
        <v>0</v>
      </c>
      <c r="I17" s="60">
        <v>0</v>
      </c>
      <c r="J17" s="50">
        <f t="shared" ref="J17" si="12">L17+M17+N17</f>
        <v>0</v>
      </c>
      <c r="K17" s="79">
        <f t="shared" ref="K17" si="13">IF(J17=0,0,J17/(J17+F17))</f>
        <v>0</v>
      </c>
      <c r="L17" s="60">
        <v>0</v>
      </c>
      <c r="M17" s="60">
        <v>0</v>
      </c>
      <c r="N17" s="60">
        <v>0</v>
      </c>
      <c r="O17" s="439">
        <f>[1]Munka3!$D13</f>
        <v>0</v>
      </c>
      <c r="P17" s="439">
        <f t="shared" si="5"/>
        <v>16</v>
      </c>
      <c r="Q17" s="483">
        <f t="shared" si="6"/>
        <v>1.76</v>
      </c>
      <c r="R17" s="334">
        <v>1</v>
      </c>
      <c r="S17" s="406">
        <f>AVERAGE($T$9:T17)</f>
        <v>0.86397499999999994</v>
      </c>
      <c r="T17" s="336" t="s">
        <v>88</v>
      </c>
      <c r="U17" s="479"/>
    </row>
    <row r="18" spans="1:22">
      <c r="A18" s="44">
        <f>Headcount!A19</f>
        <v>13</v>
      </c>
      <c r="B18" s="363">
        <f t="shared" si="2"/>
        <v>880</v>
      </c>
      <c r="C18" s="345">
        <f t="shared" ref="C18:C21" si="14">$C$9-D17</f>
        <v>5280</v>
      </c>
      <c r="D18" s="53">
        <f t="shared" si="3"/>
        <v>8800</v>
      </c>
      <c r="E18" s="53">
        <f t="shared" si="9"/>
        <v>12704</v>
      </c>
      <c r="F18" s="54">
        <f t="shared" si="8"/>
        <v>600</v>
      </c>
      <c r="G18" s="60">
        <v>600</v>
      </c>
      <c r="H18" s="60">
        <v>0</v>
      </c>
      <c r="I18" s="60">
        <v>0</v>
      </c>
      <c r="J18" s="50">
        <f t="shared" si="0"/>
        <v>1</v>
      </c>
      <c r="K18" s="79">
        <f t="shared" si="1"/>
        <v>1.6638935108153079E-3</v>
      </c>
      <c r="L18" s="60">
        <v>1</v>
      </c>
      <c r="M18" s="60">
        <v>0</v>
      </c>
      <c r="N18" s="60">
        <v>0</v>
      </c>
      <c r="O18" s="439">
        <f>[1]Munka3!$D14</f>
        <v>0</v>
      </c>
      <c r="P18" s="439">
        <f t="shared" si="5"/>
        <v>16</v>
      </c>
      <c r="Q18" s="483">
        <f t="shared" si="6"/>
        <v>1.76</v>
      </c>
      <c r="R18" s="334">
        <v>1</v>
      </c>
      <c r="S18" s="406">
        <f>AVERAGE($T$9:T18)</f>
        <v>0.88935999999999993</v>
      </c>
      <c r="T18" s="336">
        <v>0.9909</v>
      </c>
      <c r="U18" s="479"/>
    </row>
    <row r="19" spans="1:22">
      <c r="A19" s="44">
        <f>Headcount!A20</f>
        <v>16</v>
      </c>
      <c r="B19" s="363">
        <f t="shared" si="2"/>
        <v>880</v>
      </c>
      <c r="C19" s="345">
        <f t="shared" si="14"/>
        <v>4400</v>
      </c>
      <c r="D19" s="53">
        <f t="shared" si="3"/>
        <v>9680</v>
      </c>
      <c r="E19" s="53">
        <f t="shared" si="9"/>
        <v>13304</v>
      </c>
      <c r="F19" s="54">
        <f t="shared" si="8"/>
        <v>600</v>
      </c>
      <c r="G19" s="60">
        <v>600</v>
      </c>
      <c r="H19" s="60">
        <v>0</v>
      </c>
      <c r="I19" s="60">
        <v>0</v>
      </c>
      <c r="J19" s="50">
        <f t="shared" si="0"/>
        <v>1</v>
      </c>
      <c r="K19" s="79">
        <f t="shared" si="1"/>
        <v>1.6638935108153079E-3</v>
      </c>
      <c r="L19" s="60">
        <v>1</v>
      </c>
      <c r="M19" s="60">
        <v>0</v>
      </c>
      <c r="N19" s="60">
        <v>0</v>
      </c>
      <c r="O19" s="439">
        <f>[1]Munka3!$D15</f>
        <v>0</v>
      </c>
      <c r="P19" s="439">
        <f t="shared" si="5"/>
        <v>16</v>
      </c>
      <c r="Q19" s="483">
        <f t="shared" si="6"/>
        <v>1.76</v>
      </c>
      <c r="R19" s="334">
        <v>1</v>
      </c>
      <c r="S19" s="406">
        <f>AVERAGE($T$9:T19)</f>
        <v>0.86958333333333326</v>
      </c>
      <c r="T19" s="336">
        <v>0.77070000000000005</v>
      </c>
      <c r="U19" s="479"/>
    </row>
    <row r="20" spans="1:22">
      <c r="A20" s="44">
        <f>Headcount!A21</f>
        <v>17</v>
      </c>
      <c r="B20" s="363">
        <f t="shared" si="2"/>
        <v>880</v>
      </c>
      <c r="C20" s="345">
        <f t="shared" si="14"/>
        <v>3520</v>
      </c>
      <c r="D20" s="53">
        <f t="shared" si="3"/>
        <v>10560</v>
      </c>
      <c r="E20" s="53">
        <f t="shared" si="9"/>
        <v>13305</v>
      </c>
      <c r="F20" s="54">
        <f t="shared" si="8"/>
        <v>1</v>
      </c>
      <c r="G20" s="60">
        <v>1</v>
      </c>
      <c r="H20" s="60">
        <v>0</v>
      </c>
      <c r="I20" s="60">
        <v>0</v>
      </c>
      <c r="J20" s="50">
        <f t="shared" ref="J20:J23" si="15">L20+M20+N20</f>
        <v>0</v>
      </c>
      <c r="K20" s="79">
        <f t="shared" ref="K20:K23" si="16">IF(J20=0,0,J20/(J20+F20))</f>
        <v>0</v>
      </c>
      <c r="L20" s="60">
        <v>0</v>
      </c>
      <c r="M20" s="60">
        <v>0</v>
      </c>
      <c r="N20" s="60">
        <v>0</v>
      </c>
      <c r="O20" s="439">
        <f>[1]Munka3!$D16</f>
        <v>0</v>
      </c>
      <c r="P20" s="439">
        <f t="shared" si="5"/>
        <v>16</v>
      </c>
      <c r="Q20" s="483">
        <f t="shared" si="6"/>
        <v>1.76</v>
      </c>
      <c r="R20" s="334">
        <v>1</v>
      </c>
      <c r="S20" s="406">
        <f>AVERAGE($T$9:T20)</f>
        <v>0.86958333333333326</v>
      </c>
      <c r="T20" s="336" t="s">
        <v>88</v>
      </c>
      <c r="U20" s="479"/>
    </row>
    <row r="21" spans="1:22">
      <c r="A21" s="44">
        <f>Headcount!A22</f>
        <v>18</v>
      </c>
      <c r="B21" s="363">
        <f t="shared" si="2"/>
        <v>880</v>
      </c>
      <c r="C21" s="345">
        <f t="shared" si="14"/>
        <v>2640</v>
      </c>
      <c r="D21" s="53">
        <f t="shared" si="3"/>
        <v>11440</v>
      </c>
      <c r="E21" s="53">
        <f t="shared" si="9"/>
        <v>13306</v>
      </c>
      <c r="F21" s="54">
        <f t="shared" si="8"/>
        <v>1</v>
      </c>
      <c r="G21" s="60">
        <v>1</v>
      </c>
      <c r="H21" s="60">
        <v>0</v>
      </c>
      <c r="I21" s="60">
        <v>0</v>
      </c>
      <c r="J21" s="50">
        <f t="shared" si="15"/>
        <v>0</v>
      </c>
      <c r="K21" s="79">
        <f t="shared" si="16"/>
        <v>0</v>
      </c>
      <c r="L21" s="60">
        <v>0</v>
      </c>
      <c r="M21" s="60">
        <v>0</v>
      </c>
      <c r="N21" s="60">
        <v>0</v>
      </c>
      <c r="O21" s="439">
        <f>[1]Munka3!$D17</f>
        <v>0</v>
      </c>
      <c r="P21" s="439">
        <f t="shared" si="5"/>
        <v>16</v>
      </c>
      <c r="Q21" s="483">
        <f t="shared" si="6"/>
        <v>1.76</v>
      </c>
      <c r="R21" s="334">
        <v>1</v>
      </c>
      <c r="S21" s="406">
        <f>AVERAGE($T$9:T21)</f>
        <v>0.86958333333333326</v>
      </c>
      <c r="T21" s="336" t="s">
        <v>88</v>
      </c>
      <c r="U21" s="479"/>
    </row>
    <row r="22" spans="1:22">
      <c r="A22" s="44">
        <f>Headcount!A23</f>
        <v>19</v>
      </c>
      <c r="B22" s="363">
        <f t="shared" si="2"/>
        <v>880</v>
      </c>
      <c r="C22" s="345">
        <f t="shared" ref="C22:C23" si="17">$C$9-D21</f>
        <v>1760</v>
      </c>
      <c r="D22" s="53">
        <f t="shared" si="3"/>
        <v>12320</v>
      </c>
      <c r="E22" s="53">
        <f t="shared" si="9"/>
        <v>13307</v>
      </c>
      <c r="F22" s="54">
        <f t="shared" ref="F22:F23" si="18">G22+H22+I22</f>
        <v>1</v>
      </c>
      <c r="G22" s="60">
        <v>1</v>
      </c>
      <c r="H22" s="60">
        <v>0</v>
      </c>
      <c r="I22" s="60">
        <v>0</v>
      </c>
      <c r="J22" s="50">
        <f t="shared" si="15"/>
        <v>0</v>
      </c>
      <c r="K22" s="79">
        <f t="shared" si="16"/>
        <v>0</v>
      </c>
      <c r="L22" s="60">
        <v>0</v>
      </c>
      <c r="M22" s="60">
        <v>0</v>
      </c>
      <c r="N22" s="60">
        <v>0</v>
      </c>
      <c r="O22" s="439">
        <f>[1]Munka3!$D18</f>
        <v>0</v>
      </c>
      <c r="P22" s="439">
        <v>16</v>
      </c>
      <c r="Q22" s="483">
        <f t="shared" si="6"/>
        <v>1.76</v>
      </c>
      <c r="R22" s="334">
        <v>1</v>
      </c>
      <c r="S22" s="406">
        <f>AVERAGE($T$9:T22)</f>
        <v>0.86958333333333326</v>
      </c>
      <c r="T22" s="336" t="s">
        <v>88</v>
      </c>
      <c r="U22" s="479"/>
      <c r="V22" s="308"/>
    </row>
    <row r="23" spans="1:22">
      <c r="A23" s="44">
        <f>Headcount!A24</f>
        <v>20</v>
      </c>
      <c r="B23" s="363">
        <f t="shared" si="2"/>
        <v>880</v>
      </c>
      <c r="C23" s="345">
        <f t="shared" si="17"/>
        <v>880</v>
      </c>
      <c r="D23" s="53">
        <f t="shared" si="3"/>
        <v>13200</v>
      </c>
      <c r="E23" s="53">
        <f t="shared" ref="E23" si="19">IF(E22=0,0,E22+F23)</f>
        <v>13308</v>
      </c>
      <c r="F23" s="54">
        <f t="shared" si="18"/>
        <v>1</v>
      </c>
      <c r="G23" s="60">
        <v>1</v>
      </c>
      <c r="H23" s="60">
        <v>0</v>
      </c>
      <c r="I23" s="60">
        <v>0</v>
      </c>
      <c r="J23" s="50">
        <f t="shared" si="15"/>
        <v>0</v>
      </c>
      <c r="K23" s="79">
        <f t="shared" si="16"/>
        <v>0</v>
      </c>
      <c r="L23" s="60">
        <v>0</v>
      </c>
      <c r="M23" s="60">
        <v>0</v>
      </c>
      <c r="N23" s="60">
        <v>0</v>
      </c>
      <c r="O23" s="439">
        <f>[1]Munka3!$D19</f>
        <v>0</v>
      </c>
      <c r="P23" s="439">
        <v>16</v>
      </c>
      <c r="Q23" s="483">
        <f t="shared" si="6"/>
        <v>1.76</v>
      </c>
      <c r="R23" s="334">
        <v>1</v>
      </c>
      <c r="S23" s="406">
        <f>AVERAGE($T$9:T23)</f>
        <v>0.86958333333333326</v>
      </c>
      <c r="T23" s="336" t="s">
        <v>88</v>
      </c>
      <c r="U23" s="479"/>
      <c r="V23" s="308"/>
    </row>
    <row r="24" spans="1:22" ht="16.149999999999999" customHeight="1">
      <c r="A24" s="44"/>
      <c r="B24" s="363"/>
      <c r="C24" s="345"/>
      <c r="D24" s="53"/>
      <c r="E24" s="53"/>
      <c r="F24" s="54"/>
      <c r="G24" s="60"/>
      <c r="H24" s="60"/>
      <c r="I24" s="60"/>
      <c r="J24" s="50"/>
      <c r="K24" s="79"/>
      <c r="L24" s="60"/>
      <c r="M24" s="60"/>
      <c r="N24" s="60"/>
      <c r="O24" s="439"/>
      <c r="P24" s="439"/>
      <c r="Q24" s="483"/>
      <c r="R24" s="334"/>
      <c r="S24" s="406"/>
      <c r="T24" s="336"/>
      <c r="U24" s="479"/>
      <c r="V24" s="308"/>
    </row>
    <row r="25" spans="1:22">
      <c r="A25" s="44"/>
      <c r="B25" s="363"/>
      <c r="C25" s="345"/>
      <c r="D25" s="53"/>
      <c r="E25" s="53"/>
      <c r="F25" s="54"/>
      <c r="G25" s="60"/>
      <c r="H25" s="60"/>
      <c r="I25" s="60"/>
      <c r="J25" s="50"/>
      <c r="K25" s="79"/>
      <c r="L25" s="60"/>
      <c r="M25" s="60"/>
      <c r="N25" s="60"/>
      <c r="O25" s="439"/>
      <c r="P25" s="439"/>
      <c r="Q25" s="483"/>
      <c r="R25" s="334"/>
      <c r="S25" s="406"/>
      <c r="T25" s="336"/>
      <c r="U25" s="479"/>
      <c r="V25" s="308"/>
    </row>
    <row r="26" spans="1:22">
      <c r="A26" s="44"/>
      <c r="B26" s="363"/>
      <c r="C26" s="345"/>
      <c r="D26" s="53"/>
      <c r="E26" s="53"/>
      <c r="F26" s="54"/>
      <c r="G26" s="60"/>
      <c r="H26" s="60"/>
      <c r="I26" s="60"/>
      <c r="J26" s="50"/>
      <c r="K26" s="79"/>
      <c r="L26" s="60"/>
      <c r="M26" s="60"/>
      <c r="N26" s="60"/>
      <c r="O26" s="439"/>
      <c r="P26" s="439"/>
      <c r="Q26" s="483"/>
      <c r="R26" s="334"/>
      <c r="S26" s="406"/>
      <c r="T26" s="336"/>
      <c r="U26" s="494"/>
      <c r="V26" s="308"/>
    </row>
    <row r="27" spans="1:22">
      <c r="A27" s="44"/>
      <c r="B27" s="363"/>
      <c r="C27" s="345"/>
      <c r="D27" s="53"/>
      <c r="E27" s="53"/>
      <c r="F27" s="54"/>
      <c r="G27" s="60"/>
      <c r="H27" s="60"/>
      <c r="I27" s="60"/>
      <c r="J27" s="50"/>
      <c r="K27" s="79"/>
      <c r="L27" s="60"/>
      <c r="M27" s="60"/>
      <c r="N27" s="60"/>
      <c r="O27" s="439"/>
      <c r="P27" s="439"/>
      <c r="Q27" s="483"/>
      <c r="R27" s="334"/>
      <c r="S27" s="406"/>
      <c r="T27" s="336"/>
      <c r="U27" s="494"/>
    </row>
    <row r="28" spans="1:22">
      <c r="A28" s="44"/>
      <c r="B28" s="363"/>
      <c r="C28" s="345"/>
      <c r="D28" s="53"/>
      <c r="E28" s="53"/>
      <c r="F28" s="54"/>
      <c r="G28" s="60"/>
      <c r="H28" s="60"/>
      <c r="I28" s="60"/>
      <c r="J28" s="50"/>
      <c r="K28" s="79"/>
      <c r="L28" s="60"/>
      <c r="M28" s="60"/>
      <c r="N28" s="60"/>
      <c r="O28" s="439"/>
      <c r="P28" s="439"/>
      <c r="Q28" s="483"/>
      <c r="R28" s="334"/>
      <c r="S28" s="406"/>
      <c r="T28" s="336"/>
    </row>
    <row r="29" spans="1:22">
      <c r="A29" s="44"/>
      <c r="B29" s="363"/>
      <c r="C29" s="345"/>
      <c r="D29" s="53"/>
      <c r="E29" s="53"/>
      <c r="F29" s="54"/>
      <c r="G29" s="60"/>
      <c r="H29" s="60"/>
      <c r="I29" s="60"/>
      <c r="J29" s="50"/>
      <c r="K29" s="79"/>
      <c r="L29" s="60"/>
      <c r="M29" s="60"/>
      <c r="N29" s="60"/>
      <c r="O29" s="439"/>
      <c r="P29" s="439"/>
      <c r="Q29" s="483"/>
      <c r="R29" s="334"/>
      <c r="S29" s="406"/>
      <c r="T29" s="336"/>
    </row>
    <row r="30" spans="1:22" ht="15.75" thickBot="1">
      <c r="A30" s="44"/>
      <c r="B30" s="363"/>
      <c r="C30" s="345"/>
      <c r="D30" s="53"/>
      <c r="E30" s="53"/>
      <c r="F30" s="54"/>
      <c r="G30" s="60"/>
      <c r="H30" s="60"/>
      <c r="I30" s="60"/>
      <c r="J30" s="50"/>
      <c r="K30" s="79"/>
      <c r="L30" s="60"/>
      <c r="M30" s="60"/>
      <c r="N30" s="60"/>
      <c r="O30" s="439"/>
      <c r="P30" s="439"/>
      <c r="Q30" s="483"/>
      <c r="R30" s="334"/>
      <c r="S30" s="406"/>
      <c r="T30" s="336"/>
    </row>
    <row r="31" spans="1:22" ht="15.75" thickBot="1">
      <c r="A31" s="219" t="s">
        <v>107</v>
      </c>
      <c r="B31" s="315"/>
      <c r="C31" s="226"/>
      <c r="D31" s="227">
        <f>D5*D7</f>
        <v>13200</v>
      </c>
      <c r="E31" s="227"/>
      <c r="F31" s="228">
        <f>SUM(F9:F29)</f>
        <v>13308</v>
      </c>
      <c r="G31" s="229"/>
      <c r="H31" s="229"/>
      <c r="I31" s="229"/>
      <c r="J31" s="236"/>
      <c r="K31" s="231"/>
      <c r="L31" s="235">
        <f>SUM(L9:L30)</f>
        <v>13</v>
      </c>
      <c r="M31" s="235">
        <f>SUM(M9:M30)</f>
        <v>0</v>
      </c>
      <c r="N31" s="237">
        <f>SUM(N9:N30)</f>
        <v>0</v>
      </c>
      <c r="O31" s="237"/>
      <c r="P31" s="237"/>
      <c r="Q31" s="237"/>
      <c r="R31" s="237"/>
      <c r="S31" s="237"/>
      <c r="T31" s="237"/>
    </row>
  </sheetData>
  <mergeCells count="7">
    <mergeCell ref="U11:W11"/>
    <mergeCell ref="D3:D4"/>
    <mergeCell ref="E3:E4"/>
    <mergeCell ref="J7:N7"/>
    <mergeCell ref="H1:I1"/>
    <mergeCell ref="H2:I2"/>
    <mergeCell ref="F7:I7"/>
  </mergeCells>
  <phoneticPr fontId="79" type="noConversion"/>
  <conditionalFormatting sqref="H1:I1">
    <cfRule type="cellIs" dxfId="50" priority="5" operator="lessThan">
      <formula>0</formula>
    </cfRule>
  </conditionalFormatting>
  <conditionalFormatting sqref="K9:K31">
    <cfRule type="cellIs" dxfId="49" priority="1" operator="greaterThan">
      <formula>0.1</formula>
    </cfRule>
  </conditionalFormatting>
  <pageMargins left="0.7" right="0.7" top="0.75" bottom="0.75" header="0.3" footer="0.3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41"/>
  <sheetViews>
    <sheetView showGridLines="0" zoomScale="80" zoomScaleNormal="80" workbookViewId="0">
      <pane ySplit="2" topLeftCell="A3" activePane="bottomLeft" state="frozen"/>
      <selection activeCell="P8" sqref="P8"/>
      <selection pane="bottomLeft" activeCell="F24" sqref="F24"/>
    </sheetView>
  </sheetViews>
  <sheetFormatPr defaultRowHeight="15"/>
  <cols>
    <col min="2" max="2" width="13.42578125" customWidth="1"/>
    <col min="3" max="3" width="11.42578125" customWidth="1"/>
    <col min="4" max="4" width="14.42578125" customWidth="1"/>
    <col min="5" max="5" width="12.85546875" bestFit="1" customWidth="1"/>
    <col min="6" max="7" width="10.42578125" customWidth="1"/>
    <col min="8" max="8" width="17.42578125" customWidth="1"/>
    <col min="9" max="11" width="10.42578125" customWidth="1"/>
    <col min="12" max="12" width="14.42578125" customWidth="1"/>
    <col min="13" max="13" width="50.140625" customWidth="1"/>
  </cols>
  <sheetData>
    <row r="1" spans="1:17" ht="33.75">
      <c r="A1" s="529" t="s">
        <v>151</v>
      </c>
      <c r="B1" s="529"/>
      <c r="C1" s="52" t="s">
        <v>59</v>
      </c>
      <c r="D1" s="41"/>
      <c r="E1" s="41"/>
      <c r="F1" s="41"/>
      <c r="G1" s="502">
        <f>E31-C31</f>
        <v>16</v>
      </c>
      <c r="H1" s="522"/>
      <c r="I1" s="508"/>
      <c r="J1" s="508"/>
      <c r="K1" s="508"/>
      <c r="L1" s="508"/>
      <c r="M1" s="508"/>
      <c r="N1" s="508"/>
      <c r="O1" s="508"/>
      <c r="P1" s="508"/>
    </row>
    <row r="2" spans="1:17" ht="46.5">
      <c r="A2" s="40"/>
      <c r="B2" s="41"/>
      <c r="C2" s="52"/>
      <c r="D2" s="41"/>
      <c r="E2" s="41"/>
      <c r="F2" s="41"/>
      <c r="G2" s="503"/>
      <c r="H2" s="523"/>
      <c r="I2" s="508"/>
      <c r="J2" s="508"/>
      <c r="K2" s="508"/>
      <c r="L2" s="508"/>
      <c r="M2" s="508"/>
      <c r="N2" s="508"/>
      <c r="O2" s="508"/>
      <c r="P2" s="508"/>
    </row>
    <row r="3" spans="1:17">
      <c r="E3" s="65"/>
    </row>
    <row r="4" spans="1:17">
      <c r="E4" s="65"/>
    </row>
    <row r="5" spans="1:17">
      <c r="B5" s="23" t="s">
        <v>112</v>
      </c>
      <c r="C5" s="277">
        <v>1200</v>
      </c>
      <c r="E5" s="4">
        <f>D23/C23</f>
        <v>1.0008888888888889</v>
      </c>
    </row>
    <row r="6" spans="1:17">
      <c r="B6" s="276" t="s">
        <v>64</v>
      </c>
      <c r="C6" s="23">
        <f>Headcount!F7</f>
        <v>15</v>
      </c>
    </row>
    <row r="7" spans="1:17">
      <c r="B7" s="23" t="s">
        <v>40</v>
      </c>
      <c r="C7" s="23">
        <f>Headcount!F8</f>
        <v>15</v>
      </c>
      <c r="D7" s="23"/>
      <c r="E7" s="507" t="s">
        <v>65</v>
      </c>
      <c r="F7" s="507"/>
      <c r="G7" s="507"/>
      <c r="H7" s="507"/>
      <c r="I7" s="507" t="s">
        <v>66</v>
      </c>
      <c r="J7" s="507"/>
      <c r="K7" s="507"/>
      <c r="L7" s="23"/>
    </row>
    <row r="8" spans="1:17" s="20" customFormat="1" ht="48">
      <c r="A8" s="42" t="s">
        <v>114</v>
      </c>
      <c r="B8" s="43" t="s">
        <v>69</v>
      </c>
      <c r="C8" s="42" t="s">
        <v>115</v>
      </c>
      <c r="D8" s="42" t="s">
        <v>116</v>
      </c>
      <c r="E8" s="51" t="s">
        <v>117</v>
      </c>
      <c r="F8" s="42" t="s">
        <v>73</v>
      </c>
      <c r="G8" s="42" t="s">
        <v>74</v>
      </c>
      <c r="H8" s="42" t="s">
        <v>93</v>
      </c>
      <c r="I8" s="47" t="s">
        <v>76</v>
      </c>
      <c r="J8" s="42" t="s">
        <v>77</v>
      </c>
      <c r="K8" s="42" t="s">
        <v>78</v>
      </c>
      <c r="L8" s="285" t="s">
        <v>152</v>
      </c>
      <c r="M8" s="42" t="s">
        <v>81</v>
      </c>
    </row>
    <row r="9" spans="1:17">
      <c r="A9" s="44">
        <f>Headcount!A10</f>
        <v>2</v>
      </c>
      <c r="B9" s="341">
        <f>C5*C6</f>
        <v>18000</v>
      </c>
      <c r="C9" s="338">
        <f>C5</f>
        <v>1200</v>
      </c>
      <c r="D9" s="338">
        <f>E9</f>
        <v>1</v>
      </c>
      <c r="E9" s="302">
        <f t="shared" ref="E9:E18" si="0">F9+G9+H9</f>
        <v>1</v>
      </c>
      <c r="F9" s="59">
        <v>1</v>
      </c>
      <c r="G9" s="59">
        <v>0</v>
      </c>
      <c r="H9" s="59">
        <v>0</v>
      </c>
      <c r="I9" s="55">
        <f t="shared" ref="I9:I18" si="1">K9+L9</f>
        <v>0</v>
      </c>
      <c r="J9" s="346">
        <f t="shared" ref="J9:J18" si="2">IF(I9=0,0,I9/(I9+E9))</f>
        <v>0</v>
      </c>
      <c r="K9" s="59">
        <v>0</v>
      </c>
      <c r="L9" s="59">
        <v>0</v>
      </c>
      <c r="M9" s="287" t="s">
        <v>88</v>
      </c>
      <c r="N9" s="305"/>
    </row>
    <row r="10" spans="1:17">
      <c r="A10" s="44">
        <f>Headcount!A11</f>
        <v>3</v>
      </c>
      <c r="B10" s="345">
        <f>$B$9-C9</f>
        <v>16800</v>
      </c>
      <c r="C10" s="53">
        <f t="shared" ref="C10:C23" si="3">$C$5+C9</f>
        <v>2400</v>
      </c>
      <c r="D10" s="53">
        <f>IF(E10=0,0,D9+E10)</f>
        <v>5134</v>
      </c>
      <c r="E10" s="54">
        <f t="shared" si="0"/>
        <v>5133</v>
      </c>
      <c r="F10" s="60">
        <v>5133</v>
      </c>
      <c r="G10" s="60">
        <v>0</v>
      </c>
      <c r="H10" s="60">
        <v>0</v>
      </c>
      <c r="I10" s="55">
        <f t="shared" si="1"/>
        <v>7</v>
      </c>
      <c r="J10" s="79">
        <f t="shared" si="2"/>
        <v>1.3618677042801556E-3</v>
      </c>
      <c r="K10" s="60">
        <v>1</v>
      </c>
      <c r="L10" s="60">
        <v>6</v>
      </c>
      <c r="M10" s="282" t="s">
        <v>153</v>
      </c>
      <c r="N10" s="305"/>
    </row>
    <row r="11" spans="1:17">
      <c r="A11" s="44">
        <f>Headcount!A12</f>
        <v>4</v>
      </c>
      <c r="B11" s="345">
        <f>$B$9-C10</f>
        <v>15600</v>
      </c>
      <c r="C11" s="53">
        <f t="shared" si="3"/>
        <v>3600</v>
      </c>
      <c r="D11" s="53">
        <f t="shared" ref="D11:D21" si="4">IF(E11=0,0,D10+E11)</f>
        <v>7453</v>
      </c>
      <c r="E11" s="54">
        <f t="shared" si="0"/>
        <v>2319</v>
      </c>
      <c r="F11" s="60">
        <v>2319</v>
      </c>
      <c r="G11" s="60">
        <v>0</v>
      </c>
      <c r="H11" s="60">
        <v>0</v>
      </c>
      <c r="I11" s="55">
        <f t="shared" si="1"/>
        <v>15</v>
      </c>
      <c r="J11" s="79">
        <f t="shared" si="2"/>
        <v>6.4267352185089976E-3</v>
      </c>
      <c r="K11" s="60">
        <v>15</v>
      </c>
      <c r="L11" s="60">
        <v>0</v>
      </c>
      <c r="M11" s="282" t="s">
        <v>154</v>
      </c>
      <c r="N11" s="305"/>
      <c r="Q11" s="4"/>
    </row>
    <row r="12" spans="1:17" ht="22.9" customHeight="1">
      <c r="A12" s="44">
        <f>Headcount!A13</f>
        <v>5</v>
      </c>
      <c r="B12" s="345">
        <f>$B$9-C11</f>
        <v>14400</v>
      </c>
      <c r="C12" s="53">
        <f t="shared" si="3"/>
        <v>4800</v>
      </c>
      <c r="D12" s="53">
        <f t="shared" si="4"/>
        <v>9304</v>
      </c>
      <c r="E12" s="54">
        <f t="shared" si="0"/>
        <v>1851</v>
      </c>
      <c r="F12" s="60">
        <v>1851</v>
      </c>
      <c r="G12" s="60">
        <v>0</v>
      </c>
      <c r="H12" s="60">
        <v>0</v>
      </c>
      <c r="I12" s="55">
        <f t="shared" si="1"/>
        <v>19</v>
      </c>
      <c r="J12" s="79">
        <f t="shared" si="2"/>
        <v>1.0160427807486631E-2</v>
      </c>
      <c r="K12" s="60">
        <v>18</v>
      </c>
      <c r="L12" s="60">
        <v>1</v>
      </c>
      <c r="M12" s="282" t="s">
        <v>155</v>
      </c>
    </row>
    <row r="13" spans="1:17" ht="24">
      <c r="A13" s="44">
        <f>Headcount!A14</f>
        <v>6</v>
      </c>
      <c r="B13" s="345">
        <f t="shared" ref="B13:B23" si="5">$B$9-C12</f>
        <v>13200</v>
      </c>
      <c r="C13" s="53">
        <f t="shared" si="3"/>
        <v>6000</v>
      </c>
      <c r="D13" s="53">
        <f t="shared" si="4"/>
        <v>10715</v>
      </c>
      <c r="E13" s="54">
        <f>F13+G13+H13</f>
        <v>1411</v>
      </c>
      <c r="F13" s="60">
        <v>1411</v>
      </c>
      <c r="G13" s="60">
        <v>0</v>
      </c>
      <c r="H13" s="60">
        <v>0</v>
      </c>
      <c r="I13" s="55">
        <f t="shared" si="1"/>
        <v>26</v>
      </c>
      <c r="J13" s="79">
        <f t="shared" si="2"/>
        <v>1.8093249826026444E-2</v>
      </c>
      <c r="K13" s="218">
        <v>18</v>
      </c>
      <c r="L13" s="218">
        <v>8</v>
      </c>
      <c r="M13" s="461" t="s">
        <v>156</v>
      </c>
    </row>
    <row r="14" spans="1:17">
      <c r="A14" s="44">
        <f>Headcount!A15</f>
        <v>9</v>
      </c>
      <c r="B14" s="345">
        <f t="shared" si="5"/>
        <v>12000</v>
      </c>
      <c r="C14" s="53">
        <f t="shared" si="3"/>
        <v>7200</v>
      </c>
      <c r="D14" s="53">
        <f t="shared" si="4"/>
        <v>10716</v>
      </c>
      <c r="E14" s="54">
        <f>F14+G14+H14</f>
        <v>1</v>
      </c>
      <c r="F14" s="60">
        <v>1</v>
      </c>
      <c r="G14" s="60">
        <v>0</v>
      </c>
      <c r="H14" s="60">
        <v>0</v>
      </c>
      <c r="I14" s="55">
        <f t="shared" si="1"/>
        <v>0</v>
      </c>
      <c r="J14" s="468">
        <f>IF(I14=0,0,I14/(I14+E14))</f>
        <v>0</v>
      </c>
      <c r="K14" s="60">
        <v>0</v>
      </c>
      <c r="L14" s="60">
        <v>0</v>
      </c>
      <c r="M14" s="282" t="s">
        <v>88</v>
      </c>
      <c r="N14" s="530"/>
      <c r="O14" s="530"/>
      <c r="P14" s="528"/>
    </row>
    <row r="15" spans="1:17">
      <c r="A15" s="44">
        <f>Headcount!A16</f>
        <v>10</v>
      </c>
      <c r="B15" s="345">
        <f t="shared" si="5"/>
        <v>10800</v>
      </c>
      <c r="C15" s="53">
        <f t="shared" si="3"/>
        <v>8400</v>
      </c>
      <c r="D15" s="53">
        <f t="shared" si="4"/>
        <v>11833</v>
      </c>
      <c r="E15" s="54">
        <f t="shared" si="0"/>
        <v>1117</v>
      </c>
      <c r="F15" s="60">
        <v>1117</v>
      </c>
      <c r="G15" s="60">
        <v>0</v>
      </c>
      <c r="H15" s="60">
        <v>0</v>
      </c>
      <c r="I15" s="55">
        <f t="shared" si="1"/>
        <v>2</v>
      </c>
      <c r="J15" s="468">
        <f t="shared" si="2"/>
        <v>1.7873100983020554E-3</v>
      </c>
      <c r="K15" s="60">
        <v>2</v>
      </c>
      <c r="L15" s="60">
        <v>0</v>
      </c>
      <c r="M15" s="282" t="s">
        <v>157</v>
      </c>
      <c r="N15" s="530"/>
      <c r="O15" s="530"/>
      <c r="P15" s="528"/>
    </row>
    <row r="16" spans="1:17">
      <c r="A16" s="44">
        <f>Headcount!A17</f>
        <v>11</v>
      </c>
      <c r="B16" s="345">
        <f t="shared" si="5"/>
        <v>9600</v>
      </c>
      <c r="C16" s="53">
        <f t="shared" si="3"/>
        <v>9600</v>
      </c>
      <c r="D16" s="53">
        <f t="shared" si="4"/>
        <v>15848</v>
      </c>
      <c r="E16" s="54">
        <f t="shared" si="0"/>
        <v>4015</v>
      </c>
      <c r="F16" s="60">
        <v>4015</v>
      </c>
      <c r="G16" s="60">
        <v>0</v>
      </c>
      <c r="H16" s="60">
        <v>0</v>
      </c>
      <c r="I16" s="55">
        <f t="shared" si="1"/>
        <v>11</v>
      </c>
      <c r="J16" s="468">
        <f t="shared" si="2"/>
        <v>2.7322404371584699E-3</v>
      </c>
      <c r="K16" s="60">
        <v>11</v>
      </c>
      <c r="L16" s="60">
        <v>0</v>
      </c>
      <c r="M16" s="282" t="s">
        <v>158</v>
      </c>
      <c r="N16" s="530"/>
      <c r="O16" s="530"/>
      <c r="P16" s="528"/>
    </row>
    <row r="17" spans="1:16">
      <c r="A17" s="44">
        <f>Headcount!A18</f>
        <v>12</v>
      </c>
      <c r="B17" s="345">
        <f t="shared" si="5"/>
        <v>8400</v>
      </c>
      <c r="C17" s="53">
        <f t="shared" si="3"/>
        <v>10800</v>
      </c>
      <c r="D17" s="53">
        <f t="shared" si="4"/>
        <v>16035</v>
      </c>
      <c r="E17" s="54">
        <f t="shared" si="0"/>
        <v>187</v>
      </c>
      <c r="F17" s="60">
        <v>187</v>
      </c>
      <c r="G17" s="60">
        <v>0</v>
      </c>
      <c r="H17" s="60">
        <v>0</v>
      </c>
      <c r="I17" s="55">
        <f t="shared" si="1"/>
        <v>0</v>
      </c>
      <c r="J17" s="468">
        <f t="shared" si="2"/>
        <v>0</v>
      </c>
      <c r="K17" s="60">
        <v>0</v>
      </c>
      <c r="L17" s="60">
        <v>0</v>
      </c>
      <c r="M17" s="282" t="s">
        <v>88</v>
      </c>
      <c r="N17" s="530"/>
      <c r="O17" s="530"/>
      <c r="P17" s="528"/>
    </row>
    <row r="18" spans="1:16">
      <c r="A18" s="44">
        <f>Headcount!A19</f>
        <v>13</v>
      </c>
      <c r="B18" s="345">
        <f t="shared" si="5"/>
        <v>7200</v>
      </c>
      <c r="C18" s="53">
        <f t="shared" si="3"/>
        <v>12000</v>
      </c>
      <c r="D18" s="53">
        <f t="shared" si="4"/>
        <v>16036</v>
      </c>
      <c r="E18" s="54">
        <f t="shared" si="0"/>
        <v>1</v>
      </c>
      <c r="F18" s="60">
        <v>1</v>
      </c>
      <c r="G18" s="60">
        <v>0</v>
      </c>
      <c r="H18" s="60">
        <v>0</v>
      </c>
      <c r="I18" s="55">
        <f t="shared" si="1"/>
        <v>0</v>
      </c>
      <c r="J18" s="468">
        <f t="shared" si="2"/>
        <v>0</v>
      </c>
      <c r="K18" s="60">
        <v>0</v>
      </c>
      <c r="L18" s="60">
        <v>0</v>
      </c>
      <c r="M18" s="282" t="s">
        <v>88</v>
      </c>
      <c r="N18" s="530"/>
      <c r="O18" s="530"/>
      <c r="P18" s="528"/>
    </row>
    <row r="19" spans="1:16">
      <c r="A19" s="44">
        <f>Headcount!A20</f>
        <v>16</v>
      </c>
      <c r="B19" s="345">
        <f t="shared" si="5"/>
        <v>6000</v>
      </c>
      <c r="C19" s="53">
        <f t="shared" si="3"/>
        <v>13200</v>
      </c>
      <c r="D19" s="53">
        <f t="shared" si="4"/>
        <v>17420</v>
      </c>
      <c r="E19" s="54">
        <f t="shared" ref="E19:E21" si="6">F19+G19+H19</f>
        <v>1384</v>
      </c>
      <c r="F19" s="60">
        <v>1384</v>
      </c>
      <c r="G19" s="60">
        <v>0</v>
      </c>
      <c r="H19" s="60">
        <v>0</v>
      </c>
      <c r="I19" s="55">
        <f t="shared" ref="I19:I21" si="7">K19+L19</f>
        <v>1</v>
      </c>
      <c r="J19" s="468">
        <f t="shared" ref="J19:J21" si="8">IF(I19=0,0,I19/(I19+E19))</f>
        <v>7.2202166064981946E-4</v>
      </c>
      <c r="K19" s="60">
        <v>1</v>
      </c>
      <c r="L19" s="60">
        <v>0</v>
      </c>
      <c r="M19" s="282" t="s">
        <v>5313</v>
      </c>
      <c r="N19" s="530"/>
      <c r="O19" s="530"/>
      <c r="P19" s="528"/>
    </row>
    <row r="20" spans="1:16">
      <c r="A20" s="44">
        <f>Headcount!A21</f>
        <v>17</v>
      </c>
      <c r="B20" s="345">
        <f t="shared" si="5"/>
        <v>4800</v>
      </c>
      <c r="C20" s="53">
        <f t="shared" si="3"/>
        <v>14400</v>
      </c>
      <c r="D20" s="53">
        <f t="shared" si="4"/>
        <v>18013</v>
      </c>
      <c r="E20" s="54">
        <f t="shared" si="6"/>
        <v>593</v>
      </c>
      <c r="F20" s="60">
        <v>593</v>
      </c>
      <c r="G20" s="60">
        <v>0</v>
      </c>
      <c r="H20" s="60">
        <v>0</v>
      </c>
      <c r="I20" s="55">
        <f t="shared" si="7"/>
        <v>1</v>
      </c>
      <c r="J20" s="468">
        <f t="shared" si="8"/>
        <v>1.6835016835016834E-3</v>
      </c>
      <c r="K20" s="60">
        <v>0</v>
      </c>
      <c r="L20" s="60">
        <v>1</v>
      </c>
      <c r="M20" s="282" t="s">
        <v>5326</v>
      </c>
      <c r="N20" s="530"/>
      <c r="O20" s="530"/>
      <c r="P20" s="528"/>
    </row>
    <row r="21" spans="1:16">
      <c r="A21" s="44">
        <f>Headcount!A22</f>
        <v>18</v>
      </c>
      <c r="B21" s="345">
        <f t="shared" si="5"/>
        <v>3600</v>
      </c>
      <c r="C21" s="53">
        <f t="shared" si="3"/>
        <v>15600</v>
      </c>
      <c r="D21" s="53">
        <f t="shared" si="4"/>
        <v>18014</v>
      </c>
      <c r="E21" s="54">
        <f t="shared" si="6"/>
        <v>1</v>
      </c>
      <c r="F21" s="60">
        <v>1</v>
      </c>
      <c r="G21" s="60">
        <v>0</v>
      </c>
      <c r="H21" s="60">
        <v>0</v>
      </c>
      <c r="I21" s="55">
        <f t="shared" si="7"/>
        <v>0</v>
      </c>
      <c r="J21" s="468">
        <f t="shared" si="8"/>
        <v>0</v>
      </c>
      <c r="K21" s="60">
        <v>0</v>
      </c>
      <c r="L21" s="60">
        <v>0</v>
      </c>
      <c r="M21" s="282" t="s">
        <v>88</v>
      </c>
      <c r="N21" s="530"/>
      <c r="O21" s="530"/>
      <c r="P21" s="528"/>
    </row>
    <row r="22" spans="1:16">
      <c r="A22" s="44">
        <f>Headcount!A23</f>
        <v>19</v>
      </c>
      <c r="B22" s="345">
        <f t="shared" si="5"/>
        <v>2400</v>
      </c>
      <c r="C22" s="53">
        <f t="shared" si="3"/>
        <v>16800</v>
      </c>
      <c r="D22" s="53">
        <f t="shared" ref="D22:D23" si="9">IF(E22=0,0,D21+E22)</f>
        <v>18015</v>
      </c>
      <c r="E22" s="54">
        <f t="shared" ref="E22:E23" si="10">F22+G22+H22</f>
        <v>1</v>
      </c>
      <c r="F22" s="60">
        <v>1</v>
      </c>
      <c r="G22" s="60">
        <v>0</v>
      </c>
      <c r="H22" s="60">
        <v>0</v>
      </c>
      <c r="I22" s="55">
        <f t="shared" ref="I22:I23" si="11">K22+L22</f>
        <v>0</v>
      </c>
      <c r="J22" s="468">
        <f t="shared" ref="J22:J23" si="12">IF(I22=0,0,I22/(I22+E22))</f>
        <v>0</v>
      </c>
      <c r="K22" s="60">
        <v>0</v>
      </c>
      <c r="L22" s="60">
        <v>0</v>
      </c>
      <c r="M22" s="282" t="s">
        <v>88</v>
      </c>
      <c r="N22" s="530"/>
      <c r="O22" s="530"/>
      <c r="P22" s="528"/>
    </row>
    <row r="23" spans="1:16">
      <c r="A23" s="44">
        <f>Headcount!A24</f>
        <v>20</v>
      </c>
      <c r="B23" s="345">
        <f t="shared" si="5"/>
        <v>1200</v>
      </c>
      <c r="C23" s="53">
        <f t="shared" si="3"/>
        <v>18000</v>
      </c>
      <c r="D23" s="53">
        <f t="shared" si="9"/>
        <v>18016</v>
      </c>
      <c r="E23" s="54">
        <f t="shared" si="10"/>
        <v>1</v>
      </c>
      <c r="F23" s="60">
        <v>1</v>
      </c>
      <c r="G23" s="60">
        <v>0</v>
      </c>
      <c r="H23" s="60">
        <v>0</v>
      </c>
      <c r="I23" s="55">
        <f t="shared" si="11"/>
        <v>0</v>
      </c>
      <c r="J23" s="468">
        <f t="shared" si="12"/>
        <v>0</v>
      </c>
      <c r="K23" s="60">
        <v>0</v>
      </c>
      <c r="L23" s="60">
        <v>0</v>
      </c>
      <c r="M23" s="282" t="s">
        <v>88</v>
      </c>
      <c r="N23" s="530"/>
      <c r="O23" s="530"/>
      <c r="P23" s="528"/>
    </row>
    <row r="24" spans="1:16">
      <c r="A24" s="44"/>
      <c r="B24" s="345"/>
      <c r="C24" s="53"/>
      <c r="D24" s="53"/>
      <c r="E24" s="54"/>
      <c r="F24" s="60"/>
      <c r="G24" s="60"/>
      <c r="H24" s="60"/>
      <c r="I24" s="55"/>
      <c r="J24" s="468"/>
      <c r="K24" s="60"/>
      <c r="L24" s="60"/>
      <c r="M24" s="282"/>
      <c r="N24" s="530"/>
      <c r="O24" s="530"/>
      <c r="P24" s="528"/>
    </row>
    <row r="25" spans="1:16">
      <c r="A25" s="44"/>
      <c r="B25" s="345"/>
      <c r="C25" s="53"/>
      <c r="D25" s="53"/>
      <c r="E25" s="54"/>
      <c r="F25" s="60"/>
      <c r="G25" s="60"/>
      <c r="H25" s="60"/>
      <c r="I25" s="55"/>
      <c r="J25" s="468"/>
      <c r="K25" s="60"/>
      <c r="L25" s="60"/>
      <c r="M25" s="282"/>
      <c r="N25" s="530"/>
      <c r="O25" s="530"/>
      <c r="P25" s="528"/>
    </row>
    <row r="26" spans="1:16">
      <c r="A26" s="44"/>
      <c r="B26" s="345"/>
      <c r="C26" s="53"/>
      <c r="D26" s="53"/>
      <c r="E26" s="54"/>
      <c r="F26" s="60"/>
      <c r="G26" s="60"/>
      <c r="H26" s="60"/>
      <c r="I26" s="55"/>
      <c r="J26" s="468"/>
      <c r="K26" s="60"/>
      <c r="L26" s="60"/>
      <c r="M26" s="282"/>
      <c r="N26" s="530"/>
      <c r="O26" s="530"/>
      <c r="P26" s="528"/>
    </row>
    <row r="27" spans="1:16">
      <c r="A27" s="44"/>
      <c r="B27" s="345"/>
      <c r="C27" s="53"/>
      <c r="D27" s="53"/>
      <c r="E27" s="54"/>
      <c r="F27" s="60"/>
      <c r="G27" s="60"/>
      <c r="H27" s="60"/>
      <c r="I27" s="55"/>
      <c r="J27" s="468"/>
      <c r="K27" s="60"/>
      <c r="L27" s="60"/>
      <c r="M27" s="282"/>
      <c r="N27" s="530"/>
      <c r="O27" s="530"/>
      <c r="P27" s="528"/>
    </row>
    <row r="28" spans="1:16">
      <c r="A28" s="44"/>
      <c r="B28" s="345"/>
      <c r="C28" s="53"/>
      <c r="D28" s="53"/>
      <c r="E28" s="54"/>
      <c r="F28" s="60"/>
      <c r="G28" s="60"/>
      <c r="H28" s="60"/>
      <c r="I28" s="55"/>
      <c r="J28" s="468"/>
      <c r="K28" s="60"/>
      <c r="L28" s="60"/>
      <c r="M28" s="282"/>
      <c r="N28" s="530"/>
      <c r="O28" s="530"/>
      <c r="P28" s="528"/>
    </row>
    <row r="29" spans="1:16">
      <c r="A29" s="44"/>
      <c r="B29" s="345"/>
      <c r="C29" s="53"/>
      <c r="D29" s="53"/>
      <c r="E29" s="54"/>
      <c r="F29" s="60"/>
      <c r="G29" s="60"/>
      <c r="H29" s="60"/>
      <c r="I29" s="55"/>
      <c r="J29" s="79"/>
      <c r="K29" s="60"/>
      <c r="L29" s="60"/>
      <c r="M29" s="68"/>
    </row>
    <row r="30" spans="1:16" ht="15.75" thickBot="1">
      <c r="A30" s="44"/>
      <c r="B30" s="345"/>
      <c r="C30" s="53"/>
      <c r="D30" s="53"/>
      <c r="E30" s="54"/>
      <c r="F30" s="60"/>
      <c r="G30" s="60"/>
      <c r="H30" s="60"/>
      <c r="I30" s="55"/>
      <c r="J30" s="79"/>
      <c r="K30" s="60"/>
      <c r="L30" s="60"/>
      <c r="M30" s="218"/>
    </row>
    <row r="31" spans="1:16" ht="15.75" thickBot="1">
      <c r="A31" s="219" t="s">
        <v>89</v>
      </c>
      <c r="B31" s="226"/>
      <c r="C31" s="227">
        <f>C7*C5</f>
        <v>18000</v>
      </c>
      <c r="D31" s="227"/>
      <c r="E31" s="228">
        <f>SUM(E9:E29)</f>
        <v>18016</v>
      </c>
      <c r="F31" s="229"/>
      <c r="G31" s="229"/>
      <c r="H31" s="229"/>
      <c r="I31" s="230"/>
      <c r="J31" s="231"/>
      <c r="K31" s="229">
        <f>SUM(K9:K30)</f>
        <v>66</v>
      </c>
      <c r="L31" s="271">
        <f>SUM(L9:L30)</f>
        <v>16</v>
      </c>
      <c r="M31" s="225">
        <f>SUM(K31:K31)</f>
        <v>66</v>
      </c>
    </row>
    <row r="32" spans="1:16" ht="15.75" thickBot="1"/>
    <row r="33" spans="9:13">
      <c r="I33" s="526" t="s">
        <v>159</v>
      </c>
      <c r="J33" s="527"/>
      <c r="K33" s="238">
        <f>L31+K31</f>
        <v>82</v>
      </c>
    </row>
    <row r="34" spans="9:13" ht="15.75" thickBot="1">
      <c r="I34" s="513" t="s">
        <v>160</v>
      </c>
      <c r="J34" s="514"/>
      <c r="K34" s="233">
        <f>K31</f>
        <v>66</v>
      </c>
    </row>
    <row r="41" spans="9:13">
      <c r="M41" t="s">
        <v>143</v>
      </c>
    </row>
  </sheetData>
  <mergeCells count="11">
    <mergeCell ref="I34:J34"/>
    <mergeCell ref="A1:B1"/>
    <mergeCell ref="G1:H1"/>
    <mergeCell ref="I1:P2"/>
    <mergeCell ref="G2:H2"/>
    <mergeCell ref="E7:H7"/>
    <mergeCell ref="I7:K7"/>
    <mergeCell ref="I33:J33"/>
    <mergeCell ref="N14:P18"/>
    <mergeCell ref="N19:P23"/>
    <mergeCell ref="N24:P28"/>
  </mergeCells>
  <conditionalFormatting sqref="G1:H1">
    <cfRule type="cellIs" dxfId="48" priority="2" operator="lessThan">
      <formula>0</formula>
    </cfRule>
  </conditionalFormatting>
  <conditionalFormatting sqref="J9:J31">
    <cfRule type="cellIs" dxfId="47" priority="1" operator="greaterThan">
      <formula>0.1</formula>
    </cfRule>
  </conditionalFormatting>
  <pageMargins left="0.7" right="0.7" top="0.75" bottom="0.75" header="0.3" footer="0.3"/>
  <pageSetup paperSize="9" scale="6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41"/>
  <sheetViews>
    <sheetView showGridLines="0" zoomScale="85" zoomScaleNormal="85" workbookViewId="0">
      <pane ySplit="2" topLeftCell="A3" activePane="bottomLeft" state="frozen"/>
      <selection activeCell="P8" sqref="P8"/>
      <selection pane="bottomLeft" activeCell="I25" sqref="I25"/>
    </sheetView>
  </sheetViews>
  <sheetFormatPr defaultRowHeight="15"/>
  <cols>
    <col min="2" max="2" width="13.42578125" customWidth="1"/>
    <col min="3" max="3" width="11.42578125" customWidth="1"/>
    <col min="4" max="4" width="14.42578125" customWidth="1"/>
    <col min="5" max="5" width="11.42578125" bestFit="1" customWidth="1"/>
    <col min="6" max="7" width="10.42578125" customWidth="1"/>
    <col min="8" max="8" width="17.42578125" customWidth="1"/>
    <col min="9" max="13" width="10.42578125" customWidth="1"/>
    <col min="14" max="14" width="14.42578125" customWidth="1"/>
    <col min="15" max="15" width="56" customWidth="1"/>
    <col min="17" max="17" width="16.42578125" customWidth="1"/>
  </cols>
  <sheetData>
    <row r="1" spans="1:19" ht="46.5">
      <c r="A1" s="40" t="s">
        <v>161</v>
      </c>
      <c r="B1" s="41"/>
      <c r="C1" s="52" t="s">
        <v>59</v>
      </c>
      <c r="D1" s="41"/>
      <c r="E1" s="41"/>
      <c r="F1" s="41"/>
      <c r="G1" s="502">
        <f>E31-C31</f>
        <v>8363.5</v>
      </c>
      <c r="H1" s="502"/>
      <c r="I1" s="508" t="s">
        <v>162</v>
      </c>
      <c r="J1" s="508"/>
      <c r="K1" s="508"/>
      <c r="L1" s="508"/>
      <c r="M1" s="508"/>
      <c r="N1" s="508"/>
      <c r="O1" s="508"/>
      <c r="P1" s="508"/>
      <c r="Q1" s="508"/>
      <c r="R1" s="508"/>
    </row>
    <row r="2" spans="1:19" ht="46.5">
      <c r="A2" s="40"/>
      <c r="B2" s="41"/>
      <c r="C2" s="52"/>
      <c r="D2" s="41"/>
      <c r="E2" s="41"/>
      <c r="F2" s="41"/>
      <c r="G2" s="503"/>
      <c r="H2" s="503"/>
      <c r="I2" s="508"/>
      <c r="J2" s="508"/>
      <c r="K2" s="508"/>
      <c r="L2" s="508"/>
      <c r="M2" s="508"/>
      <c r="N2" s="508"/>
      <c r="O2" s="508"/>
      <c r="P2" s="508"/>
      <c r="Q2" s="508"/>
      <c r="R2" s="508"/>
    </row>
    <row r="3" spans="1:19">
      <c r="E3" s="65"/>
    </row>
    <row r="4" spans="1:19">
      <c r="E4" s="65"/>
    </row>
    <row r="5" spans="1:19">
      <c r="B5" s="23" t="s">
        <v>112</v>
      </c>
      <c r="C5" s="277">
        <v>8062.5</v>
      </c>
      <c r="E5" s="4">
        <f>D24/C24</f>
        <v>1.0023333333333333</v>
      </c>
    </row>
    <row r="6" spans="1:19">
      <c r="B6" s="276" t="s">
        <v>64</v>
      </c>
      <c r="C6" s="23">
        <f>Headcount!F7</f>
        <v>15</v>
      </c>
    </row>
    <row r="7" spans="1:19">
      <c r="B7" s="23" t="s">
        <v>40</v>
      </c>
      <c r="C7" s="23">
        <f>Headcount!F8</f>
        <v>15</v>
      </c>
      <c r="D7" s="23"/>
      <c r="E7" s="507" t="s">
        <v>65</v>
      </c>
      <c r="F7" s="507"/>
      <c r="G7" s="507"/>
      <c r="H7" s="507"/>
      <c r="I7" s="507" t="s">
        <v>66</v>
      </c>
      <c r="J7" s="507"/>
      <c r="K7" s="507"/>
      <c r="L7" s="507"/>
      <c r="M7" s="507"/>
      <c r="N7" s="23"/>
    </row>
    <row r="8" spans="1:19" s="20" customFormat="1" ht="48">
      <c r="A8" s="42" t="s">
        <v>114</v>
      </c>
      <c r="B8" s="43" t="s">
        <v>69</v>
      </c>
      <c r="C8" s="42" t="s">
        <v>115</v>
      </c>
      <c r="D8" s="42" t="s">
        <v>116</v>
      </c>
      <c r="E8" s="51" t="s">
        <v>117</v>
      </c>
      <c r="F8" s="42" t="s">
        <v>73</v>
      </c>
      <c r="G8" s="42" t="s">
        <v>74</v>
      </c>
      <c r="H8" s="42" t="s">
        <v>93</v>
      </c>
      <c r="I8" s="47" t="s">
        <v>76</v>
      </c>
      <c r="J8" s="42" t="s">
        <v>77</v>
      </c>
      <c r="K8" s="42" t="s">
        <v>78</v>
      </c>
      <c r="L8" s="42" t="s">
        <v>79</v>
      </c>
      <c r="M8" s="42" t="s">
        <v>100</v>
      </c>
      <c r="N8" s="285" t="s">
        <v>163</v>
      </c>
      <c r="O8" s="42" t="s">
        <v>81</v>
      </c>
    </row>
    <row r="9" spans="1:19">
      <c r="A9" s="44">
        <f>Headcount!A10</f>
        <v>2</v>
      </c>
      <c r="B9" s="341">
        <f>C5*C6</f>
        <v>120937.5</v>
      </c>
      <c r="C9" s="338">
        <f>C5</f>
        <v>8062.5</v>
      </c>
      <c r="D9" s="338">
        <f>E9</f>
        <v>1232</v>
      </c>
      <c r="E9" s="302">
        <f>F9+G9+H9</f>
        <v>1232</v>
      </c>
      <c r="F9" s="265">
        <v>1232</v>
      </c>
      <c r="G9" s="265">
        <v>0</v>
      </c>
      <c r="H9" s="265">
        <v>0</v>
      </c>
      <c r="I9" s="362">
        <f>K9+L9+M9+N9</f>
        <v>0</v>
      </c>
      <c r="J9" s="346">
        <f>IF(I9=0,0,I9/(I9+E9))</f>
        <v>0</v>
      </c>
      <c r="K9" s="265">
        <v>0</v>
      </c>
      <c r="L9" s="265">
        <v>0</v>
      </c>
      <c r="M9" s="265">
        <v>0</v>
      </c>
      <c r="N9" s="265">
        <v>0</v>
      </c>
      <c r="O9" s="444" t="s">
        <v>88</v>
      </c>
      <c r="P9" s="307"/>
      <c r="Q9" s="308"/>
      <c r="R9" s="531"/>
    </row>
    <row r="10" spans="1:19">
      <c r="A10" s="44">
        <f>Headcount!A11</f>
        <v>3</v>
      </c>
      <c r="B10" s="345">
        <f>$B$9-C9</f>
        <v>112875</v>
      </c>
      <c r="C10" s="53">
        <f t="shared" ref="C10:C24" si="0">$C$5+C9</f>
        <v>16125</v>
      </c>
      <c r="D10" s="53">
        <f>IF(E10=0,0,D9+E10)</f>
        <v>1233</v>
      </c>
      <c r="E10" s="54">
        <f>F10+G10+H10</f>
        <v>1</v>
      </c>
      <c r="F10" s="60">
        <v>1</v>
      </c>
      <c r="G10" s="60">
        <v>0</v>
      </c>
      <c r="H10" s="60">
        <v>0</v>
      </c>
      <c r="I10" s="55">
        <f t="shared" ref="I10:I18" si="1">K10+L10+M10+N10</f>
        <v>0</v>
      </c>
      <c r="J10" s="79">
        <f t="shared" ref="J10:J18" si="2">IF(I10=0,0,I10/(I10+E10))</f>
        <v>0</v>
      </c>
      <c r="K10" s="60">
        <v>0</v>
      </c>
      <c r="L10" s="60">
        <v>0</v>
      </c>
      <c r="M10" s="60">
        <v>0</v>
      </c>
      <c r="N10" s="60">
        <v>0</v>
      </c>
      <c r="O10" s="282" t="s">
        <v>88</v>
      </c>
      <c r="P10" s="307"/>
      <c r="Q10" s="308"/>
      <c r="R10" s="531"/>
    </row>
    <row r="11" spans="1:19">
      <c r="A11" s="44">
        <f>Headcount!A12</f>
        <v>4</v>
      </c>
      <c r="B11" s="345">
        <f>$B$9-C10</f>
        <v>104812.5</v>
      </c>
      <c r="C11" s="53">
        <f>$C$5+C10</f>
        <v>24187.5</v>
      </c>
      <c r="D11" s="53">
        <f>IF(E11=0,0,D10+E11)</f>
        <v>1234</v>
      </c>
      <c r="E11" s="54">
        <f>F11+G11+H11</f>
        <v>1</v>
      </c>
      <c r="F11" s="60">
        <v>1</v>
      </c>
      <c r="G11" s="60">
        <v>0</v>
      </c>
      <c r="H11" s="60">
        <v>0</v>
      </c>
      <c r="I11" s="55">
        <f t="shared" si="1"/>
        <v>0</v>
      </c>
      <c r="J11" s="79">
        <f t="shared" si="2"/>
        <v>0</v>
      </c>
      <c r="K11" s="60">
        <v>0</v>
      </c>
      <c r="L11" s="60">
        <v>0</v>
      </c>
      <c r="M11" s="60">
        <v>0</v>
      </c>
      <c r="N11" s="60">
        <v>0</v>
      </c>
      <c r="O11" s="282" t="s">
        <v>88</v>
      </c>
      <c r="P11" s="307"/>
      <c r="Q11" s="308"/>
      <c r="R11" s="531"/>
      <c r="S11" s="4"/>
    </row>
    <row r="12" spans="1:19">
      <c r="A12" s="44">
        <f>Headcount!A13</f>
        <v>5</v>
      </c>
      <c r="B12" s="345">
        <f>$B$9-C11</f>
        <v>96750</v>
      </c>
      <c r="C12" s="53">
        <f t="shared" si="0"/>
        <v>32250</v>
      </c>
      <c r="D12" s="53">
        <f>IF(E12=0,0,D11+E12)</f>
        <v>1235</v>
      </c>
      <c r="E12" s="54">
        <f>F12+G12+H12</f>
        <v>1</v>
      </c>
      <c r="F12" s="60">
        <v>1</v>
      </c>
      <c r="G12" s="60">
        <v>0</v>
      </c>
      <c r="H12" s="60">
        <v>0</v>
      </c>
      <c r="I12" s="55">
        <f t="shared" si="1"/>
        <v>0</v>
      </c>
      <c r="J12" s="79">
        <f t="shared" si="2"/>
        <v>0</v>
      </c>
      <c r="K12" s="60">
        <v>0</v>
      </c>
      <c r="L12" s="60">
        <v>0</v>
      </c>
      <c r="M12" s="60">
        <v>0</v>
      </c>
      <c r="N12" s="60">
        <v>0</v>
      </c>
      <c r="O12" s="450" t="s">
        <v>88</v>
      </c>
      <c r="P12" s="532"/>
      <c r="Q12" s="533"/>
      <c r="R12" s="531"/>
    </row>
    <row r="13" spans="1:19" ht="39" customHeight="1">
      <c r="A13" s="44">
        <f>Headcount!A14</f>
        <v>6</v>
      </c>
      <c r="B13" s="345">
        <f>$B$9-C12</f>
        <v>88687.5</v>
      </c>
      <c r="C13" s="53">
        <f>$C$5+C12</f>
        <v>40312.5</v>
      </c>
      <c r="D13" s="53">
        <f>IF(E13=0,0,D12+E13)</f>
        <v>3620</v>
      </c>
      <c r="E13" s="54">
        <f>F13+G13+H13</f>
        <v>2385</v>
      </c>
      <c r="F13" s="60">
        <v>2385</v>
      </c>
      <c r="G13" s="60">
        <v>0</v>
      </c>
      <c r="H13" s="60">
        <v>0</v>
      </c>
      <c r="I13" s="55">
        <f>K13+L13+M13+N13</f>
        <v>18</v>
      </c>
      <c r="J13" s="79">
        <f>IF(I13=0,0,I13/(I13+E13))</f>
        <v>7.4906367041198503E-3</v>
      </c>
      <c r="K13" s="60">
        <v>10</v>
      </c>
      <c r="L13" s="60">
        <v>0</v>
      </c>
      <c r="M13" s="60">
        <v>0</v>
      </c>
      <c r="N13" s="60">
        <v>8</v>
      </c>
      <c r="O13" s="282" t="s">
        <v>164</v>
      </c>
      <c r="P13" s="307"/>
      <c r="Q13" s="387"/>
      <c r="R13" s="404"/>
    </row>
    <row r="14" spans="1:19" ht="14.25" customHeight="1">
      <c r="A14" s="44">
        <f>Headcount!A15</f>
        <v>9</v>
      </c>
      <c r="B14" s="345">
        <f t="shared" ref="B14:B21" si="3">$B$9-C13</f>
        <v>80625</v>
      </c>
      <c r="C14" s="53">
        <f t="shared" si="0"/>
        <v>48375</v>
      </c>
      <c r="D14" s="53">
        <f t="shared" ref="D14:D21" si="4">IF(E14=0,0,D13+E14)</f>
        <v>3621</v>
      </c>
      <c r="E14" s="54">
        <f t="shared" ref="E14:E21" si="5">F14+G14+H14</f>
        <v>1</v>
      </c>
      <c r="F14" s="60">
        <v>1</v>
      </c>
      <c r="G14" s="60">
        <v>0</v>
      </c>
      <c r="H14" s="60">
        <v>0</v>
      </c>
      <c r="I14" s="55">
        <f>K14+L14+M14+N14</f>
        <v>0</v>
      </c>
      <c r="J14" s="79">
        <f>IF(I14=0,0,I14/(I14+E14))</f>
        <v>0</v>
      </c>
      <c r="K14" s="60">
        <v>0</v>
      </c>
      <c r="L14" s="60">
        <v>0</v>
      </c>
      <c r="M14" s="60">
        <v>0</v>
      </c>
      <c r="N14" s="60">
        <v>0</v>
      </c>
      <c r="O14" s="282" t="s">
        <v>88</v>
      </c>
      <c r="P14" s="307"/>
      <c r="Q14" s="308"/>
      <c r="R14" s="311"/>
    </row>
    <row r="15" spans="1:19">
      <c r="A15" s="44">
        <f>Headcount!A16</f>
        <v>10</v>
      </c>
      <c r="B15" s="345">
        <f t="shared" si="3"/>
        <v>72562.5</v>
      </c>
      <c r="C15" s="53">
        <f t="shared" si="0"/>
        <v>56437.5</v>
      </c>
      <c r="D15" s="53">
        <f t="shared" si="4"/>
        <v>3622</v>
      </c>
      <c r="E15" s="54">
        <f t="shared" si="5"/>
        <v>1</v>
      </c>
      <c r="F15" s="60">
        <v>1</v>
      </c>
      <c r="G15" s="60">
        <v>0</v>
      </c>
      <c r="H15" s="60">
        <v>0</v>
      </c>
      <c r="I15" s="55">
        <f t="shared" si="1"/>
        <v>0</v>
      </c>
      <c r="J15" s="79">
        <f t="shared" si="2"/>
        <v>0</v>
      </c>
      <c r="K15" s="60">
        <v>0</v>
      </c>
      <c r="L15" s="60">
        <v>0</v>
      </c>
      <c r="M15" s="60">
        <v>0</v>
      </c>
      <c r="N15" s="60">
        <v>0</v>
      </c>
      <c r="O15" s="282" t="s">
        <v>88</v>
      </c>
      <c r="P15" s="307"/>
    </row>
    <row r="16" spans="1:19" ht="36">
      <c r="A16" s="44">
        <f>Headcount!A17</f>
        <v>11</v>
      </c>
      <c r="B16" s="345">
        <f t="shared" si="3"/>
        <v>64500</v>
      </c>
      <c r="C16" s="53">
        <f t="shared" si="0"/>
        <v>64500</v>
      </c>
      <c r="D16" s="53">
        <f t="shared" si="4"/>
        <v>9992</v>
      </c>
      <c r="E16" s="54">
        <f t="shared" si="5"/>
        <v>6370</v>
      </c>
      <c r="F16" s="60">
        <v>6370</v>
      </c>
      <c r="G16" s="60">
        <v>0</v>
      </c>
      <c r="H16" s="60">
        <v>0</v>
      </c>
      <c r="I16" s="55">
        <f>K16+L16+M16+N16</f>
        <v>50</v>
      </c>
      <c r="J16" s="79">
        <f t="shared" si="2"/>
        <v>7.7881619937694704E-3</v>
      </c>
      <c r="K16" s="60">
        <v>50</v>
      </c>
      <c r="L16" s="60">
        <v>0</v>
      </c>
      <c r="M16" s="60">
        <v>0</v>
      </c>
      <c r="N16" s="60">
        <v>0</v>
      </c>
      <c r="O16" s="282" t="s">
        <v>165</v>
      </c>
      <c r="P16" s="307"/>
    </row>
    <row r="17" spans="1:16" ht="60">
      <c r="A17" s="44">
        <f>Headcount!A18</f>
        <v>12</v>
      </c>
      <c r="B17" s="345">
        <f t="shared" si="3"/>
        <v>56437.5</v>
      </c>
      <c r="C17" s="53">
        <f t="shared" si="0"/>
        <v>72562.5</v>
      </c>
      <c r="D17" s="53">
        <f t="shared" si="4"/>
        <v>14897</v>
      </c>
      <c r="E17" s="54">
        <f t="shared" si="5"/>
        <v>4905</v>
      </c>
      <c r="F17" s="60">
        <v>4905</v>
      </c>
      <c r="G17" s="60">
        <v>0</v>
      </c>
      <c r="H17" s="60">
        <v>0</v>
      </c>
      <c r="I17" s="55">
        <f t="shared" si="1"/>
        <v>23</v>
      </c>
      <c r="J17" s="79">
        <f t="shared" si="2"/>
        <v>4.667207792207792E-3</v>
      </c>
      <c r="K17" s="60">
        <v>22</v>
      </c>
      <c r="L17" s="60">
        <v>0</v>
      </c>
      <c r="M17" s="60">
        <v>0</v>
      </c>
      <c r="N17" s="60">
        <v>1</v>
      </c>
      <c r="O17" s="282" t="s">
        <v>5297</v>
      </c>
      <c r="P17" s="307"/>
    </row>
    <row r="18" spans="1:16" ht="72">
      <c r="A18" s="44">
        <f>Headcount!A19</f>
        <v>13</v>
      </c>
      <c r="B18" s="345">
        <f t="shared" si="3"/>
        <v>48375</v>
      </c>
      <c r="C18" s="53">
        <f t="shared" si="0"/>
        <v>80625</v>
      </c>
      <c r="D18" s="53">
        <f t="shared" si="4"/>
        <v>30845</v>
      </c>
      <c r="E18" s="54">
        <f t="shared" si="5"/>
        <v>15948</v>
      </c>
      <c r="F18" s="60">
        <v>7930</v>
      </c>
      <c r="G18" s="60">
        <v>8018</v>
      </c>
      <c r="H18" s="60">
        <v>0</v>
      </c>
      <c r="I18" s="55">
        <f t="shared" si="1"/>
        <v>138</v>
      </c>
      <c r="J18" s="79">
        <f t="shared" si="2"/>
        <v>8.5788884744498316E-3</v>
      </c>
      <c r="K18" s="60">
        <v>108</v>
      </c>
      <c r="L18" s="60">
        <v>28</v>
      </c>
      <c r="M18" s="60">
        <v>0</v>
      </c>
      <c r="N18" s="60">
        <v>2</v>
      </c>
      <c r="O18" s="282" t="s">
        <v>5300</v>
      </c>
      <c r="P18" s="307"/>
    </row>
    <row r="19" spans="1:16" ht="36">
      <c r="A19" s="44">
        <v>14</v>
      </c>
      <c r="B19" s="345">
        <f t="shared" si="3"/>
        <v>40312.5</v>
      </c>
      <c r="C19" s="53">
        <f t="shared" si="0"/>
        <v>88687.5</v>
      </c>
      <c r="D19" s="53">
        <f t="shared" si="4"/>
        <v>46189</v>
      </c>
      <c r="E19" s="54">
        <f t="shared" si="5"/>
        <v>15344</v>
      </c>
      <c r="F19" s="60">
        <v>7510</v>
      </c>
      <c r="G19" s="60">
        <v>7834</v>
      </c>
      <c r="H19" s="60">
        <v>0</v>
      </c>
      <c r="I19" s="55">
        <f t="shared" ref="I19:I23" si="6">K19+L19+M19+N19</f>
        <v>155</v>
      </c>
      <c r="J19" s="79">
        <f t="shared" ref="J19:J21" si="7">IF(I19=0,0,I19/(I19+E19))</f>
        <v>1.0000645202916316E-2</v>
      </c>
      <c r="K19" s="60">
        <v>97</v>
      </c>
      <c r="L19" s="60">
        <v>58</v>
      </c>
      <c r="M19" s="60">
        <v>0</v>
      </c>
      <c r="N19" s="60">
        <v>0</v>
      </c>
      <c r="O19" s="490" t="s">
        <v>5301</v>
      </c>
      <c r="P19" s="307"/>
    </row>
    <row r="20" spans="1:16" ht="96">
      <c r="A20" s="44">
        <v>16</v>
      </c>
      <c r="B20" s="345">
        <f t="shared" si="3"/>
        <v>32250</v>
      </c>
      <c r="C20" s="53">
        <f t="shared" si="0"/>
        <v>96750</v>
      </c>
      <c r="D20" s="53">
        <f t="shared" si="4"/>
        <v>67026</v>
      </c>
      <c r="E20" s="54">
        <f t="shared" si="5"/>
        <v>20837</v>
      </c>
      <c r="F20" s="60">
        <v>11207</v>
      </c>
      <c r="G20" s="60">
        <v>9630</v>
      </c>
      <c r="H20" s="60">
        <v>0</v>
      </c>
      <c r="I20" s="55">
        <f t="shared" si="6"/>
        <v>154</v>
      </c>
      <c r="J20" s="79">
        <f t="shared" si="7"/>
        <v>7.3364775379924727E-3</v>
      </c>
      <c r="K20" s="60">
        <v>95</v>
      </c>
      <c r="L20" s="60">
        <v>54</v>
      </c>
      <c r="M20" s="60">
        <v>0</v>
      </c>
      <c r="N20" s="60">
        <v>5</v>
      </c>
      <c r="O20" s="450" t="s">
        <v>5328</v>
      </c>
      <c r="P20" s="307"/>
    </row>
    <row r="21" spans="1:16" ht="144">
      <c r="A21" s="44">
        <v>17</v>
      </c>
      <c r="B21" s="345">
        <f t="shared" si="3"/>
        <v>24187.5</v>
      </c>
      <c r="C21" s="53">
        <f t="shared" si="0"/>
        <v>104812.5</v>
      </c>
      <c r="D21" s="53">
        <f t="shared" si="4"/>
        <v>87516</v>
      </c>
      <c r="E21" s="54">
        <f t="shared" si="5"/>
        <v>20490</v>
      </c>
      <c r="F21" s="60">
        <v>11543</v>
      </c>
      <c r="G21" s="60">
        <v>8947</v>
      </c>
      <c r="H21" s="60">
        <v>0</v>
      </c>
      <c r="I21" s="55">
        <f t="shared" si="6"/>
        <v>110</v>
      </c>
      <c r="J21" s="79">
        <f t="shared" si="7"/>
        <v>5.3398058252427183E-3</v>
      </c>
      <c r="K21" s="60">
        <v>52</v>
      </c>
      <c r="L21" s="60">
        <v>56</v>
      </c>
      <c r="M21" s="60">
        <v>0</v>
      </c>
      <c r="N21" s="60">
        <v>2</v>
      </c>
      <c r="O21" s="450" t="s">
        <v>5327</v>
      </c>
      <c r="P21" s="314"/>
    </row>
    <row r="22" spans="1:16" ht="132">
      <c r="A22" s="44">
        <v>18</v>
      </c>
      <c r="B22" s="345">
        <f t="shared" ref="B22:B24" si="8">$B$9-C21</f>
        <v>16125</v>
      </c>
      <c r="C22" s="53">
        <f t="shared" si="0"/>
        <v>112875</v>
      </c>
      <c r="D22" s="53">
        <f t="shared" ref="D22:D23" si="9">IF(E22=0,0,D21+E22)</f>
        <v>107112</v>
      </c>
      <c r="E22" s="54">
        <f t="shared" ref="E22:E23" si="10">F22+G22+H22</f>
        <v>19596</v>
      </c>
      <c r="F22" s="60">
        <v>11497</v>
      </c>
      <c r="G22" s="60">
        <v>8099</v>
      </c>
      <c r="H22" s="60">
        <v>0</v>
      </c>
      <c r="I22" s="55">
        <f t="shared" si="6"/>
        <v>66</v>
      </c>
      <c r="J22" s="79">
        <f t="shared" ref="J22:J23" si="11">IF(I22=0,0,I22/(I22+E22))</f>
        <v>3.3567287152883735E-3</v>
      </c>
      <c r="K22" s="60">
        <v>28</v>
      </c>
      <c r="L22" s="60">
        <v>37</v>
      </c>
      <c r="M22" s="60">
        <v>0</v>
      </c>
      <c r="N22" s="60">
        <v>1</v>
      </c>
      <c r="O22" s="450" t="s">
        <v>5342</v>
      </c>
      <c r="P22" s="307"/>
    </row>
    <row r="23" spans="1:16" ht="72">
      <c r="A23" s="44">
        <v>19</v>
      </c>
      <c r="B23" s="345">
        <f t="shared" si="8"/>
        <v>8062.5</v>
      </c>
      <c r="C23" s="53">
        <f t="shared" si="0"/>
        <v>120937.5</v>
      </c>
      <c r="D23" s="53">
        <f t="shared" si="9"/>
        <v>126029</v>
      </c>
      <c r="E23" s="54">
        <f t="shared" si="10"/>
        <v>18917</v>
      </c>
      <c r="F23" s="60">
        <v>10801</v>
      </c>
      <c r="G23" s="60">
        <v>8116</v>
      </c>
      <c r="H23" s="60">
        <v>0</v>
      </c>
      <c r="I23" s="55">
        <f t="shared" si="6"/>
        <v>57</v>
      </c>
      <c r="J23" s="79">
        <f t="shared" si="11"/>
        <v>3.0041108885843788E-3</v>
      </c>
      <c r="K23" s="60">
        <v>48</v>
      </c>
      <c r="L23" s="60">
        <v>9</v>
      </c>
      <c r="M23" s="60">
        <v>0</v>
      </c>
      <c r="N23" s="60">
        <v>0</v>
      </c>
      <c r="O23" s="450" t="s">
        <v>5350</v>
      </c>
      <c r="P23" s="307"/>
    </row>
    <row r="24" spans="1:16" ht="24">
      <c r="A24" s="44">
        <v>20</v>
      </c>
      <c r="B24" s="345">
        <f t="shared" si="8"/>
        <v>0</v>
      </c>
      <c r="C24" s="53">
        <f t="shared" si="0"/>
        <v>129000</v>
      </c>
      <c r="D24" s="53">
        <f t="shared" ref="D24" si="12">IF(E24=0,0,D23+E24)</f>
        <v>129301</v>
      </c>
      <c r="E24" s="54">
        <f t="shared" ref="E24" si="13">F24+G24+H24</f>
        <v>3272</v>
      </c>
      <c r="F24" s="60">
        <v>3272</v>
      </c>
      <c r="G24" s="60">
        <v>0</v>
      </c>
      <c r="H24" s="60">
        <v>0</v>
      </c>
      <c r="I24" s="55">
        <f>K24+L24+M24+N24</f>
        <v>8</v>
      </c>
      <c r="J24" s="79">
        <f>IF(I24=0,0,I24/(I24+E24))</f>
        <v>2.4390243902439024E-3</v>
      </c>
      <c r="K24" s="60">
        <v>8</v>
      </c>
      <c r="L24" s="60">
        <v>0</v>
      </c>
      <c r="M24" s="60">
        <v>0</v>
      </c>
      <c r="N24" s="60">
        <v>0</v>
      </c>
      <c r="O24" s="282" t="s">
        <v>5360</v>
      </c>
      <c r="P24" s="307"/>
    </row>
    <row r="25" spans="1:16" ht="14.25" customHeight="1">
      <c r="A25" s="44"/>
      <c r="B25" s="345"/>
      <c r="C25" s="53"/>
      <c r="D25" s="53"/>
      <c r="E25" s="54"/>
      <c r="F25" s="60"/>
      <c r="G25" s="60"/>
      <c r="H25" s="60"/>
      <c r="I25" s="55"/>
      <c r="J25" s="79"/>
      <c r="K25" s="60"/>
      <c r="L25" s="60"/>
      <c r="M25" s="60"/>
      <c r="N25" s="60"/>
      <c r="O25" s="282"/>
      <c r="P25" s="314"/>
    </row>
    <row r="26" spans="1:16">
      <c r="A26" s="44"/>
      <c r="B26" s="345"/>
      <c r="C26" s="53"/>
      <c r="D26" s="53"/>
      <c r="E26" s="54"/>
      <c r="F26" s="60"/>
      <c r="G26" s="60"/>
      <c r="H26" s="60"/>
      <c r="I26" s="55"/>
      <c r="J26" s="79"/>
      <c r="K26" s="60"/>
      <c r="L26" s="60"/>
      <c r="M26" s="60"/>
      <c r="N26" s="60"/>
      <c r="O26" s="282"/>
      <c r="P26" s="307"/>
    </row>
    <row r="27" spans="1:16">
      <c r="A27" s="44"/>
      <c r="B27" s="345"/>
      <c r="C27" s="53"/>
      <c r="D27" s="53"/>
      <c r="E27" s="54"/>
      <c r="F27" s="60"/>
      <c r="G27" s="60"/>
      <c r="H27" s="60"/>
      <c r="I27" s="55"/>
      <c r="J27" s="79"/>
      <c r="K27" s="60"/>
      <c r="L27" s="60"/>
      <c r="M27" s="60"/>
      <c r="N27" s="60"/>
      <c r="O27" s="282"/>
      <c r="P27" s="314"/>
    </row>
    <row r="28" spans="1:16">
      <c r="A28" s="44"/>
      <c r="B28" s="345"/>
      <c r="C28" s="53"/>
      <c r="D28" s="53"/>
      <c r="E28" s="54"/>
      <c r="F28" s="60"/>
      <c r="G28" s="60"/>
      <c r="H28" s="60"/>
      <c r="I28" s="55"/>
      <c r="J28" s="79"/>
      <c r="K28" s="60"/>
      <c r="L28" s="60"/>
      <c r="M28" s="60"/>
      <c r="N28" s="60"/>
      <c r="O28" s="282"/>
      <c r="P28" s="314"/>
    </row>
    <row r="29" spans="1:16" ht="14.25" customHeight="1">
      <c r="A29" s="44"/>
      <c r="B29" s="345"/>
      <c r="C29" s="53"/>
      <c r="D29" s="53"/>
      <c r="E29" s="54"/>
      <c r="F29" s="60"/>
      <c r="G29" s="60"/>
      <c r="H29" s="60"/>
      <c r="I29" s="55"/>
      <c r="J29" s="79"/>
      <c r="K29" s="60"/>
      <c r="L29" s="60"/>
      <c r="M29" s="60"/>
      <c r="N29" s="60"/>
      <c r="O29" s="282"/>
      <c r="P29" s="314"/>
    </row>
    <row r="30" spans="1:16" ht="14.25" customHeight="1" thickBot="1">
      <c r="A30" s="44"/>
      <c r="B30" s="345"/>
      <c r="C30" s="53"/>
      <c r="D30" s="53"/>
      <c r="E30" s="54"/>
      <c r="F30" s="60"/>
      <c r="G30" s="60"/>
      <c r="H30" s="60"/>
      <c r="I30" s="55"/>
      <c r="J30" s="79"/>
      <c r="K30" s="60"/>
      <c r="L30" s="60"/>
      <c r="M30" s="60"/>
      <c r="N30" s="60"/>
      <c r="O30" s="319"/>
    </row>
    <row r="31" spans="1:16" ht="15.75" thickBot="1">
      <c r="A31" s="219" t="s">
        <v>107</v>
      </c>
      <c r="B31" s="226"/>
      <c r="C31" s="227">
        <f>C7*C5</f>
        <v>120937.5</v>
      </c>
      <c r="D31" s="227"/>
      <c r="E31" s="228">
        <f>SUM(E9:E29)</f>
        <v>129301</v>
      </c>
      <c r="F31" s="229"/>
      <c r="G31" s="229"/>
      <c r="H31" s="229"/>
      <c r="I31" s="230"/>
      <c r="J31" s="231"/>
      <c r="K31" s="229">
        <f>SUM(K9:K30)</f>
        <v>518</v>
      </c>
      <c r="L31" s="229">
        <f>SUM(L9:L30)</f>
        <v>242</v>
      </c>
      <c r="M31" s="229">
        <f>SUM(M9:M30)</f>
        <v>0</v>
      </c>
      <c r="N31" s="271">
        <f>SUM(N9:N30)</f>
        <v>19</v>
      </c>
      <c r="O31" s="225"/>
      <c r="P31" s="380">
        <f>SUM(P9:P30)</f>
        <v>0</v>
      </c>
    </row>
    <row r="32" spans="1:16" ht="15.75" thickBot="1">
      <c r="P32" t="s">
        <v>143</v>
      </c>
    </row>
    <row r="33" spans="9:19">
      <c r="I33" s="526" t="s">
        <v>159</v>
      </c>
      <c r="J33" s="527"/>
      <c r="K33" s="238">
        <f>K31+L31+M31+N31</f>
        <v>779</v>
      </c>
    </row>
    <row r="34" spans="9:19" ht="15.75" thickBot="1">
      <c r="I34" s="513" t="s">
        <v>166</v>
      </c>
      <c r="J34" s="514"/>
      <c r="K34" s="233">
        <f>K31+L31+M31</f>
        <v>760</v>
      </c>
      <c r="S34" t="s">
        <v>143</v>
      </c>
    </row>
    <row r="41" spans="9:19">
      <c r="O41" t="s">
        <v>143</v>
      </c>
    </row>
  </sheetData>
  <mergeCells count="9">
    <mergeCell ref="I33:J33"/>
    <mergeCell ref="I34:J34"/>
    <mergeCell ref="G1:H1"/>
    <mergeCell ref="I1:R2"/>
    <mergeCell ref="G2:H2"/>
    <mergeCell ref="E7:H7"/>
    <mergeCell ref="I7:M7"/>
    <mergeCell ref="R9:R12"/>
    <mergeCell ref="P12:Q12"/>
  </mergeCells>
  <phoneticPr fontId="79" type="noConversion"/>
  <conditionalFormatting sqref="G1:H1">
    <cfRule type="cellIs" dxfId="46" priority="2" operator="lessThan">
      <formula>0</formula>
    </cfRule>
  </conditionalFormatting>
  <conditionalFormatting sqref="J9:J31">
    <cfRule type="cellIs" dxfId="45" priority="1" operator="greaterThan">
      <formula>0.1</formula>
    </cfRule>
  </conditionalFormatting>
  <pageMargins left="0.7" right="0.7" top="0.75" bottom="0.75" header="0.3" footer="0.3"/>
  <pageSetup paperSize="9" scale="3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0564-7BF6-4BB8-A39B-1D9DA716DE08}">
  <sheetPr>
    <pageSetUpPr fitToPage="1"/>
  </sheetPr>
  <dimension ref="A1:Q34"/>
  <sheetViews>
    <sheetView showGridLines="0" zoomScale="70" zoomScaleNormal="70" workbookViewId="0">
      <pane ySplit="2" topLeftCell="A3" activePane="bottomLeft" state="frozen"/>
      <selection activeCell="P8" sqref="P8"/>
      <selection pane="bottomLeft" activeCell="M16" sqref="M16"/>
    </sheetView>
  </sheetViews>
  <sheetFormatPr defaultRowHeight="15"/>
  <cols>
    <col min="2" max="2" width="13.42578125" customWidth="1"/>
    <col min="3" max="3" width="11.42578125" customWidth="1"/>
    <col min="4" max="4" width="14.42578125" customWidth="1"/>
    <col min="5" max="5" width="11.42578125" bestFit="1" customWidth="1"/>
    <col min="6" max="7" width="10.42578125" customWidth="1"/>
    <col min="8" max="8" width="17.42578125" customWidth="1"/>
    <col min="9" max="11" width="10.42578125" customWidth="1"/>
    <col min="12" max="12" width="14.42578125" customWidth="1"/>
    <col min="13" max="13" width="54.85546875" customWidth="1"/>
  </cols>
  <sheetData>
    <row r="1" spans="1:17" ht="33.75">
      <c r="A1" s="529" t="s">
        <v>167</v>
      </c>
      <c r="B1" s="529"/>
      <c r="C1" s="52" t="s">
        <v>59</v>
      </c>
      <c r="D1" s="41"/>
      <c r="E1" s="41"/>
      <c r="F1" s="41"/>
      <c r="G1" s="502">
        <f>E31-C31</f>
        <v>269</v>
      </c>
      <c r="H1" s="522"/>
      <c r="I1" s="508"/>
      <c r="J1" s="508"/>
      <c r="K1" s="508"/>
      <c r="L1" s="508"/>
      <c r="M1" s="508"/>
      <c r="N1" s="508"/>
      <c r="O1" s="508"/>
      <c r="P1" s="508"/>
    </row>
    <row r="2" spans="1:17" ht="46.5">
      <c r="A2" s="40"/>
      <c r="B2" s="41"/>
      <c r="C2" s="52"/>
      <c r="D2" s="41"/>
      <c r="E2" s="41"/>
      <c r="F2" s="41"/>
      <c r="G2" s="503"/>
      <c r="H2" s="523"/>
      <c r="I2" s="508"/>
      <c r="J2" s="508"/>
      <c r="K2" s="508"/>
      <c r="L2" s="508"/>
      <c r="M2" s="508"/>
      <c r="N2" s="508"/>
      <c r="O2" s="508"/>
      <c r="P2" s="508"/>
    </row>
    <row r="3" spans="1:17">
      <c r="E3" s="65"/>
    </row>
    <row r="4" spans="1:17">
      <c r="E4" s="65"/>
    </row>
    <row r="5" spans="1:17">
      <c r="B5" s="23" t="s">
        <v>112</v>
      </c>
      <c r="C5" s="277">
        <v>1133</v>
      </c>
      <c r="E5" s="4">
        <f>D23/C23</f>
        <v>1.0158281847602235</v>
      </c>
    </row>
    <row r="6" spans="1:17">
      <c r="B6" s="276" t="s">
        <v>64</v>
      </c>
      <c r="C6" s="23">
        <f>Headcount!F7</f>
        <v>15</v>
      </c>
    </row>
    <row r="7" spans="1:17">
      <c r="B7" s="23" t="s">
        <v>40</v>
      </c>
      <c r="C7" s="23">
        <f>Headcount!F8</f>
        <v>15</v>
      </c>
      <c r="D7" s="23"/>
      <c r="E7" s="507" t="s">
        <v>65</v>
      </c>
      <c r="F7" s="507"/>
      <c r="G7" s="507"/>
      <c r="H7" s="507"/>
      <c r="I7" s="507" t="s">
        <v>66</v>
      </c>
      <c r="J7" s="507"/>
      <c r="K7" s="507"/>
      <c r="L7" s="23"/>
    </row>
    <row r="8" spans="1:17" s="20" customFormat="1" ht="48">
      <c r="A8" s="42" t="s">
        <v>114</v>
      </c>
      <c r="B8" s="43" t="s">
        <v>69</v>
      </c>
      <c r="C8" s="42" t="s">
        <v>115</v>
      </c>
      <c r="D8" s="42" t="s">
        <v>116</v>
      </c>
      <c r="E8" s="51" t="s">
        <v>117</v>
      </c>
      <c r="F8" s="42" t="s">
        <v>73</v>
      </c>
      <c r="G8" s="42" t="s">
        <v>74</v>
      </c>
      <c r="H8" s="42" t="s">
        <v>93</v>
      </c>
      <c r="I8" s="47" t="s">
        <v>76</v>
      </c>
      <c r="J8" s="42" t="s">
        <v>77</v>
      </c>
      <c r="K8" s="42" t="s">
        <v>78</v>
      </c>
      <c r="L8" s="285" t="s">
        <v>152</v>
      </c>
      <c r="M8" s="42" t="s">
        <v>81</v>
      </c>
    </row>
    <row r="9" spans="1:17">
      <c r="A9" s="44">
        <f>Headcount!A10</f>
        <v>2</v>
      </c>
      <c r="B9" s="341">
        <f>C5*C6</f>
        <v>16995</v>
      </c>
      <c r="C9" s="338">
        <f>C5</f>
        <v>1133</v>
      </c>
      <c r="D9" s="338">
        <f>E9</f>
        <v>1</v>
      </c>
      <c r="E9" s="302">
        <f t="shared" ref="E9:E17" si="0">F9+G9+H9</f>
        <v>1</v>
      </c>
      <c r="F9" s="59">
        <v>1</v>
      </c>
      <c r="G9" s="59">
        <v>0</v>
      </c>
      <c r="H9" s="59">
        <v>0</v>
      </c>
      <c r="I9" s="55">
        <f>K9+L9</f>
        <v>0</v>
      </c>
      <c r="J9" s="346">
        <f t="shared" ref="J9:J17" si="1">IF(I9=0,0,I9/(I9+E9))</f>
        <v>0</v>
      </c>
      <c r="K9" s="59">
        <v>0</v>
      </c>
      <c r="L9" s="59">
        <v>0</v>
      </c>
      <c r="M9" s="287" t="s">
        <v>88</v>
      </c>
    </row>
    <row r="10" spans="1:17">
      <c r="A10" s="44">
        <f>Headcount!A11</f>
        <v>3</v>
      </c>
      <c r="B10" s="345">
        <f>$B$9-C9</f>
        <v>15862</v>
      </c>
      <c r="C10" s="53">
        <f t="shared" ref="C10:C23" si="2">$C$5+C9</f>
        <v>2266</v>
      </c>
      <c r="D10" s="53">
        <f>IF(E10=0,0,D9+E10)</f>
        <v>2</v>
      </c>
      <c r="E10" s="54">
        <f t="shared" si="0"/>
        <v>1</v>
      </c>
      <c r="F10" s="60">
        <v>1</v>
      </c>
      <c r="G10" s="60">
        <v>0</v>
      </c>
      <c r="H10" s="60">
        <v>0</v>
      </c>
      <c r="I10" s="55">
        <f t="shared" ref="I10:I17" si="3">K10+L10</f>
        <v>0</v>
      </c>
      <c r="J10" s="79">
        <f t="shared" si="1"/>
        <v>0</v>
      </c>
      <c r="K10" s="60">
        <v>0</v>
      </c>
      <c r="L10" s="60">
        <v>0</v>
      </c>
      <c r="M10" s="282" t="s">
        <v>88</v>
      </c>
    </row>
    <row r="11" spans="1:17">
      <c r="A11" s="44">
        <f>Headcount!A12</f>
        <v>4</v>
      </c>
      <c r="B11" s="345">
        <f t="shared" ref="B11:B17" si="4">$B$9-C10</f>
        <v>14729</v>
      </c>
      <c r="C11" s="53">
        <f t="shared" si="2"/>
        <v>3399</v>
      </c>
      <c r="D11" s="53">
        <f t="shared" ref="D11:D17" si="5">IF(E11=0,0,D10+E11)</f>
        <v>3931</v>
      </c>
      <c r="E11" s="54">
        <f t="shared" si="0"/>
        <v>3929</v>
      </c>
      <c r="F11" s="60">
        <v>3929</v>
      </c>
      <c r="G11" s="60">
        <v>0</v>
      </c>
      <c r="H11" s="60">
        <v>0</v>
      </c>
      <c r="I11" s="55">
        <f t="shared" si="3"/>
        <v>15</v>
      </c>
      <c r="J11" s="79">
        <f t="shared" si="1"/>
        <v>3.8032454361054766E-3</v>
      </c>
      <c r="K11" s="60">
        <v>15</v>
      </c>
      <c r="L11" s="60">
        <v>0</v>
      </c>
      <c r="M11" s="282" t="s">
        <v>168</v>
      </c>
      <c r="Q11" s="4"/>
    </row>
    <row r="12" spans="1:17">
      <c r="A12" s="44">
        <f>Headcount!A13</f>
        <v>5</v>
      </c>
      <c r="B12" s="345">
        <f t="shared" si="4"/>
        <v>13596</v>
      </c>
      <c r="C12" s="53">
        <f t="shared" si="2"/>
        <v>4532</v>
      </c>
      <c r="D12" s="53">
        <f t="shared" si="5"/>
        <v>5877</v>
      </c>
      <c r="E12" s="54">
        <f t="shared" si="0"/>
        <v>1946</v>
      </c>
      <c r="F12" s="60">
        <v>1946</v>
      </c>
      <c r="G12" s="60">
        <v>0</v>
      </c>
      <c r="H12" s="60">
        <v>0</v>
      </c>
      <c r="I12" s="55">
        <f t="shared" si="3"/>
        <v>7</v>
      </c>
      <c r="J12" s="79">
        <f t="shared" si="1"/>
        <v>3.5842293906810036E-3</v>
      </c>
      <c r="K12" s="60">
        <v>7</v>
      </c>
      <c r="L12" s="60">
        <v>0</v>
      </c>
      <c r="M12" s="282" t="s">
        <v>169</v>
      </c>
      <c r="N12" s="5"/>
    </row>
    <row r="13" spans="1:17">
      <c r="A13" s="44">
        <f>Headcount!A14</f>
        <v>6</v>
      </c>
      <c r="B13" s="345">
        <f t="shared" si="4"/>
        <v>12463</v>
      </c>
      <c r="C13" s="53">
        <f t="shared" si="2"/>
        <v>5665</v>
      </c>
      <c r="D13" s="53">
        <f>IF(E13=0,0,D12+E13)</f>
        <v>5878</v>
      </c>
      <c r="E13" s="54">
        <f t="shared" si="0"/>
        <v>1</v>
      </c>
      <c r="F13" s="60">
        <v>1</v>
      </c>
      <c r="G13" s="60">
        <v>0</v>
      </c>
      <c r="H13" s="60">
        <v>0</v>
      </c>
      <c r="I13" s="55">
        <f t="shared" si="3"/>
        <v>0</v>
      </c>
      <c r="J13" s="79">
        <f t="shared" si="1"/>
        <v>0</v>
      </c>
      <c r="K13" s="60">
        <v>0</v>
      </c>
      <c r="L13" s="60">
        <v>0</v>
      </c>
      <c r="M13" s="282" t="s">
        <v>88</v>
      </c>
    </row>
    <row r="14" spans="1:17">
      <c r="A14" s="44">
        <f>Headcount!A15</f>
        <v>9</v>
      </c>
      <c r="B14" s="345">
        <f t="shared" si="4"/>
        <v>11330</v>
      </c>
      <c r="C14" s="53">
        <f t="shared" si="2"/>
        <v>6798</v>
      </c>
      <c r="D14" s="53">
        <f t="shared" si="5"/>
        <v>10120</v>
      </c>
      <c r="E14" s="54">
        <f t="shared" si="0"/>
        <v>4242</v>
      </c>
      <c r="F14" s="60">
        <v>4242</v>
      </c>
      <c r="G14" s="60">
        <v>0</v>
      </c>
      <c r="H14" s="60">
        <v>0</v>
      </c>
      <c r="I14" s="55">
        <f t="shared" si="3"/>
        <v>48</v>
      </c>
      <c r="J14" s="79">
        <f t="shared" si="1"/>
        <v>1.1188811188811189E-2</v>
      </c>
      <c r="K14" s="60">
        <v>48</v>
      </c>
      <c r="L14" s="60">
        <v>0</v>
      </c>
      <c r="M14" s="282" t="s">
        <v>170</v>
      </c>
    </row>
    <row r="15" spans="1:17">
      <c r="A15" s="44">
        <f>Headcount!A16</f>
        <v>10</v>
      </c>
      <c r="B15" s="345">
        <f t="shared" si="4"/>
        <v>10197</v>
      </c>
      <c r="C15" s="53">
        <f>$C$5+C14</f>
        <v>7931</v>
      </c>
      <c r="D15" s="53">
        <f t="shared" si="5"/>
        <v>13731</v>
      </c>
      <c r="E15" s="54">
        <f t="shared" si="0"/>
        <v>3611</v>
      </c>
      <c r="F15" s="60">
        <v>3611</v>
      </c>
      <c r="G15" s="60">
        <v>0</v>
      </c>
      <c r="H15" s="60">
        <v>0</v>
      </c>
      <c r="I15" s="55">
        <f t="shared" si="3"/>
        <v>50</v>
      </c>
      <c r="J15" s="79">
        <f t="shared" si="1"/>
        <v>1.3657470636438131E-2</v>
      </c>
      <c r="K15" s="60">
        <v>50</v>
      </c>
      <c r="L15" s="60">
        <v>0</v>
      </c>
      <c r="M15" s="282" t="s">
        <v>171</v>
      </c>
      <c r="N15" t="s">
        <v>5379</v>
      </c>
    </row>
    <row r="16" spans="1:17">
      <c r="A16" s="44">
        <f>Headcount!A17</f>
        <v>11</v>
      </c>
      <c r="B16" s="345">
        <f t="shared" si="4"/>
        <v>9064</v>
      </c>
      <c r="C16" s="53">
        <f t="shared" si="2"/>
        <v>9064</v>
      </c>
      <c r="D16" s="53">
        <f t="shared" si="5"/>
        <v>13732</v>
      </c>
      <c r="E16" s="54">
        <f t="shared" si="0"/>
        <v>1</v>
      </c>
      <c r="F16" s="60">
        <v>1</v>
      </c>
      <c r="G16" s="60">
        <v>0</v>
      </c>
      <c r="H16" s="60">
        <v>0</v>
      </c>
      <c r="I16" s="55">
        <f t="shared" si="3"/>
        <v>0</v>
      </c>
      <c r="J16" s="79">
        <f t="shared" si="1"/>
        <v>0</v>
      </c>
      <c r="K16" s="60">
        <v>0</v>
      </c>
      <c r="L16" s="60">
        <v>0</v>
      </c>
      <c r="M16" s="282" t="s">
        <v>88</v>
      </c>
    </row>
    <row r="17" spans="1:16" ht="16.149999999999999" customHeight="1">
      <c r="A17" s="44">
        <f>Headcount!A18</f>
        <v>12</v>
      </c>
      <c r="B17" s="345">
        <f t="shared" si="4"/>
        <v>7931</v>
      </c>
      <c r="C17" s="53">
        <f t="shared" si="2"/>
        <v>10197</v>
      </c>
      <c r="D17" s="53">
        <f t="shared" si="5"/>
        <v>14732</v>
      </c>
      <c r="E17" s="54">
        <f t="shared" si="0"/>
        <v>1000</v>
      </c>
      <c r="F17" s="60">
        <v>1000</v>
      </c>
      <c r="G17" s="60">
        <v>0</v>
      </c>
      <c r="H17" s="60">
        <v>0</v>
      </c>
      <c r="I17" s="55">
        <f t="shared" si="3"/>
        <v>0</v>
      </c>
      <c r="J17" s="79">
        <f t="shared" si="1"/>
        <v>0</v>
      </c>
      <c r="K17" s="60">
        <v>0</v>
      </c>
      <c r="L17" s="60">
        <v>0</v>
      </c>
      <c r="M17" s="282" t="s">
        <v>88</v>
      </c>
    </row>
    <row r="18" spans="1:16">
      <c r="A18" s="44">
        <f>Headcount!A19</f>
        <v>13</v>
      </c>
      <c r="B18" s="345">
        <f t="shared" ref="B18:B21" si="6">$B$9-C17</f>
        <v>6798</v>
      </c>
      <c r="C18" s="53">
        <f t="shared" si="2"/>
        <v>11330</v>
      </c>
      <c r="D18" s="53">
        <f t="shared" ref="D18:D21" si="7">IF(E18=0,0,D17+E18)</f>
        <v>17259</v>
      </c>
      <c r="E18" s="54">
        <f t="shared" ref="E18:E21" si="8">F18+G18+H18</f>
        <v>2527</v>
      </c>
      <c r="F18" s="60">
        <v>2527</v>
      </c>
      <c r="G18" s="60">
        <v>0</v>
      </c>
      <c r="H18" s="60">
        <v>0</v>
      </c>
      <c r="I18" s="55">
        <f>K18+L18</f>
        <v>1</v>
      </c>
      <c r="J18" s="79">
        <f>IF(I18=0,0,I18/(I18+E18))</f>
        <v>3.9556962025316455E-4</v>
      </c>
      <c r="K18" s="218">
        <v>1</v>
      </c>
      <c r="L18" s="218">
        <v>0</v>
      </c>
      <c r="M18" s="461" t="s">
        <v>5299</v>
      </c>
    </row>
    <row r="19" spans="1:16">
      <c r="A19" s="44">
        <f>Headcount!A20</f>
        <v>16</v>
      </c>
      <c r="B19" s="345">
        <f t="shared" si="6"/>
        <v>5665</v>
      </c>
      <c r="C19" s="53">
        <f t="shared" si="2"/>
        <v>12463</v>
      </c>
      <c r="D19" s="53">
        <f t="shared" si="7"/>
        <v>17260</v>
      </c>
      <c r="E19" s="54">
        <f t="shared" si="8"/>
        <v>1</v>
      </c>
      <c r="F19" s="60">
        <v>1</v>
      </c>
      <c r="G19" s="60">
        <v>0</v>
      </c>
      <c r="H19" s="60">
        <v>0</v>
      </c>
      <c r="I19" s="55">
        <f>K19+L19</f>
        <v>0</v>
      </c>
      <c r="J19" s="468">
        <f>IF(I19=0,0,I19/(I19+E19))</f>
        <v>0</v>
      </c>
      <c r="K19" s="60">
        <v>0</v>
      </c>
      <c r="L19" s="60">
        <v>0</v>
      </c>
      <c r="M19" s="282" t="s">
        <v>88</v>
      </c>
      <c r="N19" s="528"/>
      <c r="O19" s="504"/>
      <c r="P19" s="504"/>
    </row>
    <row r="20" spans="1:16">
      <c r="A20" s="44">
        <f>Headcount!A21</f>
        <v>17</v>
      </c>
      <c r="B20" s="345">
        <f t="shared" si="6"/>
        <v>4532</v>
      </c>
      <c r="C20" s="53">
        <f t="shared" si="2"/>
        <v>13596</v>
      </c>
      <c r="D20" s="53">
        <f t="shared" si="7"/>
        <v>17261</v>
      </c>
      <c r="E20" s="54">
        <f t="shared" si="8"/>
        <v>1</v>
      </c>
      <c r="F20" s="60">
        <v>1</v>
      </c>
      <c r="G20" s="60">
        <v>0</v>
      </c>
      <c r="H20" s="60">
        <v>0</v>
      </c>
      <c r="I20" s="55">
        <f>K20+L20</f>
        <v>0</v>
      </c>
      <c r="J20" s="468">
        <f>IF(I20=0,0,I20/(I20+E20))</f>
        <v>0</v>
      </c>
      <c r="K20" s="60">
        <v>0</v>
      </c>
      <c r="L20" s="60">
        <v>0</v>
      </c>
      <c r="M20" s="282" t="s">
        <v>88</v>
      </c>
      <c r="N20" s="528"/>
      <c r="O20" s="504"/>
      <c r="P20" s="504"/>
    </row>
    <row r="21" spans="1:16">
      <c r="A21" s="44">
        <f>Headcount!A22</f>
        <v>18</v>
      </c>
      <c r="B21" s="345">
        <f t="shared" si="6"/>
        <v>3399</v>
      </c>
      <c r="C21" s="53">
        <f t="shared" si="2"/>
        <v>14729</v>
      </c>
      <c r="D21" s="53">
        <f t="shared" si="7"/>
        <v>17262</v>
      </c>
      <c r="E21" s="54">
        <f t="shared" si="8"/>
        <v>1</v>
      </c>
      <c r="F21" s="60">
        <v>1</v>
      </c>
      <c r="G21" s="60">
        <v>0</v>
      </c>
      <c r="H21" s="60">
        <v>0</v>
      </c>
      <c r="I21" s="55">
        <f>K21+L21</f>
        <v>0</v>
      </c>
      <c r="J21" s="468">
        <f>IF(I21=0,0,I21/(I21+E21))</f>
        <v>0</v>
      </c>
      <c r="K21" s="60">
        <v>0</v>
      </c>
      <c r="L21" s="60">
        <v>0</v>
      </c>
      <c r="M21" s="282" t="s">
        <v>88</v>
      </c>
      <c r="N21" s="528"/>
      <c r="O21" s="504"/>
      <c r="P21" s="504"/>
    </row>
    <row r="22" spans="1:16">
      <c r="A22" s="44">
        <f>Headcount!A23</f>
        <v>19</v>
      </c>
      <c r="B22" s="345">
        <f t="shared" ref="B22:B23" si="9">$B$9-C21</f>
        <v>2266</v>
      </c>
      <c r="C22" s="53">
        <f t="shared" si="2"/>
        <v>15862</v>
      </c>
      <c r="D22" s="53">
        <f t="shared" ref="D22:D23" si="10">IF(E22=0,0,D21+E22)</f>
        <v>17263</v>
      </c>
      <c r="E22" s="54">
        <f t="shared" ref="E22:E23" si="11">F22+G22+H22</f>
        <v>1</v>
      </c>
      <c r="F22" s="60">
        <v>1</v>
      </c>
      <c r="G22" s="60">
        <v>0</v>
      </c>
      <c r="H22" s="60">
        <v>0</v>
      </c>
      <c r="I22" s="55">
        <f t="shared" ref="I22:I23" si="12">K22+L22</f>
        <v>0</v>
      </c>
      <c r="J22" s="468">
        <f t="shared" ref="J22:J23" si="13">IF(I22=0,0,I22/(I22+E22))</f>
        <v>0</v>
      </c>
      <c r="K22" s="60">
        <v>0</v>
      </c>
      <c r="L22" s="60">
        <v>0</v>
      </c>
      <c r="M22" s="282" t="s">
        <v>88</v>
      </c>
      <c r="N22" s="528"/>
      <c r="O22" s="504"/>
      <c r="P22" s="504"/>
    </row>
    <row r="23" spans="1:16">
      <c r="A23" s="44">
        <f>Headcount!A24</f>
        <v>20</v>
      </c>
      <c r="B23" s="345">
        <f t="shared" si="9"/>
        <v>1133</v>
      </c>
      <c r="C23" s="53">
        <f t="shared" si="2"/>
        <v>16995</v>
      </c>
      <c r="D23" s="53">
        <f t="shared" si="10"/>
        <v>17264</v>
      </c>
      <c r="E23" s="54">
        <f t="shared" si="11"/>
        <v>1</v>
      </c>
      <c r="F23" s="60">
        <v>1</v>
      </c>
      <c r="G23" s="60">
        <v>0</v>
      </c>
      <c r="H23" s="60">
        <v>0</v>
      </c>
      <c r="I23" s="55">
        <f t="shared" si="12"/>
        <v>0</v>
      </c>
      <c r="J23" s="468">
        <f t="shared" si="13"/>
        <v>0</v>
      </c>
      <c r="K23" s="60">
        <v>0</v>
      </c>
      <c r="L23" s="60">
        <v>0</v>
      </c>
      <c r="M23" s="282" t="s">
        <v>88</v>
      </c>
      <c r="N23" s="528"/>
      <c r="O23" s="504"/>
      <c r="P23" s="504"/>
    </row>
    <row r="24" spans="1:16">
      <c r="A24" s="44"/>
      <c r="B24" s="345"/>
      <c r="C24" s="53"/>
      <c r="D24" s="53"/>
      <c r="E24" s="54"/>
      <c r="F24" s="60"/>
      <c r="G24" s="60"/>
      <c r="H24" s="60"/>
      <c r="I24" s="55"/>
      <c r="J24" s="468"/>
      <c r="K24" s="60"/>
      <c r="L24" s="60"/>
      <c r="M24" s="282"/>
      <c r="N24" s="528"/>
      <c r="O24" s="504"/>
      <c r="P24" s="504"/>
    </row>
    <row r="25" spans="1:16">
      <c r="A25" s="44"/>
      <c r="B25" s="345"/>
      <c r="C25" s="53"/>
      <c r="D25" s="53"/>
      <c r="E25" s="54"/>
      <c r="F25" s="60"/>
      <c r="G25" s="60"/>
      <c r="H25" s="60"/>
      <c r="I25" s="55"/>
      <c r="J25" s="468"/>
      <c r="K25" s="60"/>
      <c r="L25" s="60"/>
      <c r="M25" s="282"/>
      <c r="N25" s="528"/>
      <c r="O25" s="504"/>
      <c r="P25" s="504"/>
    </row>
    <row r="26" spans="1:16">
      <c r="A26" s="44"/>
      <c r="B26" s="345"/>
      <c r="C26" s="53"/>
      <c r="D26" s="53"/>
      <c r="E26" s="54"/>
      <c r="F26" s="60"/>
      <c r="G26" s="60"/>
      <c r="H26" s="60"/>
      <c r="I26" s="55"/>
      <c r="J26" s="468"/>
      <c r="K26" s="60"/>
      <c r="L26" s="60"/>
      <c r="M26" s="70"/>
      <c r="N26" s="528"/>
      <c r="O26" s="504"/>
      <c r="P26" s="504"/>
    </row>
    <row r="27" spans="1:16">
      <c r="A27" s="44"/>
      <c r="B27" s="345"/>
      <c r="C27" s="53"/>
      <c r="D27" s="53"/>
      <c r="E27" s="54"/>
      <c r="F27" s="60"/>
      <c r="G27" s="60"/>
      <c r="H27" s="60"/>
      <c r="I27" s="55"/>
      <c r="J27" s="468"/>
      <c r="K27" s="60"/>
      <c r="L27" s="60"/>
      <c r="M27" s="70"/>
      <c r="N27" s="528"/>
      <c r="O27" s="504"/>
      <c r="P27" s="504"/>
    </row>
    <row r="28" spans="1:16">
      <c r="A28" s="44"/>
      <c r="B28" s="345"/>
      <c r="C28" s="53"/>
      <c r="D28" s="53"/>
      <c r="E28" s="54"/>
      <c r="F28" s="60"/>
      <c r="G28" s="60"/>
      <c r="H28" s="60"/>
      <c r="I28" s="55"/>
      <c r="J28" s="468"/>
      <c r="K28" s="60"/>
      <c r="L28" s="60"/>
      <c r="M28" s="60"/>
      <c r="N28" s="528"/>
      <c r="O28" s="504"/>
      <c r="P28" s="504"/>
    </row>
    <row r="29" spans="1:16">
      <c r="A29" s="44"/>
      <c r="B29" s="345"/>
      <c r="C29" s="53"/>
      <c r="D29" s="53"/>
      <c r="E29" s="54"/>
      <c r="F29" s="60"/>
      <c r="G29" s="60"/>
      <c r="H29" s="60"/>
      <c r="I29" s="55"/>
      <c r="J29" s="79"/>
      <c r="K29" s="60"/>
      <c r="L29" s="60"/>
      <c r="M29" s="218"/>
    </row>
    <row r="30" spans="1:16" ht="15.75" thickBot="1">
      <c r="A30" s="44"/>
      <c r="B30" s="345"/>
      <c r="C30" s="53"/>
      <c r="D30" s="53"/>
      <c r="E30" s="54"/>
      <c r="F30" s="60"/>
      <c r="G30" s="60"/>
      <c r="H30" s="60"/>
      <c r="I30" s="55"/>
      <c r="J30" s="79"/>
      <c r="K30" s="60"/>
      <c r="L30" s="60"/>
      <c r="M30" s="218"/>
    </row>
    <row r="31" spans="1:16" ht="15.75" thickBot="1">
      <c r="A31" s="219" t="s">
        <v>89</v>
      </c>
      <c r="B31" s="226"/>
      <c r="C31" s="227">
        <f>C7*C5</f>
        <v>16995</v>
      </c>
      <c r="D31" s="227"/>
      <c r="E31" s="228">
        <f>SUM(E9:E28)</f>
        <v>17264</v>
      </c>
      <c r="F31" s="229"/>
      <c r="G31" s="229"/>
      <c r="H31" s="229"/>
      <c r="I31" s="230"/>
      <c r="J31" s="231"/>
      <c r="K31" s="229">
        <f>SUM(K9:K30)</f>
        <v>121</v>
      </c>
      <c r="L31" s="271">
        <f>SUM(L9:L30)</f>
        <v>0</v>
      </c>
      <c r="M31" s="225">
        <f>SUM(K31:K31)</f>
        <v>121</v>
      </c>
    </row>
    <row r="32" spans="1:16" ht="15.75" thickBot="1"/>
    <row r="33" spans="9:11">
      <c r="I33" s="526" t="s">
        <v>159</v>
      </c>
      <c r="J33" s="527"/>
      <c r="K33" s="238">
        <f>L31+K31</f>
        <v>121</v>
      </c>
    </row>
    <row r="34" spans="9:11" ht="15.75" thickBot="1">
      <c r="I34" s="513" t="s">
        <v>160</v>
      </c>
      <c r="J34" s="514"/>
      <c r="K34" s="233">
        <f>K31</f>
        <v>121</v>
      </c>
    </row>
  </sheetData>
  <mergeCells count="10">
    <mergeCell ref="I33:J33"/>
    <mergeCell ref="I34:J34"/>
    <mergeCell ref="A1:B1"/>
    <mergeCell ref="G1:H1"/>
    <mergeCell ref="I1:P2"/>
    <mergeCell ref="G2:H2"/>
    <mergeCell ref="E7:H7"/>
    <mergeCell ref="I7:K7"/>
    <mergeCell ref="N19:P23"/>
    <mergeCell ref="N24:P28"/>
  </mergeCells>
  <conditionalFormatting sqref="G1:H1">
    <cfRule type="cellIs" dxfId="44" priority="2" operator="lessThan">
      <formula>0</formula>
    </cfRule>
  </conditionalFormatting>
  <conditionalFormatting sqref="J9:J31">
    <cfRule type="cellIs" dxfId="43" priority="1" operator="greaterThan">
      <formula>0.1</formula>
    </cfRule>
  </conditionalFormatting>
  <pageMargins left="0.7" right="0.7" top="0.75" bottom="0.75" header="0.3" footer="0.3"/>
  <pageSetup paperSize="9" scale="6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1"/>
  <sheetViews>
    <sheetView showGridLines="0" zoomScale="86" zoomScaleNormal="86" workbookViewId="0">
      <pane ySplit="2" topLeftCell="A7" activePane="bottomLeft" state="frozen"/>
      <selection activeCell="J18" sqref="J18:J22"/>
      <selection pane="bottomLeft" activeCell="F24" sqref="F24:H24"/>
    </sheetView>
  </sheetViews>
  <sheetFormatPr defaultRowHeight="15"/>
  <cols>
    <col min="2" max="2" width="13.42578125" customWidth="1"/>
    <col min="3" max="3" width="11.42578125" customWidth="1"/>
    <col min="4" max="4" width="14.42578125" customWidth="1"/>
    <col min="5" max="5" width="13" bestFit="1" customWidth="1"/>
    <col min="6" max="7" width="10.42578125" customWidth="1"/>
    <col min="8" max="8" width="16" customWidth="1"/>
    <col min="9" max="11" width="10.42578125" customWidth="1"/>
    <col min="12" max="12" width="15.42578125" customWidth="1"/>
    <col min="13" max="13" width="34.42578125" customWidth="1"/>
  </cols>
  <sheetData>
    <row r="1" spans="1:16" ht="33.75">
      <c r="A1" s="269" t="s">
        <v>172</v>
      </c>
      <c r="B1" s="41"/>
      <c r="C1" s="52" t="s">
        <v>59</v>
      </c>
      <c r="D1" s="41"/>
      <c r="E1" s="41"/>
      <c r="F1" s="41"/>
      <c r="G1" s="502">
        <f>E31-C31</f>
        <v>48.099999999999909</v>
      </c>
      <c r="H1" s="522"/>
      <c r="I1" s="508"/>
      <c r="J1" s="508"/>
      <c r="K1" s="508"/>
      <c r="L1" s="508"/>
      <c r="M1" s="508"/>
      <c r="N1" s="508"/>
      <c r="O1" s="508"/>
      <c r="P1" s="508"/>
    </row>
    <row r="2" spans="1:16" ht="46.5">
      <c r="A2" s="40"/>
      <c r="B2" s="41"/>
      <c r="C2" s="52"/>
      <c r="D2" s="41"/>
      <c r="E2" s="41"/>
      <c r="F2" s="41"/>
      <c r="G2" s="503"/>
      <c r="H2" s="523"/>
      <c r="I2" s="508"/>
      <c r="J2" s="508"/>
      <c r="K2" s="508"/>
      <c r="L2" s="508"/>
      <c r="M2" s="508"/>
      <c r="N2" s="508"/>
      <c r="O2" s="508"/>
      <c r="P2" s="508"/>
    </row>
    <row r="3" spans="1:16">
      <c r="E3" s="65"/>
    </row>
    <row r="4" spans="1:16">
      <c r="E4" s="65"/>
    </row>
    <row r="5" spans="1:16">
      <c r="B5" s="23" t="s">
        <v>112</v>
      </c>
      <c r="C5" s="277">
        <v>166.66</v>
      </c>
      <c r="E5" s="4">
        <f>D23/C23</f>
        <v>1.0192407696307852</v>
      </c>
    </row>
    <row r="6" spans="1:16">
      <c r="B6" s="276" t="s">
        <v>64</v>
      </c>
      <c r="C6" s="23">
        <f>Headcount!F7</f>
        <v>15</v>
      </c>
    </row>
    <row r="7" spans="1:16">
      <c r="B7" s="23" t="s">
        <v>40</v>
      </c>
      <c r="C7" s="23">
        <f>Headcount!F8</f>
        <v>15</v>
      </c>
      <c r="D7" s="23"/>
      <c r="E7" s="507" t="s">
        <v>65</v>
      </c>
      <c r="F7" s="507"/>
      <c r="G7" s="507"/>
      <c r="H7" s="507"/>
      <c r="I7" s="507" t="s">
        <v>66</v>
      </c>
      <c r="J7" s="507"/>
      <c r="K7" s="507"/>
      <c r="L7" s="507"/>
    </row>
    <row r="8" spans="1:16" s="20" customFormat="1" ht="24">
      <c r="A8" s="42" t="s">
        <v>114</v>
      </c>
      <c r="B8" s="43" t="s">
        <v>69</v>
      </c>
      <c r="C8" s="42" t="s">
        <v>115</v>
      </c>
      <c r="D8" s="42" t="s">
        <v>116</v>
      </c>
      <c r="E8" s="51" t="s">
        <v>117</v>
      </c>
      <c r="F8" s="540" t="s">
        <v>73</v>
      </c>
      <c r="G8" s="541"/>
      <c r="H8" s="542"/>
      <c r="I8" s="47" t="s">
        <v>76</v>
      </c>
      <c r="J8" s="42" t="s">
        <v>77</v>
      </c>
      <c r="K8" s="395" t="s">
        <v>173</v>
      </c>
      <c r="L8" s="395" t="s">
        <v>174</v>
      </c>
      <c r="M8" s="42" t="s">
        <v>81</v>
      </c>
    </row>
    <row r="9" spans="1:16">
      <c r="A9" s="44">
        <f>Headcount!A10</f>
        <v>2</v>
      </c>
      <c r="B9" s="341">
        <f>C5*C6</f>
        <v>2499.9</v>
      </c>
      <c r="C9" s="338">
        <f>C5</f>
        <v>166.66</v>
      </c>
      <c r="D9" s="338">
        <f>E9</f>
        <v>1425</v>
      </c>
      <c r="E9" s="302">
        <f>F9</f>
        <v>1425</v>
      </c>
      <c r="F9" s="543">
        <v>1425</v>
      </c>
      <c r="G9" s="544"/>
      <c r="H9" s="545"/>
      <c r="I9" s="362">
        <f t="shared" ref="I9:I18" si="0">L9</f>
        <v>0</v>
      </c>
      <c r="J9" s="346">
        <f t="shared" ref="J9:J17" si="1">IF(I9=0,0,I9/(I9+E9))</f>
        <v>0</v>
      </c>
      <c r="K9" s="268">
        <v>0</v>
      </c>
      <c r="L9" s="268">
        <v>0</v>
      </c>
      <c r="M9" s="69"/>
    </row>
    <row r="10" spans="1:16">
      <c r="A10" s="44">
        <f>Headcount!A11</f>
        <v>3</v>
      </c>
      <c r="B10" s="345">
        <f>$B$9-C9</f>
        <v>2333.2400000000002</v>
      </c>
      <c r="C10" s="53">
        <f t="shared" ref="C10:C23" si="2">$C$5+C9</f>
        <v>333.32</v>
      </c>
      <c r="D10" s="53">
        <f>IF(E10=0,0,D9+E10)</f>
        <v>1426</v>
      </c>
      <c r="E10" s="54">
        <f t="shared" ref="E10:E17" si="3">F10</f>
        <v>1</v>
      </c>
      <c r="F10" s="537">
        <v>1</v>
      </c>
      <c r="G10" s="538"/>
      <c r="H10" s="539"/>
      <c r="I10" s="55">
        <f t="shared" si="0"/>
        <v>0</v>
      </c>
      <c r="J10" s="79">
        <f t="shared" si="1"/>
        <v>0</v>
      </c>
      <c r="K10" s="267">
        <v>0</v>
      </c>
      <c r="L10" s="267">
        <v>0</v>
      </c>
      <c r="M10" s="68"/>
    </row>
    <row r="11" spans="1:16">
      <c r="A11" s="44">
        <f>Headcount!A12</f>
        <v>4</v>
      </c>
      <c r="B11" s="345">
        <f t="shared" ref="B11:B17" si="4">$B$9-C10</f>
        <v>2166.58</v>
      </c>
      <c r="C11" s="53">
        <f t="shared" si="2"/>
        <v>499.98</v>
      </c>
      <c r="D11" s="53">
        <f>IF(E11=0,0,D10+E11)</f>
        <v>1427</v>
      </c>
      <c r="E11" s="54">
        <f t="shared" si="3"/>
        <v>1</v>
      </c>
      <c r="F11" s="537">
        <v>1</v>
      </c>
      <c r="G11" s="538"/>
      <c r="H11" s="539"/>
      <c r="I11" s="55">
        <f t="shared" si="0"/>
        <v>0</v>
      </c>
      <c r="J11" s="79">
        <f t="shared" si="1"/>
        <v>0</v>
      </c>
      <c r="K11" s="267">
        <v>0</v>
      </c>
      <c r="L11" s="267">
        <v>0</v>
      </c>
      <c r="M11" s="68"/>
    </row>
    <row r="12" spans="1:16">
      <c r="A12" s="44">
        <f>Headcount!A13</f>
        <v>5</v>
      </c>
      <c r="B12" s="345">
        <f t="shared" si="4"/>
        <v>1999.92</v>
      </c>
      <c r="C12" s="53">
        <f t="shared" si="2"/>
        <v>666.64</v>
      </c>
      <c r="D12" s="53">
        <f t="shared" ref="D12:D16" si="5">IF(E12=0,0,D11+E12)</f>
        <v>2537</v>
      </c>
      <c r="E12" s="54">
        <f t="shared" si="3"/>
        <v>1110</v>
      </c>
      <c r="F12" s="537">
        <v>1110</v>
      </c>
      <c r="G12" s="538"/>
      <c r="H12" s="539"/>
      <c r="I12" s="55">
        <f>L12</f>
        <v>0</v>
      </c>
      <c r="J12" s="79">
        <f t="shared" si="1"/>
        <v>0</v>
      </c>
      <c r="K12" s="267">
        <v>0</v>
      </c>
      <c r="L12" s="267">
        <v>0</v>
      </c>
      <c r="M12" s="68"/>
    </row>
    <row r="13" spans="1:16">
      <c r="A13" s="44">
        <f>Headcount!A14</f>
        <v>6</v>
      </c>
      <c r="B13" s="345">
        <f t="shared" si="4"/>
        <v>1833.2600000000002</v>
      </c>
      <c r="C13" s="53">
        <f t="shared" si="2"/>
        <v>833.3</v>
      </c>
      <c r="D13" s="53">
        <f t="shared" si="5"/>
        <v>2538</v>
      </c>
      <c r="E13" s="54">
        <f t="shared" si="3"/>
        <v>1</v>
      </c>
      <c r="F13" s="537">
        <v>1</v>
      </c>
      <c r="G13" s="538"/>
      <c r="H13" s="539"/>
      <c r="I13" s="55">
        <f t="shared" si="0"/>
        <v>0</v>
      </c>
      <c r="J13" s="79">
        <f t="shared" si="1"/>
        <v>0</v>
      </c>
      <c r="K13" s="267">
        <v>0</v>
      </c>
      <c r="L13" s="267">
        <v>0</v>
      </c>
      <c r="M13" s="68"/>
    </row>
    <row r="14" spans="1:16">
      <c r="A14" s="44">
        <f>Headcount!A15</f>
        <v>9</v>
      </c>
      <c r="B14" s="345">
        <f t="shared" si="4"/>
        <v>1666.6000000000001</v>
      </c>
      <c r="C14" s="53">
        <f t="shared" si="2"/>
        <v>999.95999999999992</v>
      </c>
      <c r="D14" s="53">
        <f t="shared" si="5"/>
        <v>2539</v>
      </c>
      <c r="E14" s="54">
        <f t="shared" si="3"/>
        <v>1</v>
      </c>
      <c r="F14" s="537">
        <v>1</v>
      </c>
      <c r="G14" s="538"/>
      <c r="H14" s="539"/>
      <c r="I14" s="55">
        <f t="shared" si="0"/>
        <v>0</v>
      </c>
      <c r="J14" s="79">
        <f t="shared" si="1"/>
        <v>0</v>
      </c>
      <c r="K14" s="267">
        <v>0</v>
      </c>
      <c r="L14" s="267">
        <v>0</v>
      </c>
      <c r="M14" s="68"/>
    </row>
    <row r="15" spans="1:16">
      <c r="A15" s="44">
        <f>Headcount!A16</f>
        <v>10</v>
      </c>
      <c r="B15" s="345">
        <f t="shared" si="4"/>
        <v>1499.94</v>
      </c>
      <c r="C15" s="53">
        <f>$C$5+C14</f>
        <v>1166.6199999999999</v>
      </c>
      <c r="D15" s="53">
        <f t="shared" si="5"/>
        <v>2540</v>
      </c>
      <c r="E15" s="54">
        <f t="shared" si="3"/>
        <v>1</v>
      </c>
      <c r="F15" s="537">
        <v>1</v>
      </c>
      <c r="G15" s="538"/>
      <c r="H15" s="539"/>
      <c r="I15" s="55">
        <f t="shared" si="0"/>
        <v>0</v>
      </c>
      <c r="J15" s="79">
        <f t="shared" si="1"/>
        <v>0</v>
      </c>
      <c r="K15" s="267">
        <v>0</v>
      </c>
      <c r="L15" s="267">
        <v>0</v>
      </c>
      <c r="M15" s="68"/>
    </row>
    <row r="16" spans="1:16">
      <c r="A16" s="44">
        <f>Headcount!A17</f>
        <v>11</v>
      </c>
      <c r="B16" s="345">
        <f t="shared" si="4"/>
        <v>1333.2800000000002</v>
      </c>
      <c r="C16" s="53">
        <f t="shared" si="2"/>
        <v>1333.28</v>
      </c>
      <c r="D16" s="53">
        <f t="shared" si="5"/>
        <v>2541</v>
      </c>
      <c r="E16" s="54">
        <f t="shared" si="3"/>
        <v>1</v>
      </c>
      <c r="F16" s="537">
        <v>1</v>
      </c>
      <c r="G16" s="538"/>
      <c r="H16" s="539"/>
      <c r="I16" s="55">
        <f t="shared" si="0"/>
        <v>0</v>
      </c>
      <c r="J16" s="79">
        <f t="shared" si="1"/>
        <v>0</v>
      </c>
      <c r="K16" s="267">
        <v>0</v>
      </c>
      <c r="L16" s="267">
        <v>0</v>
      </c>
      <c r="M16" s="68"/>
    </row>
    <row r="17" spans="1:13">
      <c r="A17" s="44">
        <f>Headcount!A18</f>
        <v>12</v>
      </c>
      <c r="B17" s="345">
        <f t="shared" si="4"/>
        <v>1166.6200000000001</v>
      </c>
      <c r="C17" s="53">
        <f t="shared" si="2"/>
        <v>1499.94</v>
      </c>
      <c r="D17" s="53">
        <f t="shared" ref="D17" si="6">IF(E17=0,0,D16+E17)</f>
        <v>2542</v>
      </c>
      <c r="E17" s="54">
        <f t="shared" si="3"/>
        <v>1</v>
      </c>
      <c r="F17" s="537">
        <v>1</v>
      </c>
      <c r="G17" s="538"/>
      <c r="H17" s="539"/>
      <c r="I17" s="55">
        <f t="shared" si="0"/>
        <v>0</v>
      </c>
      <c r="J17" s="79">
        <f t="shared" si="1"/>
        <v>0</v>
      </c>
      <c r="K17" s="267">
        <v>0</v>
      </c>
      <c r="L17" s="267">
        <v>0</v>
      </c>
      <c r="M17" s="68"/>
    </row>
    <row r="18" spans="1:13">
      <c r="A18" s="44">
        <f>Headcount!A19</f>
        <v>13</v>
      </c>
      <c r="B18" s="345">
        <f t="shared" ref="B18:B21" si="7">$B$9-C17</f>
        <v>999.96</v>
      </c>
      <c r="C18" s="53">
        <f t="shared" si="2"/>
        <v>1666.6000000000001</v>
      </c>
      <c r="D18" s="53">
        <f t="shared" ref="D18:D21" si="8">IF(E18=0,0,D17+E18)</f>
        <v>2543</v>
      </c>
      <c r="E18" s="54">
        <f t="shared" ref="E18:E21" si="9">F18</f>
        <v>1</v>
      </c>
      <c r="F18" s="537">
        <v>1</v>
      </c>
      <c r="G18" s="538"/>
      <c r="H18" s="539"/>
      <c r="I18" s="55">
        <f t="shared" si="0"/>
        <v>0</v>
      </c>
      <c r="J18" s="79">
        <f t="shared" ref="J18:J21" si="10">IF(I18=0,0,I18/(I18+E18))</f>
        <v>0</v>
      </c>
      <c r="K18" s="267">
        <v>0</v>
      </c>
      <c r="L18" s="267">
        <v>0</v>
      </c>
      <c r="M18" s="68"/>
    </row>
    <row r="19" spans="1:13">
      <c r="A19" s="44">
        <f>Headcount!A20</f>
        <v>16</v>
      </c>
      <c r="B19" s="345">
        <f t="shared" si="7"/>
        <v>833.3</v>
      </c>
      <c r="C19" s="53">
        <f t="shared" si="2"/>
        <v>1833.2600000000002</v>
      </c>
      <c r="D19" s="53">
        <f t="shared" si="8"/>
        <v>2544</v>
      </c>
      <c r="E19" s="54">
        <f t="shared" si="9"/>
        <v>1</v>
      </c>
      <c r="F19" s="537">
        <v>1</v>
      </c>
      <c r="G19" s="538"/>
      <c r="H19" s="539"/>
      <c r="I19" s="55">
        <v>0</v>
      </c>
      <c r="J19" s="79">
        <f t="shared" si="10"/>
        <v>0</v>
      </c>
      <c r="K19" s="267">
        <v>0</v>
      </c>
      <c r="L19" s="267">
        <v>0</v>
      </c>
      <c r="M19" s="68"/>
    </row>
    <row r="20" spans="1:13">
      <c r="A20" s="44">
        <f>Headcount!A21</f>
        <v>17</v>
      </c>
      <c r="B20" s="345">
        <f t="shared" si="7"/>
        <v>666.63999999999987</v>
      </c>
      <c r="C20" s="53">
        <f t="shared" si="2"/>
        <v>1999.9200000000003</v>
      </c>
      <c r="D20" s="53">
        <f t="shared" si="8"/>
        <v>2545</v>
      </c>
      <c r="E20" s="54">
        <f t="shared" si="9"/>
        <v>1</v>
      </c>
      <c r="F20" s="537">
        <v>1</v>
      </c>
      <c r="G20" s="538"/>
      <c r="H20" s="539"/>
      <c r="I20" s="55">
        <f t="shared" ref="I20:I26" si="11">L20</f>
        <v>0</v>
      </c>
      <c r="J20" s="79">
        <f t="shared" si="10"/>
        <v>0</v>
      </c>
      <c r="K20" s="267">
        <v>0</v>
      </c>
      <c r="L20" s="267">
        <v>0</v>
      </c>
      <c r="M20" s="68"/>
    </row>
    <row r="21" spans="1:13">
      <c r="A21" s="44">
        <f>Headcount!A22</f>
        <v>18</v>
      </c>
      <c r="B21" s="345">
        <f t="shared" si="7"/>
        <v>499.97999999999979</v>
      </c>
      <c r="C21" s="53">
        <f t="shared" si="2"/>
        <v>2166.5800000000004</v>
      </c>
      <c r="D21" s="53">
        <f t="shared" si="8"/>
        <v>2546</v>
      </c>
      <c r="E21" s="54">
        <f t="shared" si="9"/>
        <v>1</v>
      </c>
      <c r="F21" s="537">
        <v>1</v>
      </c>
      <c r="G21" s="538"/>
      <c r="H21" s="539"/>
      <c r="I21" s="55">
        <f t="shared" si="11"/>
        <v>0</v>
      </c>
      <c r="J21" s="79">
        <f t="shared" si="10"/>
        <v>0</v>
      </c>
      <c r="K21" s="267">
        <v>0</v>
      </c>
      <c r="L21" s="267">
        <v>0</v>
      </c>
      <c r="M21" s="68"/>
    </row>
    <row r="22" spans="1:13">
      <c r="A22" s="44">
        <f>Headcount!A23</f>
        <v>19</v>
      </c>
      <c r="B22" s="345">
        <f t="shared" ref="B22:B23" si="12">$B$9-C21</f>
        <v>333.31999999999971</v>
      </c>
      <c r="C22" s="53">
        <f t="shared" si="2"/>
        <v>2333.2400000000002</v>
      </c>
      <c r="D22" s="53">
        <f t="shared" ref="D22:D23" si="13">IF(E22=0,0,D21+E22)</f>
        <v>2547</v>
      </c>
      <c r="E22" s="54">
        <f t="shared" ref="E22:E23" si="14">F22</f>
        <v>1</v>
      </c>
      <c r="F22" s="537">
        <v>1</v>
      </c>
      <c r="G22" s="538"/>
      <c r="H22" s="539"/>
      <c r="I22" s="55">
        <f t="shared" si="11"/>
        <v>0</v>
      </c>
      <c r="J22" s="79">
        <f t="shared" ref="J22:J26" si="15">IF(I22=0,0,I22/(I22+E22))</f>
        <v>0</v>
      </c>
      <c r="K22" s="267">
        <v>0</v>
      </c>
      <c r="L22" s="267">
        <v>0</v>
      </c>
      <c r="M22" s="68"/>
    </row>
    <row r="23" spans="1:13">
      <c r="A23" s="44">
        <f>Headcount!A24</f>
        <v>20</v>
      </c>
      <c r="B23" s="345">
        <f t="shared" si="12"/>
        <v>166.65999999999985</v>
      </c>
      <c r="C23" s="53">
        <f t="shared" si="2"/>
        <v>2499.9</v>
      </c>
      <c r="D23" s="53">
        <f t="shared" si="13"/>
        <v>2548</v>
      </c>
      <c r="E23" s="54">
        <f t="shared" si="14"/>
        <v>1</v>
      </c>
      <c r="F23" s="537">
        <v>1</v>
      </c>
      <c r="G23" s="538"/>
      <c r="H23" s="539"/>
      <c r="I23" s="55">
        <f t="shared" si="11"/>
        <v>0</v>
      </c>
      <c r="J23" s="79">
        <f t="shared" si="15"/>
        <v>0</v>
      </c>
      <c r="K23" s="267">
        <v>0</v>
      </c>
      <c r="L23" s="267">
        <v>0</v>
      </c>
      <c r="M23" s="68"/>
    </row>
    <row r="24" spans="1:13">
      <c r="A24" s="44"/>
      <c r="B24" s="345"/>
      <c r="C24" s="53"/>
      <c r="D24" s="53"/>
      <c r="E24" s="54"/>
      <c r="F24" s="537"/>
      <c r="G24" s="538"/>
      <c r="H24" s="539"/>
      <c r="I24" s="55">
        <f t="shared" si="11"/>
        <v>0</v>
      </c>
      <c r="J24" s="79">
        <f t="shared" si="15"/>
        <v>0</v>
      </c>
      <c r="K24" s="267"/>
      <c r="L24" s="267"/>
      <c r="M24" s="60"/>
    </row>
    <row r="25" spans="1:13">
      <c r="A25" s="44"/>
      <c r="B25" s="345"/>
      <c r="C25" s="53"/>
      <c r="D25" s="53"/>
      <c r="E25" s="54"/>
      <c r="F25" s="537"/>
      <c r="G25" s="538"/>
      <c r="H25" s="539"/>
      <c r="I25" s="55">
        <f t="shared" si="11"/>
        <v>0</v>
      </c>
      <c r="J25" s="79">
        <f t="shared" si="15"/>
        <v>0</v>
      </c>
      <c r="K25" s="267"/>
      <c r="L25" s="267"/>
      <c r="M25" s="68"/>
    </row>
    <row r="26" spans="1:13">
      <c r="A26" s="44"/>
      <c r="B26" s="345"/>
      <c r="C26" s="53"/>
      <c r="D26" s="53"/>
      <c r="E26" s="54"/>
      <c r="F26" s="537"/>
      <c r="G26" s="538"/>
      <c r="H26" s="539"/>
      <c r="I26" s="55">
        <f t="shared" si="11"/>
        <v>0</v>
      </c>
      <c r="J26" s="79">
        <f t="shared" si="15"/>
        <v>0</v>
      </c>
      <c r="K26" s="267"/>
      <c r="L26" s="267"/>
      <c r="M26" s="60"/>
    </row>
    <row r="27" spans="1:13">
      <c r="A27" s="44"/>
      <c r="B27" s="345"/>
      <c r="C27" s="53"/>
      <c r="D27" s="53"/>
      <c r="E27" s="54"/>
      <c r="F27" s="537"/>
      <c r="G27" s="538"/>
      <c r="H27" s="539"/>
      <c r="I27" s="55">
        <f>L27</f>
        <v>0</v>
      </c>
      <c r="J27" s="79">
        <f>IF(I27=0,0,I27/(I27+E27))</f>
        <v>0</v>
      </c>
      <c r="K27" s="267"/>
      <c r="L27" s="267"/>
      <c r="M27" s="60"/>
    </row>
    <row r="28" spans="1:13">
      <c r="A28" s="44"/>
      <c r="B28" s="345"/>
      <c r="C28" s="53"/>
      <c r="D28" s="53"/>
      <c r="E28" s="54"/>
      <c r="F28" s="537"/>
      <c r="G28" s="538"/>
      <c r="H28" s="539"/>
      <c r="I28" s="55">
        <f>L28</f>
        <v>0</v>
      </c>
      <c r="J28" s="79">
        <f>IF(I28=0,0,I28/(I28+E28))</f>
        <v>0</v>
      </c>
      <c r="K28" s="267"/>
      <c r="L28" s="267"/>
      <c r="M28" s="60"/>
    </row>
    <row r="29" spans="1:13">
      <c r="A29" s="44"/>
      <c r="B29" s="345"/>
      <c r="C29" s="53"/>
      <c r="D29" s="53"/>
      <c r="E29" s="54"/>
      <c r="F29" s="537"/>
      <c r="G29" s="538"/>
      <c r="H29" s="539"/>
      <c r="I29" s="55"/>
      <c r="J29" s="79"/>
      <c r="K29" s="267"/>
      <c r="L29" s="267"/>
      <c r="M29" s="60"/>
    </row>
    <row r="30" spans="1:13" ht="15.75" thickBot="1">
      <c r="A30" s="44"/>
      <c r="B30" s="345"/>
      <c r="C30" s="53"/>
      <c r="D30" s="53"/>
      <c r="E30" s="54"/>
      <c r="F30" s="537"/>
      <c r="G30" s="538"/>
      <c r="H30" s="539"/>
      <c r="I30" s="55"/>
      <c r="J30" s="79"/>
      <c r="K30" s="270"/>
      <c r="L30" s="270"/>
      <c r="M30" s="218"/>
    </row>
    <row r="31" spans="1:13" ht="15.75" thickBot="1">
      <c r="A31" s="219" t="s">
        <v>89</v>
      </c>
      <c r="B31" s="226"/>
      <c r="C31" s="227">
        <f>C7*C5</f>
        <v>2499.9</v>
      </c>
      <c r="D31" s="227"/>
      <c r="E31" s="228">
        <f>SUM(E9:E29)</f>
        <v>2548</v>
      </c>
      <c r="F31" s="534"/>
      <c r="G31" s="535"/>
      <c r="H31" s="536"/>
      <c r="I31" s="230"/>
      <c r="J31" s="231"/>
      <c r="K31" s="271">
        <f>SUM(K9:K30)</f>
        <v>0</v>
      </c>
      <c r="L31" s="271">
        <f>SUM(L9:L30)</f>
        <v>0</v>
      </c>
      <c r="M31" s="225">
        <f>SUM(K31:L31)</f>
        <v>0</v>
      </c>
    </row>
  </sheetData>
  <mergeCells count="29">
    <mergeCell ref="F14:H14"/>
    <mergeCell ref="G1:H1"/>
    <mergeCell ref="I1:P2"/>
    <mergeCell ref="G2:H2"/>
    <mergeCell ref="E7:H7"/>
    <mergeCell ref="I7:L7"/>
    <mergeCell ref="F8:H8"/>
    <mergeCell ref="F9:H9"/>
    <mergeCell ref="F10:H10"/>
    <mergeCell ref="F11:H11"/>
    <mergeCell ref="F12:H12"/>
    <mergeCell ref="F13:H13"/>
    <mergeCell ref="F15:H15"/>
    <mergeCell ref="F16:H16"/>
    <mergeCell ref="F17:H17"/>
    <mergeCell ref="F19:H19"/>
    <mergeCell ref="F20:H20"/>
    <mergeCell ref="F18:H18"/>
    <mergeCell ref="F21:H21"/>
    <mergeCell ref="F23:H23"/>
    <mergeCell ref="F24:H24"/>
    <mergeCell ref="F25:H25"/>
    <mergeCell ref="F26:H26"/>
    <mergeCell ref="F22:H22"/>
    <mergeCell ref="F31:H31"/>
    <mergeCell ref="F27:H27"/>
    <mergeCell ref="F28:H28"/>
    <mergeCell ref="F29:H29"/>
    <mergeCell ref="F30:H30"/>
  </mergeCells>
  <conditionalFormatting sqref="G1:H1">
    <cfRule type="cellIs" dxfId="42" priority="2" operator="lessThan">
      <formula>0</formula>
    </cfRule>
  </conditionalFormatting>
  <conditionalFormatting sqref="J9:J31">
    <cfRule type="cellIs" dxfId="41" priority="1" operator="greaterThan">
      <formula>0.1</formula>
    </cfRule>
  </conditionalFormatting>
  <pageMargins left="0.7" right="0.7" top="0.75" bottom="0.75" header="0.3" footer="0.3"/>
  <pageSetup paperSize="9" scale="6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Munka12">
    <pageSetUpPr fitToPage="1"/>
  </sheetPr>
  <dimension ref="A1:S31"/>
  <sheetViews>
    <sheetView showGridLines="0" zoomScale="70" zoomScaleNormal="70" workbookViewId="0">
      <pane ySplit="2" topLeftCell="A14" activePane="bottomLeft" state="frozen"/>
      <selection pane="bottomLeft" activeCell="F24" sqref="F24"/>
    </sheetView>
  </sheetViews>
  <sheetFormatPr defaultRowHeight="15"/>
  <cols>
    <col min="2" max="3" width="11.42578125" customWidth="1"/>
    <col min="4" max="4" width="19.42578125" bestFit="1" customWidth="1"/>
    <col min="5" max="5" width="12.42578125" bestFit="1" customWidth="1"/>
    <col min="6" max="8" width="12.42578125" customWidth="1"/>
    <col min="12" max="12" width="11.42578125" bestFit="1" customWidth="1"/>
    <col min="13" max="14" width="10.42578125" customWidth="1"/>
    <col min="15" max="15" width="16.42578125" customWidth="1"/>
    <col min="16" max="16" width="25.42578125" bestFit="1" customWidth="1"/>
  </cols>
  <sheetData>
    <row r="1" spans="1:19" ht="46.5">
      <c r="A1" s="40" t="s">
        <v>175</v>
      </c>
      <c r="B1" s="41"/>
      <c r="C1" s="52" t="s">
        <v>59</v>
      </c>
      <c r="D1" s="41"/>
      <c r="E1" s="41"/>
      <c r="F1" s="41"/>
      <c r="G1" s="502">
        <f>E31-C31</f>
        <v>8</v>
      </c>
      <c r="H1" s="502"/>
      <c r="I1" s="508" t="s">
        <v>176</v>
      </c>
      <c r="J1" s="508"/>
      <c r="K1" s="508"/>
      <c r="L1" s="508"/>
      <c r="M1" s="508"/>
      <c r="N1" s="508"/>
      <c r="O1" s="508"/>
      <c r="P1" s="508"/>
      <c r="Q1" s="508"/>
      <c r="R1" s="508"/>
      <c r="S1" s="508"/>
    </row>
    <row r="2" spans="1:19" ht="46.5">
      <c r="A2" s="40"/>
      <c r="B2" s="41"/>
      <c r="C2" s="52"/>
      <c r="D2" s="41"/>
      <c r="E2" s="41"/>
      <c r="F2" s="41"/>
      <c r="G2" s="503"/>
      <c r="H2" s="503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</row>
    <row r="3" spans="1:19">
      <c r="E3" s="65"/>
      <c r="G3" s="65"/>
    </row>
    <row r="4" spans="1:19">
      <c r="E4" s="65"/>
    </row>
    <row r="5" spans="1:19">
      <c r="B5" s="23" t="s">
        <v>112</v>
      </c>
      <c r="C5" s="277">
        <v>88</v>
      </c>
      <c r="E5" s="4">
        <f>D23/C23</f>
        <v>1.0060606060606061</v>
      </c>
    </row>
    <row r="6" spans="1:19">
      <c r="B6" s="273" t="s">
        <v>39</v>
      </c>
      <c r="C6" s="23">
        <f>Headcount!F7</f>
        <v>15</v>
      </c>
      <c r="D6" s="4"/>
    </row>
    <row r="7" spans="1:19">
      <c r="B7" s="23" t="s">
        <v>40</v>
      </c>
      <c r="C7" s="23">
        <f>Headcount!F8</f>
        <v>15</v>
      </c>
      <c r="D7" s="23"/>
      <c r="E7" s="507" t="s">
        <v>65</v>
      </c>
      <c r="F7" s="507"/>
      <c r="G7" s="507"/>
      <c r="H7" s="507"/>
      <c r="I7" s="507" t="s">
        <v>113</v>
      </c>
      <c r="J7" s="507"/>
      <c r="K7" s="507"/>
    </row>
    <row r="8" spans="1:19" ht="24">
      <c r="A8" s="42" t="s">
        <v>42</v>
      </c>
      <c r="B8" s="43" t="s">
        <v>177</v>
      </c>
      <c r="C8" s="42" t="s">
        <v>178</v>
      </c>
      <c r="D8" s="42" t="s">
        <v>179</v>
      </c>
      <c r="E8" s="51" t="s">
        <v>117</v>
      </c>
      <c r="F8" s="42" t="s">
        <v>73</v>
      </c>
      <c r="G8" s="42" t="s">
        <v>74</v>
      </c>
      <c r="H8" s="42" t="s">
        <v>93</v>
      </c>
      <c r="I8" s="42" t="s">
        <v>118</v>
      </c>
      <c r="J8" s="42" t="s">
        <v>119</v>
      </c>
      <c r="K8" s="42" t="s">
        <v>120</v>
      </c>
      <c r="L8" s="42" t="s">
        <v>121</v>
      </c>
      <c r="M8" s="67" t="s">
        <v>122</v>
      </c>
      <c r="N8" s="394" t="s">
        <v>173</v>
      </c>
      <c r="O8" s="394" t="s">
        <v>180</v>
      </c>
      <c r="P8" s="67" t="s">
        <v>123</v>
      </c>
    </row>
    <row r="9" spans="1:19">
      <c r="A9" s="44">
        <f>Headcount!A10</f>
        <v>2</v>
      </c>
      <c r="B9" s="341">
        <f>C5*C6</f>
        <v>1320</v>
      </c>
      <c r="C9" s="338">
        <f>C5</f>
        <v>88</v>
      </c>
      <c r="D9" s="338">
        <f>E9</f>
        <v>205</v>
      </c>
      <c r="E9" s="54">
        <f t="shared" ref="E9:E17" si="0">F9+G9+H9</f>
        <v>205</v>
      </c>
      <c r="F9" s="60">
        <v>205</v>
      </c>
      <c r="G9" s="60">
        <v>0</v>
      </c>
      <c r="H9" s="60">
        <v>0</v>
      </c>
      <c r="I9" s="49"/>
      <c r="J9" s="60"/>
      <c r="K9" s="48"/>
      <c r="L9" s="53"/>
      <c r="M9" s="131">
        <v>1.0516000000000001</v>
      </c>
      <c r="N9" s="59">
        <v>1</v>
      </c>
      <c r="O9" s="59">
        <v>0</v>
      </c>
      <c r="P9" s="59"/>
    </row>
    <row r="10" spans="1:19">
      <c r="A10" s="44">
        <f>Headcount!A11</f>
        <v>3</v>
      </c>
      <c r="B10" s="345">
        <f>$B$9-C9</f>
        <v>1232</v>
      </c>
      <c r="C10" s="53">
        <f>C9+$C$5</f>
        <v>176</v>
      </c>
      <c r="D10" s="53">
        <f>IF(E10=0,0,D9+E10)</f>
        <v>206</v>
      </c>
      <c r="E10" s="54">
        <f t="shared" si="0"/>
        <v>1</v>
      </c>
      <c r="F10" s="60">
        <v>1</v>
      </c>
      <c r="G10" s="60">
        <v>0</v>
      </c>
      <c r="H10" s="60">
        <v>0</v>
      </c>
      <c r="I10" s="48"/>
      <c r="J10" s="60"/>
      <c r="K10" s="48"/>
      <c r="L10" s="53"/>
      <c r="M10" s="131" t="s">
        <v>88</v>
      </c>
      <c r="N10" s="392">
        <v>0</v>
      </c>
      <c r="O10" s="392">
        <v>0</v>
      </c>
      <c r="P10" s="60"/>
    </row>
    <row r="11" spans="1:19">
      <c r="A11" s="44">
        <f>Headcount!A12</f>
        <v>4</v>
      </c>
      <c r="B11" s="345">
        <f t="shared" ref="B11:B17" si="1">$B$9-C10</f>
        <v>1144</v>
      </c>
      <c r="C11" s="53">
        <f t="shared" ref="C11:C23" si="2">C10+$C$5</f>
        <v>264</v>
      </c>
      <c r="D11" s="53">
        <f>IF(E11=0,0,D10+E11)</f>
        <v>207</v>
      </c>
      <c r="E11" s="54">
        <f t="shared" si="0"/>
        <v>1</v>
      </c>
      <c r="F11" s="60">
        <v>1</v>
      </c>
      <c r="G11" s="60">
        <v>0</v>
      </c>
      <c r="H11" s="60">
        <v>0</v>
      </c>
      <c r="I11" s="48"/>
      <c r="J11" s="60"/>
      <c r="K11" s="48"/>
      <c r="L11" s="53"/>
      <c r="M11" s="131" t="s">
        <v>88</v>
      </c>
      <c r="N11" s="392">
        <v>0</v>
      </c>
      <c r="O11" s="392">
        <v>0</v>
      </c>
      <c r="P11" s="68"/>
    </row>
    <row r="12" spans="1:19">
      <c r="A12" s="44">
        <f>Headcount!A13</f>
        <v>5</v>
      </c>
      <c r="B12" s="345">
        <f t="shared" si="1"/>
        <v>1056</v>
      </c>
      <c r="C12" s="53">
        <f t="shared" si="2"/>
        <v>352</v>
      </c>
      <c r="D12" s="53">
        <f t="shared" ref="D12:D17" si="3">IF(E12=0,0,D11+E12)</f>
        <v>1317</v>
      </c>
      <c r="E12" s="54">
        <f t="shared" si="0"/>
        <v>1110</v>
      </c>
      <c r="F12" s="60">
        <v>1110</v>
      </c>
      <c r="G12" s="60">
        <v>0</v>
      </c>
      <c r="H12" s="60">
        <v>0</v>
      </c>
      <c r="I12" s="48"/>
      <c r="J12" s="60"/>
      <c r="K12" s="48"/>
      <c r="L12" s="53"/>
      <c r="M12" s="131">
        <v>1.2986</v>
      </c>
      <c r="N12" s="392">
        <v>0</v>
      </c>
      <c r="O12" s="392">
        <v>0</v>
      </c>
      <c r="P12" s="62"/>
    </row>
    <row r="13" spans="1:19">
      <c r="A13" s="44">
        <f>Headcount!A14</f>
        <v>6</v>
      </c>
      <c r="B13" s="345">
        <f t="shared" si="1"/>
        <v>968</v>
      </c>
      <c r="C13" s="53">
        <f t="shared" si="2"/>
        <v>440</v>
      </c>
      <c r="D13" s="53">
        <f t="shared" si="3"/>
        <v>1318</v>
      </c>
      <c r="E13" s="54">
        <f t="shared" si="0"/>
        <v>1</v>
      </c>
      <c r="F13" s="60">
        <v>1</v>
      </c>
      <c r="G13" s="60">
        <v>0</v>
      </c>
      <c r="H13" s="60">
        <v>0</v>
      </c>
      <c r="I13" s="48"/>
      <c r="J13" s="60"/>
      <c r="K13" s="48"/>
      <c r="L13" s="53"/>
      <c r="M13" s="131" t="s">
        <v>88</v>
      </c>
      <c r="N13" s="392">
        <v>0</v>
      </c>
      <c r="O13" s="392">
        <v>0</v>
      </c>
      <c r="P13" s="62"/>
    </row>
    <row r="14" spans="1:19">
      <c r="A14" s="44">
        <f>Headcount!A15</f>
        <v>9</v>
      </c>
      <c r="B14" s="345">
        <f t="shared" si="1"/>
        <v>880</v>
      </c>
      <c r="C14" s="53">
        <f t="shared" si="2"/>
        <v>528</v>
      </c>
      <c r="D14" s="53">
        <f t="shared" si="3"/>
        <v>1319</v>
      </c>
      <c r="E14" s="54">
        <f t="shared" si="0"/>
        <v>1</v>
      </c>
      <c r="F14" s="60">
        <v>1</v>
      </c>
      <c r="G14" s="60">
        <v>0</v>
      </c>
      <c r="H14" s="60">
        <v>0</v>
      </c>
      <c r="I14" s="48"/>
      <c r="J14" s="60"/>
      <c r="K14" s="48"/>
      <c r="L14" s="53"/>
      <c r="M14" s="131" t="s">
        <v>88</v>
      </c>
      <c r="N14" s="392">
        <v>0</v>
      </c>
      <c r="O14" s="392">
        <v>0</v>
      </c>
      <c r="P14" s="62"/>
    </row>
    <row r="15" spans="1:19">
      <c r="A15" s="44">
        <f>Headcount!A16</f>
        <v>10</v>
      </c>
      <c r="B15" s="345">
        <f t="shared" si="1"/>
        <v>792</v>
      </c>
      <c r="C15" s="53">
        <f t="shared" si="2"/>
        <v>616</v>
      </c>
      <c r="D15" s="53">
        <f t="shared" si="3"/>
        <v>1320</v>
      </c>
      <c r="E15" s="54">
        <f t="shared" si="0"/>
        <v>1</v>
      </c>
      <c r="F15" s="60">
        <v>1</v>
      </c>
      <c r="G15" s="60">
        <v>0</v>
      </c>
      <c r="H15" s="60">
        <v>0</v>
      </c>
      <c r="I15" s="48"/>
      <c r="J15" s="60"/>
      <c r="K15" s="48"/>
      <c r="L15" s="53"/>
      <c r="M15" s="131" t="s">
        <v>88</v>
      </c>
      <c r="N15" s="392">
        <v>0</v>
      </c>
      <c r="O15" s="392">
        <v>0</v>
      </c>
      <c r="P15" s="62"/>
    </row>
    <row r="16" spans="1:19">
      <c r="A16" s="44">
        <f>Headcount!A17</f>
        <v>11</v>
      </c>
      <c r="B16" s="345">
        <f t="shared" si="1"/>
        <v>704</v>
      </c>
      <c r="C16" s="53">
        <f t="shared" si="2"/>
        <v>704</v>
      </c>
      <c r="D16" s="53">
        <f t="shared" si="3"/>
        <v>1321</v>
      </c>
      <c r="E16" s="54">
        <f t="shared" si="0"/>
        <v>1</v>
      </c>
      <c r="F16" s="60">
        <v>1</v>
      </c>
      <c r="G16" s="60">
        <v>0</v>
      </c>
      <c r="H16" s="60">
        <v>0</v>
      </c>
      <c r="I16" s="48"/>
      <c r="J16" s="60"/>
      <c r="K16" s="48"/>
      <c r="L16" s="53"/>
      <c r="M16" s="131" t="s">
        <v>88</v>
      </c>
      <c r="N16" s="392">
        <v>0</v>
      </c>
      <c r="O16" s="392">
        <v>0</v>
      </c>
      <c r="P16" s="62"/>
    </row>
    <row r="17" spans="1:16">
      <c r="A17" s="44">
        <f>Headcount!A18</f>
        <v>12</v>
      </c>
      <c r="B17" s="345">
        <f t="shared" si="1"/>
        <v>616</v>
      </c>
      <c r="C17" s="53">
        <f t="shared" si="2"/>
        <v>792</v>
      </c>
      <c r="D17" s="53">
        <f t="shared" si="3"/>
        <v>1322</v>
      </c>
      <c r="E17" s="54">
        <f t="shared" si="0"/>
        <v>1</v>
      </c>
      <c r="F17" s="60">
        <v>1</v>
      </c>
      <c r="G17" s="60">
        <v>0</v>
      </c>
      <c r="H17" s="60">
        <v>0</v>
      </c>
      <c r="I17" s="48"/>
      <c r="J17" s="60"/>
      <c r="K17" s="48"/>
      <c r="L17" s="53"/>
      <c r="M17" s="131" t="s">
        <v>88</v>
      </c>
      <c r="N17" s="392">
        <v>0</v>
      </c>
      <c r="O17" s="392">
        <v>0</v>
      </c>
      <c r="P17" s="62"/>
    </row>
    <row r="18" spans="1:16">
      <c r="A18" s="44">
        <f>Headcount!A19</f>
        <v>13</v>
      </c>
      <c r="B18" s="345">
        <f t="shared" ref="B18:B21" si="4">$B$9-C17</f>
        <v>528</v>
      </c>
      <c r="C18" s="53">
        <f t="shared" si="2"/>
        <v>880</v>
      </c>
      <c r="D18" s="53">
        <f t="shared" ref="D18:D21" si="5">IF(E18=0,0,D17+E18)</f>
        <v>1323</v>
      </c>
      <c r="E18" s="54">
        <f t="shared" ref="E18:E21" si="6">F18+G18+H18</f>
        <v>1</v>
      </c>
      <c r="F18" s="60">
        <v>1</v>
      </c>
      <c r="G18" s="60">
        <v>0</v>
      </c>
      <c r="H18" s="60">
        <v>0</v>
      </c>
      <c r="I18" s="48"/>
      <c r="J18" s="60"/>
      <c r="K18" s="48"/>
      <c r="L18" s="53"/>
      <c r="M18" s="131" t="s">
        <v>88</v>
      </c>
      <c r="N18" s="392">
        <v>0</v>
      </c>
      <c r="O18" s="392">
        <v>0</v>
      </c>
      <c r="P18" s="62"/>
    </row>
    <row r="19" spans="1:16">
      <c r="A19" s="44">
        <f>Headcount!A20</f>
        <v>16</v>
      </c>
      <c r="B19" s="345">
        <f t="shared" si="4"/>
        <v>440</v>
      </c>
      <c r="C19" s="53">
        <f t="shared" si="2"/>
        <v>968</v>
      </c>
      <c r="D19" s="53">
        <f t="shared" si="5"/>
        <v>1324</v>
      </c>
      <c r="E19" s="54">
        <f t="shared" si="6"/>
        <v>1</v>
      </c>
      <c r="F19" s="60">
        <v>1</v>
      </c>
      <c r="G19" s="60">
        <v>0</v>
      </c>
      <c r="H19" s="60">
        <v>0</v>
      </c>
      <c r="I19" s="48"/>
      <c r="J19" s="60"/>
      <c r="K19" s="48"/>
      <c r="L19" s="53"/>
      <c r="M19" s="131" t="s">
        <v>88</v>
      </c>
      <c r="N19" s="392">
        <v>0</v>
      </c>
      <c r="O19" s="392">
        <v>0</v>
      </c>
      <c r="P19" s="60"/>
    </row>
    <row r="20" spans="1:16">
      <c r="A20" s="44">
        <f>Headcount!A21</f>
        <v>17</v>
      </c>
      <c r="B20" s="345">
        <f t="shared" si="4"/>
        <v>352</v>
      </c>
      <c r="C20" s="53">
        <f t="shared" si="2"/>
        <v>1056</v>
      </c>
      <c r="D20" s="53">
        <f t="shared" si="5"/>
        <v>1325</v>
      </c>
      <c r="E20" s="54">
        <f t="shared" si="6"/>
        <v>1</v>
      </c>
      <c r="F20" s="60">
        <v>1</v>
      </c>
      <c r="G20" s="60">
        <v>0</v>
      </c>
      <c r="H20" s="60">
        <v>0</v>
      </c>
      <c r="I20" s="48"/>
      <c r="J20" s="60"/>
      <c r="K20" s="48"/>
      <c r="L20" s="53"/>
      <c r="M20" s="131" t="s">
        <v>88</v>
      </c>
      <c r="N20" s="392">
        <v>0</v>
      </c>
      <c r="O20" s="392">
        <v>0</v>
      </c>
      <c r="P20" s="60"/>
    </row>
    <row r="21" spans="1:16">
      <c r="A21" s="44">
        <f>Headcount!A22</f>
        <v>18</v>
      </c>
      <c r="B21" s="345">
        <f t="shared" si="4"/>
        <v>264</v>
      </c>
      <c r="C21" s="53">
        <f t="shared" si="2"/>
        <v>1144</v>
      </c>
      <c r="D21" s="53">
        <f t="shared" si="5"/>
        <v>1326</v>
      </c>
      <c r="E21" s="54">
        <f t="shared" si="6"/>
        <v>1</v>
      </c>
      <c r="F21" s="60">
        <v>1</v>
      </c>
      <c r="G21" s="60">
        <v>0</v>
      </c>
      <c r="H21" s="60">
        <v>0</v>
      </c>
      <c r="I21" s="48"/>
      <c r="J21" s="60"/>
      <c r="K21" s="48"/>
      <c r="L21" s="53"/>
      <c r="M21" s="131" t="s">
        <v>88</v>
      </c>
      <c r="N21" s="392">
        <v>0</v>
      </c>
      <c r="O21" s="392">
        <v>0</v>
      </c>
      <c r="P21" s="60"/>
    </row>
    <row r="22" spans="1:16">
      <c r="A22" s="44">
        <f>Headcount!A23</f>
        <v>19</v>
      </c>
      <c r="B22" s="345">
        <f t="shared" ref="B22:B23" si="7">$B$9-C21</f>
        <v>176</v>
      </c>
      <c r="C22" s="53">
        <f t="shared" si="2"/>
        <v>1232</v>
      </c>
      <c r="D22" s="53">
        <f t="shared" ref="D22:D23" si="8">IF(E22=0,0,D21+E22)</f>
        <v>1327</v>
      </c>
      <c r="E22" s="54">
        <f t="shared" ref="E22:E23" si="9">F22+G22+H22</f>
        <v>1</v>
      </c>
      <c r="F22" s="60">
        <v>1</v>
      </c>
      <c r="G22" s="60">
        <v>0</v>
      </c>
      <c r="H22" s="60">
        <v>0</v>
      </c>
      <c r="I22" s="48"/>
      <c r="J22" s="60"/>
      <c r="K22" s="48"/>
      <c r="L22" s="53"/>
      <c r="M22" s="131" t="s">
        <v>88</v>
      </c>
      <c r="N22" s="392">
        <v>0</v>
      </c>
      <c r="O22" s="392">
        <v>0</v>
      </c>
      <c r="P22" s="60"/>
    </row>
    <row r="23" spans="1:16">
      <c r="A23" s="44">
        <f>Headcount!A24</f>
        <v>20</v>
      </c>
      <c r="B23" s="345">
        <f t="shared" si="7"/>
        <v>88</v>
      </c>
      <c r="C23" s="53">
        <f t="shared" si="2"/>
        <v>1320</v>
      </c>
      <c r="D23" s="53">
        <f t="shared" si="8"/>
        <v>1328</v>
      </c>
      <c r="E23" s="54">
        <f t="shared" si="9"/>
        <v>1</v>
      </c>
      <c r="F23" s="60">
        <v>1</v>
      </c>
      <c r="G23" s="60">
        <v>0</v>
      </c>
      <c r="H23" s="60">
        <v>0</v>
      </c>
      <c r="I23" s="48"/>
      <c r="J23" s="60"/>
      <c r="K23" s="48"/>
      <c r="L23" s="53"/>
      <c r="M23" s="131" t="s">
        <v>88</v>
      </c>
      <c r="N23" s="392">
        <v>0</v>
      </c>
      <c r="O23" s="392">
        <v>0</v>
      </c>
      <c r="P23" s="60"/>
    </row>
    <row r="24" spans="1:16">
      <c r="A24" s="44"/>
      <c r="B24" s="345"/>
      <c r="C24" s="53"/>
      <c r="D24" s="53"/>
      <c r="E24" s="54"/>
      <c r="F24" s="60"/>
      <c r="G24" s="60"/>
      <c r="H24" s="60"/>
      <c r="I24" s="48"/>
      <c r="J24" s="60"/>
      <c r="K24" s="48"/>
      <c r="L24" s="53"/>
      <c r="M24" s="131"/>
      <c r="N24" s="392"/>
      <c r="O24" s="392"/>
      <c r="P24" s="60"/>
    </row>
    <row r="25" spans="1:16">
      <c r="A25" s="44"/>
      <c r="B25" s="345"/>
      <c r="C25" s="53"/>
      <c r="D25" s="53"/>
      <c r="E25" s="54"/>
      <c r="F25" s="60"/>
      <c r="G25" s="60"/>
      <c r="H25" s="60"/>
      <c r="I25" s="48"/>
      <c r="J25" s="60"/>
      <c r="K25" s="48"/>
      <c r="L25" s="53"/>
      <c r="M25" s="131"/>
      <c r="N25" s="392"/>
      <c r="O25" s="392"/>
      <c r="P25" s="60"/>
    </row>
    <row r="26" spans="1:16">
      <c r="A26" s="44"/>
      <c r="B26" s="345"/>
      <c r="C26" s="53"/>
      <c r="D26" s="53"/>
      <c r="E26" s="54"/>
      <c r="F26" s="60"/>
      <c r="G26" s="60"/>
      <c r="H26" s="60"/>
      <c r="I26" s="48"/>
      <c r="J26" s="60"/>
      <c r="K26" s="48"/>
      <c r="L26" s="53"/>
      <c r="M26" s="131"/>
      <c r="N26" s="392"/>
      <c r="O26" s="392"/>
      <c r="P26" s="62"/>
    </row>
    <row r="27" spans="1:16">
      <c r="A27" s="44"/>
      <c r="B27" s="345"/>
      <c r="C27" s="53"/>
      <c r="D27" s="53"/>
      <c r="E27" s="54"/>
      <c r="F27" s="60"/>
      <c r="G27" s="60"/>
      <c r="H27" s="60"/>
      <c r="I27" s="48"/>
      <c r="J27" s="60"/>
      <c r="K27" s="48"/>
      <c r="L27" s="53"/>
      <c r="M27" s="131"/>
      <c r="N27" s="392"/>
      <c r="O27" s="392"/>
      <c r="P27" s="62"/>
    </row>
    <row r="28" spans="1:16">
      <c r="A28" s="44"/>
      <c r="B28" s="345"/>
      <c r="C28" s="53"/>
      <c r="D28" s="53"/>
      <c r="E28" s="54"/>
      <c r="F28" s="60"/>
      <c r="G28" s="60"/>
      <c r="H28" s="60"/>
      <c r="I28" s="48"/>
      <c r="J28" s="60"/>
      <c r="K28" s="48"/>
      <c r="L28" s="53"/>
      <c r="M28" s="131"/>
      <c r="N28" s="392"/>
      <c r="O28" s="392"/>
      <c r="P28" s="62"/>
    </row>
    <row r="29" spans="1:16">
      <c r="A29" s="44"/>
      <c r="B29" s="345"/>
      <c r="C29" s="53"/>
      <c r="D29" s="53"/>
      <c r="E29" s="54"/>
      <c r="F29" s="60"/>
      <c r="G29" s="60"/>
      <c r="H29" s="60"/>
      <c r="I29" s="48"/>
      <c r="J29" s="60"/>
      <c r="K29" s="48"/>
      <c r="L29" s="53"/>
      <c r="M29" s="131"/>
      <c r="N29" s="392"/>
      <c r="O29" s="392"/>
      <c r="P29" s="62"/>
    </row>
    <row r="30" spans="1:16">
      <c r="A30" s="44"/>
      <c r="B30" s="345"/>
      <c r="C30" s="53"/>
      <c r="D30" s="53"/>
      <c r="E30" s="54"/>
      <c r="F30" s="60"/>
      <c r="G30" s="60"/>
      <c r="H30" s="60"/>
      <c r="I30" s="48"/>
      <c r="J30" s="60"/>
      <c r="K30" s="48"/>
      <c r="L30" s="53"/>
      <c r="M30" s="131"/>
      <c r="N30" s="392"/>
      <c r="O30" s="392"/>
      <c r="P30" s="62"/>
    </row>
    <row r="31" spans="1:16">
      <c r="A31" s="219" t="s">
        <v>107</v>
      </c>
      <c r="B31" s="226"/>
      <c r="C31" s="227">
        <f>C7*C5</f>
        <v>1320</v>
      </c>
      <c r="D31" s="243"/>
      <c r="E31" s="228">
        <f>SUM(E9:E29)</f>
        <v>1328</v>
      </c>
      <c r="F31" s="229"/>
      <c r="G31" s="229"/>
      <c r="H31" s="229"/>
      <c r="I31" s="240"/>
      <c r="J31" s="229"/>
      <c r="K31" s="240"/>
      <c r="L31" s="227"/>
      <c r="M31" s="244">
        <f>AVERAGE(M9:M30)</f>
        <v>1.1751</v>
      </c>
      <c r="N31" s="393">
        <f>SUM(N9:N30)</f>
        <v>1</v>
      </c>
      <c r="O31" s="393">
        <f>SUM(O9:O30)</f>
        <v>0</v>
      </c>
      <c r="P31" s="245">
        <f>SUM(N31:O31)</f>
        <v>1</v>
      </c>
    </row>
  </sheetData>
  <mergeCells count="5">
    <mergeCell ref="E7:H7"/>
    <mergeCell ref="G1:H1"/>
    <mergeCell ref="I1:S2"/>
    <mergeCell ref="G2:H2"/>
    <mergeCell ref="I7:K7"/>
  </mergeCells>
  <phoneticPr fontId="16"/>
  <conditionalFormatting sqref="G1:H1">
    <cfRule type="cellIs" dxfId="40" priority="3" operator="lessThan">
      <formula>0</formula>
    </cfRule>
  </conditionalFormatting>
  <conditionalFormatting sqref="M9:M31">
    <cfRule type="cellIs" dxfId="39" priority="1" operator="lessThan">
      <formula>0.75</formula>
    </cfRule>
  </conditionalFormatting>
  <pageMargins left="0.7" right="0.7" top="0.75" bottom="0.75" header="0.3" footer="0.3"/>
  <pageSetup paperSize="9" scale="5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Munka13">
    <pageSetUpPr fitToPage="1"/>
  </sheetPr>
  <dimension ref="A1:T32"/>
  <sheetViews>
    <sheetView showGridLines="0" topLeftCell="D1" zoomScale="80" zoomScaleNormal="80" workbookViewId="0">
      <pane ySplit="2" topLeftCell="A3" activePane="bottomLeft" state="frozen"/>
      <selection pane="bottomLeft" activeCell="C6" sqref="C6"/>
    </sheetView>
  </sheetViews>
  <sheetFormatPr defaultRowHeight="15"/>
  <cols>
    <col min="2" max="2" width="10.42578125" customWidth="1"/>
    <col min="3" max="4" width="18.42578125" customWidth="1"/>
    <col min="5" max="5" width="19.42578125" customWidth="1"/>
    <col min="6" max="6" width="12.42578125" bestFit="1" customWidth="1"/>
    <col min="7" max="14" width="12.42578125" customWidth="1"/>
    <col min="15" max="15" width="11.42578125" customWidth="1"/>
    <col min="16" max="16" width="32.28515625" customWidth="1"/>
    <col min="17" max="17" width="13.42578125" customWidth="1"/>
    <col min="18" max="18" width="26.42578125" customWidth="1"/>
  </cols>
  <sheetData>
    <row r="1" spans="1:20" ht="46.5">
      <c r="A1" s="40" t="s">
        <v>181</v>
      </c>
      <c r="B1" s="41"/>
      <c r="C1" s="52" t="s">
        <v>59</v>
      </c>
      <c r="D1" s="41"/>
      <c r="E1" s="41"/>
      <c r="F1" s="41"/>
      <c r="G1" s="502">
        <f>E31-C31</f>
        <v>349.05000000000291</v>
      </c>
      <c r="H1" s="502"/>
      <c r="I1" s="502"/>
      <c r="J1" s="515"/>
      <c r="K1" s="508"/>
      <c r="L1" s="508"/>
      <c r="M1" s="508"/>
      <c r="N1" s="508"/>
      <c r="O1" s="508"/>
      <c r="P1" s="508"/>
      <c r="Q1" s="508"/>
      <c r="R1" s="508"/>
    </row>
    <row r="2" spans="1:20" ht="46.5">
      <c r="A2" s="40"/>
      <c r="B2" s="41"/>
      <c r="C2" s="52"/>
      <c r="D2" s="41"/>
      <c r="E2" s="41"/>
      <c r="F2" s="41"/>
      <c r="G2" s="503"/>
      <c r="H2" s="503"/>
      <c r="I2" s="503"/>
      <c r="J2" s="508"/>
      <c r="K2" s="508"/>
      <c r="L2" s="508"/>
      <c r="M2" s="508"/>
      <c r="N2" s="508"/>
      <c r="O2" s="508"/>
      <c r="P2" s="508"/>
      <c r="Q2" s="508"/>
      <c r="R2" s="508"/>
    </row>
    <row r="4" spans="1:20">
      <c r="E4" s="65"/>
    </row>
    <row r="5" spans="1:20">
      <c r="B5" s="23" t="s">
        <v>112</v>
      </c>
      <c r="C5" s="277">
        <v>3733.33</v>
      </c>
      <c r="E5" s="4">
        <f>D23/C23</f>
        <v>1.0062330412795009</v>
      </c>
    </row>
    <row r="6" spans="1:20">
      <c r="B6" s="273" t="s">
        <v>39</v>
      </c>
      <c r="C6" s="23">
        <f>Headcount!F7</f>
        <v>15</v>
      </c>
      <c r="D6" s="4"/>
      <c r="E6" s="4"/>
      <c r="O6" s="22"/>
    </row>
    <row r="7" spans="1:20">
      <c r="B7" s="23" t="s">
        <v>40</v>
      </c>
      <c r="C7" s="23">
        <f>Headcount!F8</f>
        <v>15</v>
      </c>
      <c r="I7" s="507" t="s">
        <v>113</v>
      </c>
      <c r="J7" s="507"/>
      <c r="K7" s="507"/>
      <c r="O7" s="507" t="s">
        <v>182</v>
      </c>
      <c r="P7" s="507"/>
      <c r="Q7" s="546"/>
      <c r="R7" s="547"/>
    </row>
    <row r="8" spans="1:20" ht="48">
      <c r="A8" s="42" t="s">
        <v>42</v>
      </c>
      <c r="B8" s="43" t="s">
        <v>177</v>
      </c>
      <c r="C8" s="42" t="s">
        <v>178</v>
      </c>
      <c r="D8" s="42" t="s">
        <v>179</v>
      </c>
      <c r="E8" s="51" t="s">
        <v>117</v>
      </c>
      <c r="F8" s="42" t="s">
        <v>183</v>
      </c>
      <c r="G8" s="42" t="s">
        <v>184</v>
      </c>
      <c r="H8" s="42" t="s">
        <v>185</v>
      </c>
      <c r="I8" s="42" t="s">
        <v>118</v>
      </c>
      <c r="J8" s="42" t="s">
        <v>119</v>
      </c>
      <c r="K8" s="42" t="s">
        <v>120</v>
      </c>
      <c r="L8" s="285" t="s">
        <v>152</v>
      </c>
      <c r="M8" s="394" t="s">
        <v>173</v>
      </c>
      <c r="N8" s="394" t="s">
        <v>180</v>
      </c>
      <c r="O8" s="67" t="s">
        <v>186</v>
      </c>
      <c r="P8" s="67" t="s">
        <v>123</v>
      </c>
      <c r="Q8" s="67" t="s">
        <v>187</v>
      </c>
      <c r="R8" s="67" t="s">
        <v>123</v>
      </c>
      <c r="T8">
        <f>C28-D28</f>
        <v>0</v>
      </c>
    </row>
    <row r="9" spans="1:20">
      <c r="A9" s="44">
        <f>Headcount!A10</f>
        <v>2</v>
      </c>
      <c r="B9" s="341">
        <f>C5*C6</f>
        <v>55999.95</v>
      </c>
      <c r="C9" s="338">
        <f>C5</f>
        <v>3733.33</v>
      </c>
      <c r="D9" s="338">
        <f>E9</f>
        <v>1</v>
      </c>
      <c r="E9" s="302">
        <f t="shared" ref="E9:E17" si="0">F9+G9</f>
        <v>1</v>
      </c>
      <c r="F9" s="265">
        <v>1</v>
      </c>
      <c r="G9" s="265">
        <v>0</v>
      </c>
      <c r="H9" s="372">
        <v>0</v>
      </c>
      <c r="I9" s="367"/>
      <c r="J9" s="367"/>
      <c r="K9" s="366">
        <f t="shared" ref="K9:K23" si="1">J9-I9</f>
        <v>0</v>
      </c>
      <c r="L9" s="60">
        <v>0</v>
      </c>
      <c r="M9" s="265">
        <v>0</v>
      </c>
      <c r="N9" s="265">
        <v>0</v>
      </c>
      <c r="O9" s="242" t="s">
        <v>88</v>
      </c>
      <c r="P9" s="306"/>
      <c r="Q9" s="242"/>
      <c r="R9" s="265"/>
    </row>
    <row r="10" spans="1:20">
      <c r="A10" s="44">
        <f>Headcount!A11</f>
        <v>3</v>
      </c>
      <c r="B10" s="345">
        <f>$B$9-C9</f>
        <v>52266.619999999995</v>
      </c>
      <c r="C10" s="53">
        <f t="shared" ref="C10:C23" si="2">C9+$C$5</f>
        <v>7466.66</v>
      </c>
      <c r="D10" s="53">
        <f>IF(E10="",0,D9+E10)</f>
        <v>2</v>
      </c>
      <c r="E10" s="54">
        <f t="shared" si="0"/>
        <v>1</v>
      </c>
      <c r="F10" s="60">
        <v>1</v>
      </c>
      <c r="G10" s="60">
        <v>0</v>
      </c>
      <c r="H10" s="72">
        <v>0</v>
      </c>
      <c r="I10" s="48"/>
      <c r="J10" s="48"/>
      <c r="K10" s="48">
        <f t="shared" si="1"/>
        <v>0</v>
      </c>
      <c r="L10" s="60">
        <v>0</v>
      </c>
      <c r="M10" s="60">
        <v>0</v>
      </c>
      <c r="N10" s="60">
        <v>0</v>
      </c>
      <c r="O10" s="131" t="s">
        <v>88</v>
      </c>
      <c r="P10" s="68"/>
      <c r="Q10" s="131"/>
      <c r="R10" s="60"/>
    </row>
    <row r="11" spans="1:20">
      <c r="A11" s="44">
        <f>Headcount!A12</f>
        <v>4</v>
      </c>
      <c r="B11" s="345">
        <f t="shared" ref="B11:B17" si="3">$B$9-C10</f>
        <v>48533.289999999994</v>
      </c>
      <c r="C11" s="53">
        <f t="shared" si="2"/>
        <v>11199.99</v>
      </c>
      <c r="D11" s="53">
        <f t="shared" ref="D11:D17" si="4">IF(E11="",0,D10+E11)</f>
        <v>5316</v>
      </c>
      <c r="E11" s="54">
        <f t="shared" si="0"/>
        <v>5314</v>
      </c>
      <c r="F11" s="60">
        <v>5314</v>
      </c>
      <c r="G11" s="60">
        <v>0</v>
      </c>
      <c r="H11" s="72">
        <v>0</v>
      </c>
      <c r="I11" s="48"/>
      <c r="J11" s="48"/>
      <c r="K11" s="48">
        <f t="shared" si="1"/>
        <v>0</v>
      </c>
      <c r="L11" s="60">
        <v>0</v>
      </c>
      <c r="M11" s="60">
        <v>3</v>
      </c>
      <c r="N11" s="60">
        <v>19</v>
      </c>
      <c r="O11" s="131">
        <v>0.92169999999999996</v>
      </c>
      <c r="P11" s="68"/>
      <c r="Q11" s="131"/>
      <c r="R11" s="60"/>
    </row>
    <row r="12" spans="1:20">
      <c r="A12" s="44">
        <f>Headcount!A13</f>
        <v>5</v>
      </c>
      <c r="B12" s="345">
        <f t="shared" si="3"/>
        <v>44799.96</v>
      </c>
      <c r="C12" s="53">
        <f t="shared" si="2"/>
        <v>14933.32</v>
      </c>
      <c r="D12" s="53">
        <f t="shared" si="4"/>
        <v>15103</v>
      </c>
      <c r="E12" s="54">
        <f t="shared" si="0"/>
        <v>9787</v>
      </c>
      <c r="F12" s="60">
        <v>9787</v>
      </c>
      <c r="G12" s="60">
        <v>0</v>
      </c>
      <c r="H12" s="72">
        <v>0</v>
      </c>
      <c r="I12" s="48"/>
      <c r="J12" s="48"/>
      <c r="K12" s="48">
        <f t="shared" si="1"/>
        <v>0</v>
      </c>
      <c r="L12" s="60">
        <v>0</v>
      </c>
      <c r="M12" s="60">
        <v>4</v>
      </c>
      <c r="N12" s="60">
        <v>4</v>
      </c>
      <c r="O12" s="131">
        <v>0.94740000000000002</v>
      </c>
      <c r="P12" s="68"/>
      <c r="Q12" s="131"/>
      <c r="R12" s="77"/>
    </row>
    <row r="13" spans="1:20">
      <c r="A13" s="44">
        <f>Headcount!A14</f>
        <v>6</v>
      </c>
      <c r="B13" s="345">
        <f t="shared" si="3"/>
        <v>41066.629999999997</v>
      </c>
      <c r="C13" s="53">
        <f t="shared" si="2"/>
        <v>18666.650000000001</v>
      </c>
      <c r="D13" s="53">
        <f t="shared" si="4"/>
        <v>20311</v>
      </c>
      <c r="E13" s="54">
        <f t="shared" si="0"/>
        <v>5208</v>
      </c>
      <c r="F13" s="60">
        <v>5208</v>
      </c>
      <c r="G13" s="60">
        <v>0</v>
      </c>
      <c r="H13" s="72">
        <v>0</v>
      </c>
      <c r="I13" s="48"/>
      <c r="J13" s="48"/>
      <c r="K13" s="48">
        <f t="shared" si="1"/>
        <v>0</v>
      </c>
      <c r="L13" s="60">
        <v>0</v>
      </c>
      <c r="M13" s="60">
        <v>2</v>
      </c>
      <c r="N13" s="60">
        <v>3</v>
      </c>
      <c r="O13" s="131">
        <v>0.9597</v>
      </c>
      <c r="P13" s="77"/>
      <c r="Q13" s="131"/>
      <c r="R13" s="62"/>
    </row>
    <row r="14" spans="1:20" ht="13.9" customHeight="1">
      <c r="A14" s="44">
        <f>Headcount!A15</f>
        <v>9</v>
      </c>
      <c r="B14" s="345">
        <f t="shared" si="3"/>
        <v>37333.299999999996</v>
      </c>
      <c r="C14" s="53">
        <f t="shared" si="2"/>
        <v>22399.980000000003</v>
      </c>
      <c r="D14" s="53">
        <f t="shared" si="4"/>
        <v>32175</v>
      </c>
      <c r="E14" s="54">
        <f t="shared" si="0"/>
        <v>11864</v>
      </c>
      <c r="F14" s="60">
        <v>11864</v>
      </c>
      <c r="G14" s="60">
        <v>0</v>
      </c>
      <c r="H14" s="72">
        <v>0</v>
      </c>
      <c r="I14" s="48"/>
      <c r="J14" s="48"/>
      <c r="K14" s="48">
        <f t="shared" si="1"/>
        <v>0</v>
      </c>
      <c r="L14" s="60">
        <v>3</v>
      </c>
      <c r="M14" s="60">
        <v>6</v>
      </c>
      <c r="N14" s="60">
        <v>4</v>
      </c>
      <c r="O14" s="131">
        <v>0.83789999999999998</v>
      </c>
      <c r="P14" s="77"/>
      <c r="Q14" s="131"/>
      <c r="R14" s="62"/>
    </row>
    <row r="15" spans="1:20">
      <c r="A15" s="44">
        <f>Headcount!A16</f>
        <v>10</v>
      </c>
      <c r="B15" s="345">
        <f t="shared" si="3"/>
        <v>33599.969999999994</v>
      </c>
      <c r="C15" s="53">
        <f t="shared" si="2"/>
        <v>26133.310000000005</v>
      </c>
      <c r="D15" s="53">
        <f t="shared" si="4"/>
        <v>44663</v>
      </c>
      <c r="E15" s="54">
        <f t="shared" si="0"/>
        <v>12488</v>
      </c>
      <c r="F15" s="60">
        <v>12488</v>
      </c>
      <c r="G15" s="60">
        <v>0</v>
      </c>
      <c r="H15" s="72">
        <v>0</v>
      </c>
      <c r="I15" s="48"/>
      <c r="J15" s="48"/>
      <c r="K15" s="48">
        <f t="shared" si="1"/>
        <v>0</v>
      </c>
      <c r="L15" s="60">
        <v>1</v>
      </c>
      <c r="M15" s="60">
        <v>6</v>
      </c>
      <c r="N15" s="60">
        <v>11</v>
      </c>
      <c r="O15" s="131">
        <v>0.97919999999999996</v>
      </c>
      <c r="P15" s="77"/>
      <c r="Q15" s="131"/>
      <c r="R15" s="62"/>
    </row>
    <row r="16" spans="1:20">
      <c r="A16" s="44">
        <f>Headcount!A17</f>
        <v>11</v>
      </c>
      <c r="B16" s="345">
        <f t="shared" si="3"/>
        <v>29866.639999999992</v>
      </c>
      <c r="C16" s="53">
        <f t="shared" si="2"/>
        <v>29866.640000000007</v>
      </c>
      <c r="D16" s="53">
        <f t="shared" si="4"/>
        <v>46414</v>
      </c>
      <c r="E16" s="54">
        <f t="shared" si="0"/>
        <v>1751</v>
      </c>
      <c r="F16" s="60">
        <v>1751</v>
      </c>
      <c r="G16" s="60">
        <v>0</v>
      </c>
      <c r="H16" s="72">
        <v>0</v>
      </c>
      <c r="I16" s="48"/>
      <c r="J16" s="48"/>
      <c r="K16" s="48">
        <f t="shared" si="1"/>
        <v>0</v>
      </c>
      <c r="L16" s="60">
        <v>0</v>
      </c>
      <c r="M16" s="60">
        <v>0</v>
      </c>
      <c r="N16" s="60">
        <v>3</v>
      </c>
      <c r="O16" s="131">
        <v>1.569</v>
      </c>
      <c r="P16" s="77"/>
      <c r="Q16" s="131"/>
      <c r="R16" s="62"/>
    </row>
    <row r="17" spans="1:18">
      <c r="A17" s="44">
        <f>Headcount!A18</f>
        <v>12</v>
      </c>
      <c r="B17" s="345">
        <f t="shared" si="3"/>
        <v>26133.30999999999</v>
      </c>
      <c r="C17" s="53">
        <f t="shared" si="2"/>
        <v>33599.970000000008</v>
      </c>
      <c r="D17" s="53">
        <f t="shared" si="4"/>
        <v>47812</v>
      </c>
      <c r="E17" s="54">
        <f t="shared" si="0"/>
        <v>1398</v>
      </c>
      <c r="F17" s="60">
        <v>1398</v>
      </c>
      <c r="G17" s="60">
        <v>0</v>
      </c>
      <c r="H17" s="72">
        <v>0</v>
      </c>
      <c r="I17" s="48"/>
      <c r="J17" s="48"/>
      <c r="K17" s="48">
        <f t="shared" si="1"/>
        <v>0</v>
      </c>
      <c r="L17" s="60">
        <v>0</v>
      </c>
      <c r="M17" s="60">
        <v>2</v>
      </c>
      <c r="N17" s="60">
        <v>0</v>
      </c>
      <c r="O17" s="131">
        <v>1.0333000000000001</v>
      </c>
      <c r="P17" s="77"/>
      <c r="Q17" s="131"/>
      <c r="R17" s="62"/>
    </row>
    <row r="18" spans="1:18">
      <c r="A18" s="44">
        <f>Headcount!A19</f>
        <v>13</v>
      </c>
      <c r="B18" s="345">
        <f t="shared" ref="B18:B21" si="5">$B$9-C17</f>
        <v>22399.979999999989</v>
      </c>
      <c r="C18" s="53">
        <f t="shared" si="2"/>
        <v>37333.30000000001</v>
      </c>
      <c r="D18" s="53">
        <f t="shared" ref="D18:D21" si="6">IF(E18="",0,D17+E18)</f>
        <v>47972</v>
      </c>
      <c r="E18" s="54">
        <f t="shared" ref="E18:E21" si="7">F18+G18</f>
        <v>160</v>
      </c>
      <c r="F18" s="60">
        <v>160</v>
      </c>
      <c r="G18" s="60">
        <v>0</v>
      </c>
      <c r="H18" s="72">
        <v>0</v>
      </c>
      <c r="I18" s="48"/>
      <c r="J18" s="48"/>
      <c r="K18" s="48">
        <f t="shared" si="1"/>
        <v>0</v>
      </c>
      <c r="L18" s="218">
        <v>0</v>
      </c>
      <c r="M18" s="218">
        <v>0</v>
      </c>
      <c r="N18" s="218">
        <v>0</v>
      </c>
      <c r="O18" s="242">
        <v>1.3808</v>
      </c>
      <c r="P18" s="464"/>
      <c r="Q18" s="131"/>
      <c r="R18" s="62"/>
    </row>
    <row r="19" spans="1:18" ht="13.15" customHeight="1">
      <c r="A19" s="44">
        <f>Headcount!A20</f>
        <v>16</v>
      </c>
      <c r="B19" s="345">
        <f t="shared" si="5"/>
        <v>18666.649999999987</v>
      </c>
      <c r="C19" s="53">
        <f t="shared" si="2"/>
        <v>41066.630000000012</v>
      </c>
      <c r="D19" s="53">
        <f t="shared" si="6"/>
        <v>47973</v>
      </c>
      <c r="E19" s="54">
        <f t="shared" si="7"/>
        <v>1</v>
      </c>
      <c r="F19" s="60">
        <v>1</v>
      </c>
      <c r="G19" s="60">
        <v>0</v>
      </c>
      <c r="H19" s="72">
        <v>0</v>
      </c>
      <c r="I19" s="48"/>
      <c r="J19" s="48"/>
      <c r="K19" s="462">
        <f t="shared" si="1"/>
        <v>0</v>
      </c>
      <c r="L19" s="60">
        <v>0</v>
      </c>
      <c r="M19" s="60">
        <v>0</v>
      </c>
      <c r="N19" s="60">
        <v>0</v>
      </c>
      <c r="O19" s="131" t="s">
        <v>88</v>
      </c>
      <c r="P19" s="464"/>
      <c r="Q19" s="463"/>
      <c r="R19" s="60"/>
    </row>
    <row r="20" spans="1:18">
      <c r="A20" s="44">
        <f>Headcount!A21</f>
        <v>17</v>
      </c>
      <c r="B20" s="345">
        <f t="shared" si="5"/>
        <v>14933.319999999985</v>
      </c>
      <c r="C20" s="53">
        <f t="shared" si="2"/>
        <v>44799.960000000014</v>
      </c>
      <c r="D20" s="53">
        <f t="shared" si="6"/>
        <v>47974</v>
      </c>
      <c r="E20" s="54">
        <f t="shared" si="7"/>
        <v>1</v>
      </c>
      <c r="F20" s="60">
        <v>1</v>
      </c>
      <c r="G20" s="60">
        <v>0</v>
      </c>
      <c r="H20" s="72">
        <v>0</v>
      </c>
      <c r="I20" s="48"/>
      <c r="J20" s="48"/>
      <c r="K20" s="462">
        <f t="shared" si="1"/>
        <v>0</v>
      </c>
      <c r="L20" s="60">
        <v>0</v>
      </c>
      <c r="M20" s="60">
        <v>0</v>
      </c>
      <c r="N20" s="60">
        <v>0</v>
      </c>
      <c r="O20" s="131" t="s">
        <v>88</v>
      </c>
      <c r="P20" s="465"/>
      <c r="Q20" s="463"/>
      <c r="R20" s="68"/>
    </row>
    <row r="21" spans="1:18">
      <c r="A21" s="44">
        <f>Headcount!A22</f>
        <v>18</v>
      </c>
      <c r="B21" s="345">
        <f t="shared" si="5"/>
        <v>11199.989999999983</v>
      </c>
      <c r="C21" s="53">
        <f t="shared" si="2"/>
        <v>48533.290000000015</v>
      </c>
      <c r="D21" s="53">
        <f t="shared" si="6"/>
        <v>47975</v>
      </c>
      <c r="E21" s="54">
        <f t="shared" si="7"/>
        <v>1</v>
      </c>
      <c r="F21" s="60">
        <v>1</v>
      </c>
      <c r="G21" s="60">
        <v>0</v>
      </c>
      <c r="H21" s="72">
        <v>0</v>
      </c>
      <c r="I21" s="48"/>
      <c r="J21" s="48"/>
      <c r="K21" s="462">
        <f t="shared" si="1"/>
        <v>0</v>
      </c>
      <c r="L21" s="60">
        <v>0</v>
      </c>
      <c r="M21" s="60">
        <v>0</v>
      </c>
      <c r="N21" s="60">
        <v>0</v>
      </c>
      <c r="O21" s="131" t="s">
        <v>88</v>
      </c>
      <c r="P21" s="465"/>
      <c r="Q21" s="463"/>
      <c r="R21" s="68"/>
    </row>
    <row r="22" spans="1:18">
      <c r="A22" s="44">
        <f>Headcount!A23</f>
        <v>19</v>
      </c>
      <c r="B22" s="345">
        <f t="shared" ref="B22:B23" si="8">$B$9-C21</f>
        <v>7466.6599999999817</v>
      </c>
      <c r="C22" s="53">
        <f t="shared" si="2"/>
        <v>52266.620000000017</v>
      </c>
      <c r="D22" s="53">
        <f t="shared" ref="D22:D23" si="9">IF(E22="",0,D21+E22)</f>
        <v>50022</v>
      </c>
      <c r="E22" s="54">
        <f t="shared" ref="E22:E23" si="10">F22+G22</f>
        <v>2047</v>
      </c>
      <c r="F22" s="60">
        <v>2047</v>
      </c>
      <c r="G22" s="60">
        <v>0</v>
      </c>
      <c r="H22" s="72">
        <v>0</v>
      </c>
      <c r="I22" s="48"/>
      <c r="J22" s="48"/>
      <c r="K22" s="462">
        <f t="shared" si="1"/>
        <v>0</v>
      </c>
      <c r="L22" s="60">
        <v>0</v>
      </c>
      <c r="M22" s="60">
        <v>3</v>
      </c>
      <c r="N22" s="60">
        <v>0</v>
      </c>
      <c r="O22" s="131">
        <v>0.87050000000000005</v>
      </c>
      <c r="P22" s="465"/>
      <c r="Q22" s="463"/>
      <c r="R22" s="68"/>
    </row>
    <row r="23" spans="1:18">
      <c r="A23" s="44">
        <f>Headcount!A24</f>
        <v>20</v>
      </c>
      <c r="B23" s="345">
        <f t="shared" si="8"/>
        <v>3733.3299999999799</v>
      </c>
      <c r="C23" s="53">
        <f t="shared" si="2"/>
        <v>55999.950000000019</v>
      </c>
      <c r="D23" s="53">
        <f t="shared" si="9"/>
        <v>56349</v>
      </c>
      <c r="E23" s="54">
        <f t="shared" si="10"/>
        <v>6327</v>
      </c>
      <c r="F23" s="60">
        <v>6327</v>
      </c>
      <c r="G23" s="60">
        <v>0</v>
      </c>
      <c r="H23" s="72">
        <v>0</v>
      </c>
      <c r="I23" s="48"/>
      <c r="J23" s="48"/>
      <c r="K23" s="462">
        <f t="shared" si="1"/>
        <v>0</v>
      </c>
      <c r="L23" s="60">
        <v>1</v>
      </c>
      <c r="M23" s="60">
        <v>5</v>
      </c>
      <c r="N23" s="60">
        <v>15</v>
      </c>
      <c r="O23" s="131">
        <v>0.94179999999999997</v>
      </c>
      <c r="P23" s="466"/>
      <c r="Q23" s="463"/>
      <c r="R23" s="77"/>
    </row>
    <row r="24" spans="1:18">
      <c r="A24" s="44"/>
      <c r="B24" s="345"/>
      <c r="C24" s="53"/>
      <c r="D24" s="53"/>
      <c r="E24" s="54"/>
      <c r="F24" s="60"/>
      <c r="G24" s="60"/>
      <c r="H24" s="72"/>
      <c r="I24" s="48"/>
      <c r="J24" s="48"/>
      <c r="K24" s="462"/>
      <c r="L24" s="60"/>
      <c r="M24" s="60"/>
      <c r="N24" s="60"/>
      <c r="O24" s="131"/>
      <c r="P24" s="470"/>
      <c r="Q24" s="131"/>
      <c r="R24" s="62"/>
    </row>
    <row r="25" spans="1:18">
      <c r="A25" s="44"/>
      <c r="B25" s="345"/>
      <c r="C25" s="53"/>
      <c r="D25" s="53"/>
      <c r="E25" s="54"/>
      <c r="F25" s="60"/>
      <c r="G25" s="60"/>
      <c r="H25" s="72"/>
      <c r="I25" s="48"/>
      <c r="J25" s="48"/>
      <c r="K25" s="462"/>
      <c r="L25" s="60"/>
      <c r="M25" s="60"/>
      <c r="N25" s="60"/>
      <c r="O25" s="131"/>
      <c r="P25" s="470"/>
      <c r="Q25" s="131"/>
      <c r="R25" s="62"/>
    </row>
    <row r="26" spans="1:18">
      <c r="A26" s="44"/>
      <c r="B26" s="345"/>
      <c r="C26" s="53"/>
      <c r="D26" s="53"/>
      <c r="E26" s="54"/>
      <c r="F26" s="60"/>
      <c r="G26" s="60"/>
      <c r="H26" s="72"/>
      <c r="I26" s="48"/>
      <c r="J26" s="48"/>
      <c r="K26" s="462"/>
      <c r="L26" s="60"/>
      <c r="M26" s="60"/>
      <c r="N26" s="60"/>
      <c r="O26" s="131"/>
      <c r="P26" s="466"/>
      <c r="Q26" s="131"/>
      <c r="R26" s="62"/>
    </row>
    <row r="27" spans="1:18">
      <c r="A27" s="44"/>
      <c r="B27" s="345"/>
      <c r="C27" s="53"/>
      <c r="D27" s="53"/>
      <c r="E27" s="54"/>
      <c r="F27" s="60"/>
      <c r="G27" s="60"/>
      <c r="H27" s="72"/>
      <c r="I27" s="48"/>
      <c r="J27" s="48"/>
      <c r="K27" s="462"/>
      <c r="L27" s="60"/>
      <c r="M27" s="60"/>
      <c r="N27" s="60"/>
      <c r="O27" s="131"/>
      <c r="P27" s="466"/>
      <c r="Q27" s="131"/>
      <c r="R27" s="62"/>
    </row>
    <row r="28" spans="1:18">
      <c r="A28" s="44"/>
      <c r="B28" s="345"/>
      <c r="C28" s="53"/>
      <c r="D28" s="53"/>
      <c r="E28" s="54"/>
      <c r="F28" s="60"/>
      <c r="G28" s="60"/>
      <c r="H28" s="72"/>
      <c r="I28" s="48"/>
      <c r="J28" s="48"/>
      <c r="K28" s="462"/>
      <c r="L28" s="60"/>
      <c r="M28" s="60"/>
      <c r="N28" s="60"/>
      <c r="O28" s="131"/>
      <c r="P28" s="466"/>
      <c r="Q28" s="131"/>
      <c r="R28" s="62"/>
    </row>
    <row r="29" spans="1:18">
      <c r="A29" s="44"/>
      <c r="B29" s="345"/>
      <c r="C29" s="53"/>
      <c r="D29" s="53"/>
      <c r="E29" s="54"/>
      <c r="F29" s="60"/>
      <c r="G29" s="60"/>
      <c r="H29" s="72"/>
      <c r="I29" s="48"/>
      <c r="J29" s="48"/>
      <c r="K29" s="48"/>
      <c r="L29" s="60"/>
      <c r="M29" s="60"/>
      <c r="N29" s="60"/>
      <c r="O29" s="131"/>
      <c r="P29" s="77"/>
      <c r="Q29" s="131"/>
      <c r="R29" s="62"/>
    </row>
    <row r="30" spans="1:18" ht="15.75" thickBot="1">
      <c r="A30" s="44"/>
      <c r="B30" s="345"/>
      <c r="C30" s="53"/>
      <c r="D30" s="53"/>
      <c r="E30" s="54"/>
      <c r="F30" s="60"/>
      <c r="G30" s="60"/>
      <c r="H30" s="72"/>
      <c r="I30" s="48"/>
      <c r="J30" s="48"/>
      <c r="K30" s="48"/>
      <c r="L30" s="60"/>
      <c r="M30" s="60"/>
      <c r="N30" s="60"/>
      <c r="O30" s="330"/>
      <c r="P30" s="373"/>
      <c r="Q30" s="330"/>
      <c r="R30" s="374"/>
    </row>
    <row r="31" spans="1:18" ht="15.75" thickBot="1">
      <c r="A31" s="219" t="s">
        <v>107</v>
      </c>
      <c r="B31" s="226"/>
      <c r="C31" s="227">
        <f>C7*C5</f>
        <v>55999.95</v>
      </c>
      <c r="D31" s="227"/>
      <c r="E31" s="228">
        <f>SUM(E9:E29)</f>
        <v>56349</v>
      </c>
      <c r="F31" s="229"/>
      <c r="G31" s="229"/>
      <c r="H31" s="246"/>
      <c r="I31" s="240"/>
      <c r="J31" s="240"/>
      <c r="K31" s="240"/>
      <c r="L31" s="229">
        <f>SUM(L9:L30)</f>
        <v>5</v>
      </c>
      <c r="M31" s="229">
        <f>SUM(M9:M30)</f>
        <v>31</v>
      </c>
      <c r="N31" s="229">
        <f>SUM(N9:N30)</f>
        <v>59</v>
      </c>
      <c r="O31" s="244">
        <f>AVERAGE(O9:O30)</f>
        <v>1.0441300000000002</v>
      </c>
      <c r="P31" s="247"/>
      <c r="Q31" s="244" t="e">
        <f>AVERAGE(Q9:Q30)</f>
        <v>#DIV/0!</v>
      </c>
      <c r="R31" s="245"/>
    </row>
    <row r="32" spans="1:18">
      <c r="M32" s="398">
        <f>M31+N31</f>
        <v>90</v>
      </c>
      <c r="N32" s="398"/>
    </row>
  </sheetData>
  <mergeCells count="6">
    <mergeCell ref="I7:K7"/>
    <mergeCell ref="G1:I1"/>
    <mergeCell ref="J1:R2"/>
    <mergeCell ref="G2:I2"/>
    <mergeCell ref="O7:P7"/>
    <mergeCell ref="Q7:R7"/>
  </mergeCells>
  <phoneticPr fontId="16"/>
  <conditionalFormatting sqref="G1:I1">
    <cfRule type="cellIs" dxfId="38" priority="11" operator="lessThan">
      <formula>0</formula>
    </cfRule>
  </conditionalFormatting>
  <conditionalFormatting sqref="O9:O31 Q9:Q31">
    <cfRule type="cellIs" dxfId="37" priority="1" operator="lessThan">
      <formula>0.75</formula>
    </cfRule>
  </conditionalFormatting>
  <pageMargins left="0.7" right="0.7" top="0.75" bottom="0.75" header="0.3" footer="0.3"/>
  <pageSetup paperSize="9" scale="4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Munka14">
    <pageSetUpPr fitToPage="1"/>
  </sheetPr>
  <dimension ref="A1:R32"/>
  <sheetViews>
    <sheetView showGridLines="0" zoomScale="85" zoomScaleNormal="85" workbookViewId="0">
      <pane ySplit="2" topLeftCell="A3" activePane="bottomLeft" state="frozen"/>
      <selection activeCell="E1" sqref="E1"/>
      <selection pane="bottomLeft" activeCell="C6" sqref="C6"/>
    </sheetView>
  </sheetViews>
  <sheetFormatPr defaultRowHeight="15"/>
  <cols>
    <col min="2" max="2" width="10.42578125" customWidth="1"/>
    <col min="3" max="3" width="17.42578125" customWidth="1"/>
    <col min="4" max="4" width="16.42578125" customWidth="1"/>
    <col min="5" max="5" width="19.42578125" customWidth="1"/>
    <col min="6" max="6" width="12.42578125" bestFit="1" customWidth="1"/>
    <col min="7" max="14" width="12.42578125" customWidth="1"/>
    <col min="15" max="15" width="10" customWidth="1"/>
    <col min="16" max="16" width="21.42578125" customWidth="1"/>
    <col min="17" max="17" width="10" customWidth="1"/>
    <col min="18" max="18" width="26.42578125" customWidth="1"/>
  </cols>
  <sheetData>
    <row r="1" spans="1:18" ht="46.5">
      <c r="A1" s="40" t="s">
        <v>188</v>
      </c>
      <c r="B1" s="41"/>
      <c r="C1" s="52" t="s">
        <v>59</v>
      </c>
      <c r="D1" s="41"/>
      <c r="E1" s="41"/>
      <c r="F1" s="41"/>
      <c r="G1" s="502">
        <f>E31-C31</f>
        <v>642.05000000000291</v>
      </c>
      <c r="H1" s="502"/>
      <c r="I1" s="502"/>
      <c r="J1" s="515"/>
      <c r="K1" s="508"/>
      <c r="L1" s="508"/>
      <c r="M1" s="508"/>
      <c r="N1" s="508"/>
      <c r="O1" s="508"/>
      <c r="P1" s="508"/>
      <c r="Q1" s="508"/>
      <c r="R1" s="508"/>
    </row>
    <row r="2" spans="1:18" ht="46.5">
      <c r="A2" s="40"/>
      <c r="B2" s="41"/>
      <c r="C2" s="52"/>
      <c r="D2" s="41"/>
      <c r="E2" s="41"/>
      <c r="F2" s="41"/>
      <c r="G2" s="503"/>
      <c r="H2" s="503"/>
      <c r="I2" s="503"/>
      <c r="J2" s="508"/>
      <c r="K2" s="508"/>
      <c r="L2" s="508"/>
      <c r="M2" s="508"/>
      <c r="N2" s="508"/>
      <c r="O2" s="508"/>
      <c r="P2" s="508"/>
      <c r="Q2" s="508"/>
      <c r="R2" s="508"/>
    </row>
    <row r="4" spans="1:18">
      <c r="E4" s="65"/>
    </row>
    <row r="5" spans="1:18">
      <c r="B5" s="23" t="s">
        <v>112</v>
      </c>
      <c r="C5" s="277">
        <v>6533.33</v>
      </c>
      <c r="E5" s="4">
        <f>D23/C23</f>
        <v>1.0065515339548641</v>
      </c>
    </row>
    <row r="6" spans="1:18">
      <c r="B6" s="273" t="s">
        <v>39</v>
      </c>
      <c r="C6" s="23">
        <f>Headcount!F7</f>
        <v>15</v>
      </c>
      <c r="D6" s="4"/>
      <c r="E6" s="4"/>
      <c r="O6" s="22"/>
    </row>
    <row r="7" spans="1:18">
      <c r="B7" s="23" t="s">
        <v>40</v>
      </c>
      <c r="C7" s="23">
        <f>Headcount!F8</f>
        <v>15</v>
      </c>
      <c r="I7" s="507" t="s">
        <v>113</v>
      </c>
      <c r="J7" s="507"/>
      <c r="K7" s="507"/>
      <c r="O7" s="507" t="s">
        <v>182</v>
      </c>
      <c r="P7" s="507"/>
      <c r="Q7" s="546" t="s">
        <v>189</v>
      </c>
      <c r="R7" s="547"/>
    </row>
    <row r="8" spans="1:18" ht="48">
      <c r="A8" s="42" t="s">
        <v>42</v>
      </c>
      <c r="B8" s="43" t="s">
        <v>177</v>
      </c>
      <c r="C8" s="42" t="s">
        <v>178</v>
      </c>
      <c r="D8" s="42" t="s">
        <v>179</v>
      </c>
      <c r="E8" s="51" t="s">
        <v>117</v>
      </c>
      <c r="F8" s="42" t="s">
        <v>183</v>
      </c>
      <c r="G8" s="42" t="s">
        <v>184</v>
      </c>
      <c r="H8" s="42" t="s">
        <v>185</v>
      </c>
      <c r="I8" s="42" t="s">
        <v>118</v>
      </c>
      <c r="J8" s="42" t="s">
        <v>119</v>
      </c>
      <c r="K8" s="42" t="s">
        <v>120</v>
      </c>
      <c r="L8" s="285" t="s">
        <v>152</v>
      </c>
      <c r="M8" s="394" t="s">
        <v>173</v>
      </c>
      <c r="N8" s="394" t="s">
        <v>190</v>
      </c>
      <c r="O8" s="67" t="s">
        <v>186</v>
      </c>
      <c r="P8" s="67" t="s">
        <v>123</v>
      </c>
      <c r="Q8" s="67" t="s">
        <v>187</v>
      </c>
      <c r="R8" s="67" t="s">
        <v>123</v>
      </c>
    </row>
    <row r="9" spans="1:18">
      <c r="A9" s="44">
        <f>Headcount!A10</f>
        <v>2</v>
      </c>
      <c r="B9" s="341">
        <f>C5*C6</f>
        <v>97999.95</v>
      </c>
      <c r="C9" s="338">
        <f>C5</f>
        <v>6533.33</v>
      </c>
      <c r="D9" s="338">
        <f>E9</f>
        <v>8520</v>
      </c>
      <c r="E9" s="302">
        <f t="shared" ref="E9:E17" si="0">F9+G9</f>
        <v>8520</v>
      </c>
      <c r="F9" s="59">
        <v>8520</v>
      </c>
      <c r="G9" s="59">
        <v>0</v>
      </c>
      <c r="H9" s="59">
        <v>0</v>
      </c>
      <c r="I9" s="49"/>
      <c r="J9" s="48"/>
      <c r="K9" s="49">
        <f>J9-I9</f>
        <v>0</v>
      </c>
      <c r="L9" s="60">
        <v>0</v>
      </c>
      <c r="M9" s="59">
        <v>8</v>
      </c>
      <c r="N9" s="59">
        <v>2</v>
      </c>
      <c r="O9" s="131">
        <v>0.67589999999999995</v>
      </c>
      <c r="P9" s="475" t="s">
        <v>191</v>
      </c>
      <c r="Q9" s="131"/>
      <c r="R9" s="59"/>
    </row>
    <row r="10" spans="1:18">
      <c r="A10" s="44">
        <f>Headcount!A11</f>
        <v>3</v>
      </c>
      <c r="B10" s="345">
        <f>$B$9-C9</f>
        <v>91466.62</v>
      </c>
      <c r="C10" s="53">
        <f t="shared" ref="C10:C23" si="1">C9+$C$5</f>
        <v>13066.66</v>
      </c>
      <c r="D10" s="53">
        <f>IF(E10="",0,D9+E10)</f>
        <v>17061</v>
      </c>
      <c r="E10" s="54">
        <f t="shared" si="0"/>
        <v>8541</v>
      </c>
      <c r="F10" s="60">
        <v>8541</v>
      </c>
      <c r="G10" s="60">
        <v>0</v>
      </c>
      <c r="H10" s="60">
        <v>0</v>
      </c>
      <c r="I10" s="48"/>
      <c r="J10" s="48"/>
      <c r="K10" s="48">
        <f>J10-I10</f>
        <v>0</v>
      </c>
      <c r="L10" s="60">
        <v>0</v>
      </c>
      <c r="M10" s="60">
        <v>2</v>
      </c>
      <c r="N10" s="60">
        <v>3</v>
      </c>
      <c r="O10" s="131">
        <v>1.0795999999999999</v>
      </c>
      <c r="P10" s="476"/>
      <c r="Q10" s="131"/>
      <c r="R10" s="60"/>
    </row>
    <row r="11" spans="1:18">
      <c r="A11" s="44">
        <f>Headcount!A12</f>
        <v>4</v>
      </c>
      <c r="B11" s="345">
        <f t="shared" ref="B11:B17" si="2">$B$9-C10</f>
        <v>84933.29</v>
      </c>
      <c r="C11" s="53">
        <f t="shared" si="1"/>
        <v>19599.989999999998</v>
      </c>
      <c r="D11" s="53">
        <f>IF(E11="",0,D10+E11)</f>
        <v>37991</v>
      </c>
      <c r="E11" s="54">
        <f t="shared" si="0"/>
        <v>20930</v>
      </c>
      <c r="F11" s="60">
        <v>20930</v>
      </c>
      <c r="G11" s="60">
        <v>0</v>
      </c>
      <c r="H11" s="60">
        <v>0</v>
      </c>
      <c r="I11" s="48"/>
      <c r="J11" s="48"/>
      <c r="K11" s="48">
        <f t="shared" ref="K11:K17" si="3">J11-I11</f>
        <v>0</v>
      </c>
      <c r="L11" s="60">
        <v>0</v>
      </c>
      <c r="M11" s="60">
        <v>7</v>
      </c>
      <c r="N11" s="60">
        <v>2</v>
      </c>
      <c r="O11" s="131">
        <v>1.006</v>
      </c>
      <c r="P11" s="476"/>
      <c r="Q11" s="131"/>
      <c r="R11" s="60"/>
    </row>
    <row r="12" spans="1:18">
      <c r="A12" s="44">
        <f>Headcount!A13</f>
        <v>5</v>
      </c>
      <c r="B12" s="345">
        <f t="shared" si="2"/>
        <v>78399.959999999992</v>
      </c>
      <c r="C12" s="53">
        <f t="shared" si="1"/>
        <v>26133.32</v>
      </c>
      <c r="D12" s="53">
        <f t="shared" ref="D12:D17" si="4">IF(E12="",0,D11+E12)</f>
        <v>41165</v>
      </c>
      <c r="E12" s="54">
        <f t="shared" si="0"/>
        <v>3174</v>
      </c>
      <c r="F12" s="60">
        <v>3174</v>
      </c>
      <c r="G12" s="60">
        <v>0</v>
      </c>
      <c r="H12" s="60">
        <v>0</v>
      </c>
      <c r="I12" s="48"/>
      <c r="J12" s="48"/>
      <c r="K12" s="48">
        <f t="shared" si="3"/>
        <v>0</v>
      </c>
      <c r="L12" s="60">
        <v>0</v>
      </c>
      <c r="M12" s="60">
        <v>0</v>
      </c>
      <c r="N12" s="60">
        <v>0</v>
      </c>
      <c r="O12" s="131">
        <v>1.0397000000000001</v>
      </c>
      <c r="P12" s="77"/>
      <c r="Q12" s="131"/>
      <c r="R12" s="62"/>
    </row>
    <row r="13" spans="1:18">
      <c r="A13" s="44">
        <f>Headcount!A14</f>
        <v>6</v>
      </c>
      <c r="B13" s="345">
        <f t="shared" si="2"/>
        <v>71866.63</v>
      </c>
      <c r="C13" s="53">
        <f t="shared" si="1"/>
        <v>32666.65</v>
      </c>
      <c r="D13" s="53">
        <f t="shared" si="4"/>
        <v>42151</v>
      </c>
      <c r="E13" s="54">
        <f t="shared" si="0"/>
        <v>986</v>
      </c>
      <c r="F13" s="60">
        <v>986</v>
      </c>
      <c r="G13" s="60">
        <v>0</v>
      </c>
      <c r="H13" s="60">
        <v>0</v>
      </c>
      <c r="I13" s="48"/>
      <c r="J13" s="48"/>
      <c r="K13" s="48">
        <f t="shared" si="3"/>
        <v>0</v>
      </c>
      <c r="L13" s="60">
        <v>0</v>
      </c>
      <c r="M13" s="60">
        <v>0</v>
      </c>
      <c r="N13" s="60">
        <v>2</v>
      </c>
      <c r="O13" s="131">
        <v>1.0661</v>
      </c>
      <c r="P13" s="77"/>
      <c r="Q13" s="131"/>
      <c r="R13" s="62"/>
    </row>
    <row r="14" spans="1:18">
      <c r="A14" s="44">
        <f>Headcount!A15</f>
        <v>9</v>
      </c>
      <c r="B14" s="345">
        <f t="shared" si="2"/>
        <v>65333.299999999996</v>
      </c>
      <c r="C14" s="53">
        <f t="shared" si="1"/>
        <v>39199.980000000003</v>
      </c>
      <c r="D14" s="53">
        <f t="shared" si="4"/>
        <v>45178</v>
      </c>
      <c r="E14" s="54">
        <f t="shared" si="0"/>
        <v>3027</v>
      </c>
      <c r="F14" s="60">
        <v>3027</v>
      </c>
      <c r="G14" s="60">
        <v>0</v>
      </c>
      <c r="H14" s="60">
        <v>0</v>
      </c>
      <c r="I14" s="48"/>
      <c r="J14" s="48"/>
      <c r="K14" s="48">
        <f t="shared" si="3"/>
        <v>0</v>
      </c>
      <c r="L14" s="60">
        <v>0</v>
      </c>
      <c r="M14" s="60">
        <v>0</v>
      </c>
      <c r="N14" s="60">
        <v>0</v>
      </c>
      <c r="O14" s="131">
        <v>1.0209999999999999</v>
      </c>
      <c r="P14" s="77"/>
      <c r="Q14" s="131"/>
      <c r="R14" s="62"/>
    </row>
    <row r="15" spans="1:18" ht="24">
      <c r="A15" s="44">
        <f>Headcount!A16</f>
        <v>10</v>
      </c>
      <c r="B15" s="345">
        <f t="shared" si="2"/>
        <v>58799.969999999994</v>
      </c>
      <c r="C15" s="53">
        <f t="shared" si="1"/>
        <v>45733.310000000005</v>
      </c>
      <c r="D15" s="53">
        <f t="shared" si="4"/>
        <v>47805</v>
      </c>
      <c r="E15" s="54">
        <f t="shared" si="0"/>
        <v>2627</v>
      </c>
      <c r="F15" s="60">
        <v>2627</v>
      </c>
      <c r="G15" s="60">
        <v>0</v>
      </c>
      <c r="H15" s="60">
        <v>0</v>
      </c>
      <c r="I15" s="48"/>
      <c r="J15" s="48"/>
      <c r="K15" s="48">
        <f t="shared" si="3"/>
        <v>0</v>
      </c>
      <c r="L15" s="60">
        <v>0</v>
      </c>
      <c r="M15" s="60">
        <v>3</v>
      </c>
      <c r="N15" s="60">
        <v>0</v>
      </c>
      <c r="O15" s="131">
        <v>0.76880000000000004</v>
      </c>
      <c r="P15" s="77" t="s">
        <v>192</v>
      </c>
      <c r="Q15" s="131"/>
      <c r="R15" s="62"/>
    </row>
    <row r="16" spans="1:18" ht="24">
      <c r="A16" s="44">
        <f>Headcount!A17</f>
        <v>11</v>
      </c>
      <c r="B16" s="345">
        <f t="shared" si="2"/>
        <v>52266.639999999992</v>
      </c>
      <c r="C16" s="53">
        <f t="shared" si="1"/>
        <v>52266.640000000007</v>
      </c>
      <c r="D16" s="53">
        <f t="shared" si="4"/>
        <v>57711</v>
      </c>
      <c r="E16" s="54">
        <f t="shared" si="0"/>
        <v>9906</v>
      </c>
      <c r="F16" s="60">
        <v>9906</v>
      </c>
      <c r="G16" s="60">
        <v>0</v>
      </c>
      <c r="H16" s="60">
        <v>0</v>
      </c>
      <c r="I16" s="48"/>
      <c r="J16" s="48"/>
      <c r="K16" s="48">
        <f t="shared" si="3"/>
        <v>0</v>
      </c>
      <c r="L16" s="60">
        <v>0</v>
      </c>
      <c r="M16" s="60">
        <v>1</v>
      </c>
      <c r="N16" s="60">
        <v>2</v>
      </c>
      <c r="O16" s="131">
        <v>0.87609999999999999</v>
      </c>
      <c r="P16" s="77" t="s">
        <v>193</v>
      </c>
      <c r="Q16" s="131"/>
      <c r="R16" s="62"/>
    </row>
    <row r="17" spans="1:18">
      <c r="A17" s="44">
        <f>Headcount!A18</f>
        <v>12</v>
      </c>
      <c r="B17" s="345">
        <f t="shared" si="2"/>
        <v>45733.30999999999</v>
      </c>
      <c r="C17" s="53">
        <f t="shared" si="1"/>
        <v>58799.970000000008</v>
      </c>
      <c r="D17" s="53">
        <f t="shared" si="4"/>
        <v>69628</v>
      </c>
      <c r="E17" s="54">
        <f t="shared" si="0"/>
        <v>11917</v>
      </c>
      <c r="F17" s="60">
        <v>11917</v>
      </c>
      <c r="G17" s="60">
        <v>0</v>
      </c>
      <c r="H17" s="60">
        <v>0</v>
      </c>
      <c r="I17" s="48"/>
      <c r="J17" s="48"/>
      <c r="K17" s="48">
        <f t="shared" si="3"/>
        <v>0</v>
      </c>
      <c r="L17" s="60">
        <v>0</v>
      </c>
      <c r="M17" s="60">
        <v>16</v>
      </c>
      <c r="N17" s="60">
        <v>1</v>
      </c>
      <c r="O17" s="131">
        <v>0.90049999999999997</v>
      </c>
      <c r="P17" s="77"/>
      <c r="Q17" s="131"/>
      <c r="R17" s="62"/>
    </row>
    <row r="18" spans="1:18">
      <c r="A18" s="44">
        <f>Headcount!A19</f>
        <v>13</v>
      </c>
      <c r="B18" s="345">
        <f t="shared" ref="B18:B21" si="5">$B$9-C17</f>
        <v>39199.979999999989</v>
      </c>
      <c r="C18" s="53">
        <f t="shared" si="1"/>
        <v>65333.30000000001</v>
      </c>
      <c r="D18" s="53">
        <f t="shared" ref="D18:D21" si="6">IF(E18="",0,D17+E18)</f>
        <v>73873</v>
      </c>
      <c r="E18" s="54">
        <f t="shared" ref="E18:E21" si="7">F18+G18</f>
        <v>4245</v>
      </c>
      <c r="F18" s="60">
        <v>4245</v>
      </c>
      <c r="G18" s="60">
        <v>0</v>
      </c>
      <c r="H18" s="60">
        <v>0</v>
      </c>
      <c r="I18" s="48"/>
      <c r="J18" s="48"/>
      <c r="K18" s="48">
        <f t="shared" ref="K18:K21" si="8">J18-I18</f>
        <v>0</v>
      </c>
      <c r="L18" s="218">
        <v>0</v>
      </c>
      <c r="M18" s="218">
        <v>1</v>
      </c>
      <c r="N18" s="218">
        <v>0</v>
      </c>
      <c r="O18" s="242">
        <v>0.77729999999999999</v>
      </c>
      <c r="P18" s="77"/>
      <c r="Q18" s="131"/>
      <c r="R18" s="62"/>
    </row>
    <row r="19" spans="1:18">
      <c r="A19" s="44">
        <f>Headcount!A20</f>
        <v>16</v>
      </c>
      <c r="B19" s="345">
        <f t="shared" si="5"/>
        <v>32666.649999999987</v>
      </c>
      <c r="C19" s="53">
        <f t="shared" si="1"/>
        <v>71866.63</v>
      </c>
      <c r="D19" s="53">
        <f t="shared" si="6"/>
        <v>74253</v>
      </c>
      <c r="E19" s="54">
        <f t="shared" si="7"/>
        <v>380</v>
      </c>
      <c r="F19" s="60">
        <v>380</v>
      </c>
      <c r="G19" s="60">
        <v>0</v>
      </c>
      <c r="H19" s="60">
        <v>0</v>
      </c>
      <c r="I19" s="48"/>
      <c r="J19" s="48"/>
      <c r="K19" s="462">
        <f t="shared" si="8"/>
        <v>0</v>
      </c>
      <c r="L19" s="60">
        <v>0</v>
      </c>
      <c r="M19" s="267">
        <v>0</v>
      </c>
      <c r="N19" s="60">
        <v>0</v>
      </c>
      <c r="O19" s="463">
        <v>1.0757000000000001</v>
      </c>
      <c r="P19" s="465"/>
      <c r="Q19" s="131"/>
      <c r="R19" s="60"/>
    </row>
    <row r="20" spans="1:18" ht="13.15" customHeight="1">
      <c r="A20" s="44">
        <f>Headcount!A21</f>
        <v>17</v>
      </c>
      <c r="B20" s="345">
        <f t="shared" si="5"/>
        <v>26133.319999999992</v>
      </c>
      <c r="C20" s="53">
        <f t="shared" si="1"/>
        <v>78399.960000000006</v>
      </c>
      <c r="D20" s="53">
        <f t="shared" si="6"/>
        <v>75874</v>
      </c>
      <c r="E20" s="54">
        <f t="shared" si="7"/>
        <v>1621</v>
      </c>
      <c r="F20" s="60">
        <v>1621</v>
      </c>
      <c r="G20" s="60">
        <v>0</v>
      </c>
      <c r="H20" s="60">
        <v>0</v>
      </c>
      <c r="I20" s="48"/>
      <c r="J20" s="48"/>
      <c r="K20" s="462">
        <f t="shared" si="8"/>
        <v>0</v>
      </c>
      <c r="L20" s="60">
        <v>0</v>
      </c>
      <c r="M20" s="267">
        <v>1</v>
      </c>
      <c r="N20" s="60">
        <v>0</v>
      </c>
      <c r="O20" s="463">
        <v>1.1986000000000001</v>
      </c>
      <c r="P20" s="465"/>
      <c r="Q20" s="131"/>
      <c r="R20" s="60"/>
    </row>
    <row r="21" spans="1:18">
      <c r="A21" s="44">
        <f>Headcount!A22</f>
        <v>18</v>
      </c>
      <c r="B21" s="345">
        <f t="shared" si="5"/>
        <v>19599.989999999991</v>
      </c>
      <c r="C21" s="53">
        <f t="shared" si="1"/>
        <v>84933.290000000008</v>
      </c>
      <c r="D21" s="53">
        <f t="shared" si="6"/>
        <v>77423</v>
      </c>
      <c r="E21" s="54">
        <f t="shared" si="7"/>
        <v>1549</v>
      </c>
      <c r="F21" s="60">
        <v>1549</v>
      </c>
      <c r="G21" s="60">
        <v>0</v>
      </c>
      <c r="H21" s="60">
        <v>0</v>
      </c>
      <c r="I21" s="48"/>
      <c r="J21" s="48"/>
      <c r="K21" s="462">
        <f t="shared" si="8"/>
        <v>0</v>
      </c>
      <c r="L21" s="60">
        <v>0</v>
      </c>
      <c r="M21" s="267">
        <v>1</v>
      </c>
      <c r="N21" s="60">
        <v>0</v>
      </c>
      <c r="O21" s="463">
        <v>1.0376000000000001</v>
      </c>
      <c r="P21" s="465"/>
      <c r="Q21" s="131"/>
      <c r="R21" s="60"/>
    </row>
    <row r="22" spans="1:18">
      <c r="A22" s="44">
        <f>Headcount!A23</f>
        <v>19</v>
      </c>
      <c r="B22" s="345">
        <f t="shared" ref="B22:B23" si="9">$B$9-C21</f>
        <v>13066.659999999989</v>
      </c>
      <c r="C22" s="53">
        <f t="shared" si="1"/>
        <v>91466.62000000001</v>
      </c>
      <c r="D22" s="53">
        <f t="shared" ref="D22:D23" si="10">IF(E22="",0,D21+E22)</f>
        <v>89253</v>
      </c>
      <c r="E22" s="54">
        <f t="shared" ref="E22:E23" si="11">F22+G22</f>
        <v>11830</v>
      </c>
      <c r="F22" s="60">
        <v>11830</v>
      </c>
      <c r="G22" s="60">
        <v>0</v>
      </c>
      <c r="H22" s="60">
        <v>0</v>
      </c>
      <c r="I22" s="48"/>
      <c r="J22" s="48"/>
      <c r="K22" s="462">
        <f t="shared" ref="K22:K23" si="12">J22-I22</f>
        <v>0</v>
      </c>
      <c r="L22" s="60">
        <v>0</v>
      </c>
      <c r="M22" s="267">
        <v>22</v>
      </c>
      <c r="N22" s="60">
        <v>0</v>
      </c>
      <c r="O22" s="463">
        <v>0.90680000000000005</v>
      </c>
      <c r="P22" s="465"/>
      <c r="Q22" s="131"/>
      <c r="R22" s="60"/>
    </row>
    <row r="23" spans="1:18">
      <c r="A23" s="44">
        <f>Headcount!A24</f>
        <v>20</v>
      </c>
      <c r="B23" s="345">
        <f t="shared" si="9"/>
        <v>6533.3299999999872</v>
      </c>
      <c r="C23" s="53">
        <f t="shared" si="1"/>
        <v>97999.950000000012</v>
      </c>
      <c r="D23" s="53">
        <f t="shared" si="10"/>
        <v>98642</v>
      </c>
      <c r="E23" s="54">
        <f t="shared" si="11"/>
        <v>9389</v>
      </c>
      <c r="F23" s="60">
        <v>9389</v>
      </c>
      <c r="G23" s="60">
        <v>0</v>
      </c>
      <c r="H23" s="60">
        <v>0</v>
      </c>
      <c r="I23" s="48"/>
      <c r="J23" s="48"/>
      <c r="K23" s="462">
        <f t="shared" si="12"/>
        <v>0</v>
      </c>
      <c r="L23" s="60">
        <v>0</v>
      </c>
      <c r="M23" s="267">
        <v>4</v>
      </c>
      <c r="N23" s="60">
        <v>0</v>
      </c>
      <c r="O23" s="463">
        <v>0.88570000000000004</v>
      </c>
      <c r="P23" s="480"/>
      <c r="Q23" s="131"/>
      <c r="R23" s="60"/>
    </row>
    <row r="24" spans="1:18">
      <c r="A24" s="44"/>
      <c r="B24" s="345"/>
      <c r="C24" s="53"/>
      <c r="D24" s="53"/>
      <c r="E24" s="54"/>
      <c r="F24" s="60"/>
      <c r="G24" s="60"/>
      <c r="H24" s="60"/>
      <c r="I24" s="48"/>
      <c r="J24" s="48"/>
      <c r="K24" s="462"/>
      <c r="L24" s="60"/>
      <c r="M24" s="60"/>
      <c r="N24" s="60"/>
      <c r="O24" s="131"/>
      <c r="P24" s="465"/>
      <c r="Q24" s="131"/>
      <c r="R24" s="60"/>
    </row>
    <row r="25" spans="1:18">
      <c r="A25" s="44"/>
      <c r="B25" s="345"/>
      <c r="C25" s="53"/>
      <c r="D25" s="53"/>
      <c r="E25" s="54"/>
      <c r="F25" s="60"/>
      <c r="G25" s="60"/>
      <c r="H25" s="60"/>
      <c r="I25" s="48"/>
      <c r="J25" s="48"/>
      <c r="K25" s="462"/>
      <c r="L25" s="60"/>
      <c r="M25" s="60"/>
      <c r="N25" s="60"/>
      <c r="O25" s="131"/>
      <c r="P25" s="465"/>
      <c r="Q25" s="131"/>
      <c r="R25" s="60"/>
    </row>
    <row r="26" spans="1:18">
      <c r="A26" s="44"/>
      <c r="B26" s="345"/>
      <c r="C26" s="53"/>
      <c r="D26" s="53"/>
      <c r="E26" s="54"/>
      <c r="F26" s="60"/>
      <c r="G26" s="60"/>
      <c r="H26" s="60"/>
      <c r="I26" s="48"/>
      <c r="J26" s="48"/>
      <c r="K26" s="462"/>
      <c r="L26" s="60"/>
      <c r="M26" s="60"/>
      <c r="N26" s="60"/>
      <c r="O26" s="131"/>
      <c r="P26" s="465"/>
      <c r="Q26" s="131"/>
      <c r="R26" s="60"/>
    </row>
    <row r="27" spans="1:18">
      <c r="A27" s="44"/>
      <c r="B27" s="345"/>
      <c r="C27" s="53"/>
      <c r="D27" s="53"/>
      <c r="E27" s="54"/>
      <c r="F27" s="60"/>
      <c r="G27" s="60"/>
      <c r="H27" s="60"/>
      <c r="I27" s="48"/>
      <c r="J27" s="48"/>
      <c r="K27" s="462"/>
      <c r="L27" s="60"/>
      <c r="M27" s="60"/>
      <c r="N27" s="60"/>
      <c r="O27" s="131"/>
      <c r="P27" s="465"/>
      <c r="Q27" s="131"/>
      <c r="R27" s="60"/>
    </row>
    <row r="28" spans="1:18" ht="14.45" customHeight="1">
      <c r="A28" s="44"/>
      <c r="B28" s="345"/>
      <c r="C28" s="53"/>
      <c r="D28" s="53"/>
      <c r="E28" s="54"/>
      <c r="F28" s="60"/>
      <c r="G28" s="60"/>
      <c r="H28" s="60"/>
      <c r="I28" s="48"/>
      <c r="J28" s="48"/>
      <c r="K28" s="462"/>
      <c r="L28" s="60"/>
      <c r="M28" s="60"/>
      <c r="N28" s="60"/>
      <c r="O28" s="131"/>
      <c r="P28" s="465"/>
      <c r="Q28" s="131"/>
      <c r="R28" s="60"/>
    </row>
    <row r="29" spans="1:18">
      <c r="A29" s="44"/>
      <c r="B29" s="345"/>
      <c r="C29" s="53"/>
      <c r="D29" s="53"/>
      <c r="E29" s="54"/>
      <c r="F29" s="60"/>
      <c r="G29" s="60"/>
      <c r="H29" s="60"/>
      <c r="I29" s="48"/>
      <c r="J29" s="48"/>
      <c r="K29" s="48"/>
      <c r="L29" s="60"/>
      <c r="M29" s="60"/>
      <c r="N29" s="60"/>
      <c r="O29" s="131"/>
      <c r="P29" s="68"/>
      <c r="Q29" s="131"/>
      <c r="R29" s="60"/>
    </row>
    <row r="30" spans="1:18">
      <c r="A30" s="44"/>
      <c r="B30" s="345"/>
      <c r="C30" s="53"/>
      <c r="D30" s="53"/>
      <c r="E30" s="54"/>
      <c r="F30" s="60"/>
      <c r="G30" s="60"/>
      <c r="H30" s="60"/>
      <c r="I30" s="48"/>
      <c r="J30" s="48"/>
      <c r="K30" s="48"/>
      <c r="L30" s="60"/>
      <c r="M30" s="60"/>
      <c r="N30" s="60"/>
      <c r="O30" s="131"/>
      <c r="P30" s="68"/>
      <c r="Q30" s="242"/>
      <c r="R30" s="218"/>
    </row>
    <row r="31" spans="1:18">
      <c r="A31" s="219" t="s">
        <v>107</v>
      </c>
      <c r="B31" s="226"/>
      <c r="C31" s="227">
        <f>C7*C5</f>
        <v>97999.95</v>
      </c>
      <c r="D31" s="227"/>
      <c r="E31" s="228">
        <f>SUM(E9:E29)</f>
        <v>98642</v>
      </c>
      <c r="F31" s="229"/>
      <c r="G31" s="229"/>
      <c r="H31" s="229"/>
      <c r="I31" s="240"/>
      <c r="J31" s="240"/>
      <c r="K31" s="240"/>
      <c r="L31" s="229">
        <f>SUM(L9:L30)</f>
        <v>0</v>
      </c>
      <c r="M31" s="229">
        <f>SUM(M9:M30)</f>
        <v>66</v>
      </c>
      <c r="N31" s="229">
        <f>SUM(N9:N30)</f>
        <v>12</v>
      </c>
      <c r="O31" s="244">
        <f>AVERAGE(O9:O30)</f>
        <v>0.95435999999999999</v>
      </c>
      <c r="P31" s="249"/>
      <c r="Q31" s="244" t="e">
        <f>AVERAGE(Q9:Q30)</f>
        <v>#DIV/0!</v>
      </c>
      <c r="R31" s="225"/>
    </row>
    <row r="32" spans="1:18">
      <c r="M32" s="398">
        <f>M31+N31</f>
        <v>78</v>
      </c>
      <c r="N32" s="398"/>
    </row>
  </sheetData>
  <mergeCells count="6">
    <mergeCell ref="G1:I1"/>
    <mergeCell ref="J1:R2"/>
    <mergeCell ref="G2:I2"/>
    <mergeCell ref="I7:K7"/>
    <mergeCell ref="O7:P7"/>
    <mergeCell ref="Q7:R7"/>
  </mergeCells>
  <conditionalFormatting sqref="G1:I1">
    <cfRule type="cellIs" dxfId="36" priority="11" operator="lessThan">
      <formula>0</formula>
    </cfRule>
  </conditionalFormatting>
  <conditionalFormatting sqref="O9:O31 Q9:Q31">
    <cfRule type="cellIs" dxfId="35" priority="1" operator="lessThan">
      <formula>0.75</formula>
    </cfRule>
  </conditionalFormatting>
  <pageMargins left="0.7" right="0.7" top="0.75" bottom="0.75" header="0.3" footer="0.3"/>
  <pageSetup paperSize="9" scale="5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63B5-4151-4586-BA31-80F6A057582F}">
  <sheetPr>
    <pageSetUpPr fitToPage="1"/>
  </sheetPr>
  <dimension ref="A1:R32"/>
  <sheetViews>
    <sheetView showGridLines="0" zoomScale="85" zoomScaleNormal="85" workbookViewId="0">
      <pane ySplit="2" topLeftCell="A3" activePane="bottomLeft" state="frozen"/>
      <selection activeCell="E1" sqref="E1"/>
      <selection pane="bottomLeft" activeCell="F24" sqref="F24"/>
    </sheetView>
  </sheetViews>
  <sheetFormatPr defaultRowHeight="15"/>
  <cols>
    <col min="2" max="2" width="10.42578125" customWidth="1"/>
    <col min="3" max="3" width="17.42578125" customWidth="1"/>
    <col min="4" max="4" width="16.42578125" customWidth="1"/>
    <col min="5" max="5" width="19.42578125" customWidth="1"/>
    <col min="6" max="6" width="12.42578125" bestFit="1" customWidth="1"/>
    <col min="7" max="14" width="12.42578125" customWidth="1"/>
    <col min="15" max="15" width="10" customWidth="1"/>
    <col min="16" max="16" width="23.85546875" customWidth="1"/>
    <col min="17" max="17" width="14.140625" customWidth="1"/>
  </cols>
  <sheetData>
    <row r="1" spans="1:17" ht="46.5">
      <c r="A1" s="40" t="s">
        <v>194</v>
      </c>
      <c r="B1" s="41"/>
      <c r="C1" s="52" t="s">
        <v>59</v>
      </c>
      <c r="D1" s="41"/>
      <c r="E1" s="41"/>
      <c r="F1" s="41"/>
      <c r="G1" s="502">
        <f>E31-C31</f>
        <v>38</v>
      </c>
      <c r="H1" s="502"/>
      <c r="I1" s="502"/>
      <c r="J1" s="515"/>
      <c r="K1" s="508"/>
      <c r="L1" s="508"/>
      <c r="M1" s="508"/>
      <c r="N1" s="508"/>
      <c r="O1" s="508"/>
      <c r="P1" s="508"/>
    </row>
    <row r="2" spans="1:17" ht="46.5">
      <c r="A2" s="40" t="s">
        <v>195</v>
      </c>
      <c r="B2" s="41"/>
      <c r="C2" s="52"/>
      <c r="D2" s="41"/>
      <c r="E2" s="41"/>
      <c r="F2" s="41"/>
      <c r="G2" s="503"/>
      <c r="H2" s="503"/>
      <c r="I2" s="503"/>
      <c r="J2" s="508"/>
      <c r="K2" s="508"/>
      <c r="L2" s="508"/>
      <c r="M2" s="508"/>
      <c r="N2" s="508"/>
      <c r="O2" s="508"/>
      <c r="P2" s="508"/>
    </row>
    <row r="4" spans="1:17">
      <c r="E4" s="65"/>
    </row>
    <row r="5" spans="1:17">
      <c r="B5" s="23" t="s">
        <v>112</v>
      </c>
      <c r="C5" s="277">
        <v>3600</v>
      </c>
      <c r="E5" s="4">
        <f>D23/C23</f>
        <v>1.0007037037037037</v>
      </c>
    </row>
    <row r="6" spans="1:17">
      <c r="B6" s="273" t="s">
        <v>39</v>
      </c>
      <c r="C6" s="23">
        <f>Headcount!F7</f>
        <v>15</v>
      </c>
      <c r="D6" s="4"/>
      <c r="E6" s="4"/>
      <c r="O6" s="22"/>
    </row>
    <row r="7" spans="1:17">
      <c r="B7" s="23" t="s">
        <v>40</v>
      </c>
      <c r="C7" s="23">
        <f>Headcount!F8</f>
        <v>15</v>
      </c>
      <c r="I7" s="507" t="s">
        <v>113</v>
      </c>
      <c r="J7" s="507"/>
      <c r="K7" s="507"/>
      <c r="O7" s="507" t="s">
        <v>182</v>
      </c>
      <c r="P7" s="507"/>
    </row>
    <row r="8" spans="1:17" ht="48">
      <c r="A8" s="42" t="s">
        <v>42</v>
      </c>
      <c r="B8" s="43" t="s">
        <v>177</v>
      </c>
      <c r="C8" s="42" t="s">
        <v>178</v>
      </c>
      <c r="D8" s="42" t="s">
        <v>179</v>
      </c>
      <c r="E8" s="51" t="s">
        <v>117</v>
      </c>
      <c r="F8" s="42" t="s">
        <v>183</v>
      </c>
      <c r="G8" s="42" t="s">
        <v>184</v>
      </c>
      <c r="H8" s="42" t="s">
        <v>185</v>
      </c>
      <c r="I8" s="42" t="s">
        <v>118</v>
      </c>
      <c r="J8" s="42" t="s">
        <v>119</v>
      </c>
      <c r="K8" s="42" t="s">
        <v>120</v>
      </c>
      <c r="L8" s="285" t="s">
        <v>152</v>
      </c>
      <c r="M8" s="394" t="s">
        <v>173</v>
      </c>
      <c r="N8" s="394" t="s">
        <v>190</v>
      </c>
      <c r="O8" s="67" t="s">
        <v>186</v>
      </c>
      <c r="P8" s="67" t="s">
        <v>123</v>
      </c>
    </row>
    <row r="9" spans="1:17" ht="13.9" customHeight="1">
      <c r="A9" s="44">
        <f>Headcount!A10</f>
        <v>2</v>
      </c>
      <c r="B9" s="341">
        <f>C5*C6</f>
        <v>54000</v>
      </c>
      <c r="C9" s="338">
        <f>C5</f>
        <v>3600</v>
      </c>
      <c r="D9" s="338">
        <f>E9</f>
        <v>2910</v>
      </c>
      <c r="E9" s="302">
        <f t="shared" ref="E9:E23" si="0">F9+G9</f>
        <v>2910</v>
      </c>
      <c r="F9" s="59">
        <v>2910</v>
      </c>
      <c r="G9" s="59">
        <v>0</v>
      </c>
      <c r="H9" s="59">
        <v>0</v>
      </c>
      <c r="I9" s="49"/>
      <c r="J9" s="48"/>
      <c r="K9" s="49">
        <f t="shared" ref="K9:K23" si="1">J9-I9</f>
        <v>0</v>
      </c>
      <c r="L9" s="60">
        <v>0</v>
      </c>
      <c r="M9" s="59">
        <v>1</v>
      </c>
      <c r="N9" s="59">
        <v>2</v>
      </c>
      <c r="O9" s="131">
        <v>1.0228999999999999</v>
      </c>
      <c r="P9" s="69"/>
      <c r="Q9" s="477"/>
    </row>
    <row r="10" spans="1:17">
      <c r="A10" s="44">
        <f>Headcount!A11</f>
        <v>3</v>
      </c>
      <c r="B10" s="345">
        <f t="shared" ref="B10:B23" si="2">$B$9-C9</f>
        <v>50400</v>
      </c>
      <c r="C10" s="53">
        <f t="shared" ref="C10:C23" si="3">C9+$C$5</f>
        <v>7200</v>
      </c>
      <c r="D10" s="53">
        <f t="shared" ref="D10:D23" si="4">IF(E10="",0,D9+E10)</f>
        <v>7324</v>
      </c>
      <c r="E10" s="54">
        <f t="shared" si="0"/>
        <v>4414</v>
      </c>
      <c r="F10" s="60">
        <v>4414</v>
      </c>
      <c r="G10" s="60">
        <v>0</v>
      </c>
      <c r="H10" s="60">
        <v>0</v>
      </c>
      <c r="I10" s="48"/>
      <c r="J10" s="48"/>
      <c r="K10" s="48">
        <f t="shared" si="1"/>
        <v>0</v>
      </c>
      <c r="L10" s="60">
        <v>0</v>
      </c>
      <c r="M10" s="60">
        <v>1</v>
      </c>
      <c r="N10" s="60">
        <v>2</v>
      </c>
      <c r="O10" s="131">
        <v>1.0529999999999999</v>
      </c>
      <c r="P10" s="68"/>
      <c r="Q10" s="477"/>
    </row>
    <row r="11" spans="1:17" ht="24">
      <c r="A11" s="44">
        <f>Headcount!A12</f>
        <v>4</v>
      </c>
      <c r="B11" s="345">
        <f t="shared" si="2"/>
        <v>46800</v>
      </c>
      <c r="C11" s="53">
        <f t="shared" si="3"/>
        <v>10800</v>
      </c>
      <c r="D11" s="53">
        <f t="shared" si="4"/>
        <v>11180</v>
      </c>
      <c r="E11" s="54">
        <f t="shared" si="0"/>
        <v>3856</v>
      </c>
      <c r="F11" s="60">
        <v>3856</v>
      </c>
      <c r="G11" s="60">
        <v>0</v>
      </c>
      <c r="H11" s="60">
        <v>0</v>
      </c>
      <c r="I11" s="48"/>
      <c r="J11" s="48"/>
      <c r="K11" s="48">
        <f t="shared" si="1"/>
        <v>0</v>
      </c>
      <c r="L11" s="60">
        <v>0</v>
      </c>
      <c r="M11" s="60">
        <v>5</v>
      </c>
      <c r="N11" s="60">
        <v>5</v>
      </c>
      <c r="O11" s="131">
        <v>0.92630000000000001</v>
      </c>
      <c r="P11" s="68" t="s">
        <v>196</v>
      </c>
      <c r="Q11" s="477"/>
    </row>
    <row r="12" spans="1:17">
      <c r="A12" s="44">
        <f>Headcount!A13</f>
        <v>5</v>
      </c>
      <c r="B12" s="345">
        <f t="shared" si="2"/>
        <v>43200</v>
      </c>
      <c r="C12" s="53">
        <f t="shared" si="3"/>
        <v>14400</v>
      </c>
      <c r="D12" s="53">
        <f t="shared" si="4"/>
        <v>15292</v>
      </c>
      <c r="E12" s="54">
        <f t="shared" si="0"/>
        <v>4112</v>
      </c>
      <c r="F12" s="60">
        <v>4112</v>
      </c>
      <c r="G12" s="60">
        <v>0</v>
      </c>
      <c r="H12" s="60">
        <v>0</v>
      </c>
      <c r="I12" s="48"/>
      <c r="J12" s="48"/>
      <c r="K12" s="48">
        <f t="shared" si="1"/>
        <v>0</v>
      </c>
      <c r="L12" s="60">
        <v>0</v>
      </c>
      <c r="M12" s="60">
        <v>0</v>
      </c>
      <c r="N12" s="60">
        <v>2</v>
      </c>
      <c r="O12" s="131">
        <v>1.0018</v>
      </c>
      <c r="P12" s="77"/>
      <c r="Q12" s="477"/>
    </row>
    <row r="13" spans="1:17">
      <c r="A13" s="44">
        <f>Headcount!A14</f>
        <v>6</v>
      </c>
      <c r="B13" s="345">
        <f t="shared" si="2"/>
        <v>39600</v>
      </c>
      <c r="C13" s="53">
        <f t="shared" si="3"/>
        <v>18000</v>
      </c>
      <c r="D13" s="53">
        <f t="shared" si="4"/>
        <v>20804</v>
      </c>
      <c r="E13" s="54">
        <f t="shared" si="0"/>
        <v>5512</v>
      </c>
      <c r="F13" s="60">
        <v>5512</v>
      </c>
      <c r="G13" s="60">
        <v>0</v>
      </c>
      <c r="H13" s="60">
        <v>0</v>
      </c>
      <c r="I13" s="48"/>
      <c r="J13" s="48"/>
      <c r="K13" s="48">
        <f t="shared" si="1"/>
        <v>0</v>
      </c>
      <c r="L13" s="60">
        <v>2</v>
      </c>
      <c r="M13" s="60">
        <v>0</v>
      </c>
      <c r="N13" s="60">
        <v>1</v>
      </c>
      <c r="O13" s="131">
        <v>1.0078</v>
      </c>
      <c r="P13" s="77"/>
      <c r="Q13" s="481"/>
    </row>
    <row r="14" spans="1:17" ht="14.25" customHeight="1">
      <c r="A14" s="44">
        <f>Headcount!A15</f>
        <v>9</v>
      </c>
      <c r="B14" s="345">
        <f t="shared" si="2"/>
        <v>36000</v>
      </c>
      <c r="C14" s="53">
        <f t="shared" si="3"/>
        <v>21600</v>
      </c>
      <c r="D14" s="53">
        <f t="shared" si="4"/>
        <v>26783</v>
      </c>
      <c r="E14" s="54">
        <f t="shared" si="0"/>
        <v>5979</v>
      </c>
      <c r="F14" s="60">
        <v>5979</v>
      </c>
      <c r="G14" s="60">
        <v>0</v>
      </c>
      <c r="H14" s="60">
        <v>0</v>
      </c>
      <c r="I14" s="48"/>
      <c r="J14" s="48"/>
      <c r="K14" s="48">
        <f t="shared" si="1"/>
        <v>0</v>
      </c>
      <c r="L14" s="60">
        <v>0</v>
      </c>
      <c r="M14" s="60">
        <v>0</v>
      </c>
      <c r="N14" s="60">
        <v>1</v>
      </c>
      <c r="O14" s="131">
        <v>1.0632999999999999</v>
      </c>
      <c r="P14" s="77"/>
      <c r="Q14" s="478"/>
    </row>
    <row r="15" spans="1:17">
      <c r="A15" s="44">
        <f>Headcount!A16</f>
        <v>10</v>
      </c>
      <c r="B15" s="345">
        <f t="shared" si="2"/>
        <v>32400</v>
      </c>
      <c r="C15" s="53">
        <f t="shared" si="3"/>
        <v>25200</v>
      </c>
      <c r="D15" s="53">
        <f t="shared" si="4"/>
        <v>33288</v>
      </c>
      <c r="E15" s="54">
        <f t="shared" si="0"/>
        <v>6505</v>
      </c>
      <c r="F15" s="60">
        <v>6505</v>
      </c>
      <c r="G15" s="60">
        <v>0</v>
      </c>
      <c r="H15" s="60">
        <v>0</v>
      </c>
      <c r="I15" s="48"/>
      <c r="J15" s="48"/>
      <c r="K15" s="48">
        <f t="shared" si="1"/>
        <v>0</v>
      </c>
      <c r="L15" s="60">
        <v>0</v>
      </c>
      <c r="M15" s="60">
        <v>0</v>
      </c>
      <c r="N15" s="60">
        <v>5</v>
      </c>
      <c r="O15" s="131">
        <v>1.0926</v>
      </c>
      <c r="P15" s="77"/>
      <c r="Q15" s="478"/>
    </row>
    <row r="16" spans="1:17" ht="14.25" customHeight="1">
      <c r="A16" s="44">
        <f>Headcount!A17</f>
        <v>11</v>
      </c>
      <c r="B16" s="345">
        <f t="shared" si="2"/>
        <v>28800</v>
      </c>
      <c r="C16" s="53">
        <f t="shared" si="3"/>
        <v>28800</v>
      </c>
      <c r="D16" s="53">
        <f t="shared" si="4"/>
        <v>38335</v>
      </c>
      <c r="E16" s="54">
        <f t="shared" si="0"/>
        <v>5047</v>
      </c>
      <c r="F16" s="60">
        <v>5047</v>
      </c>
      <c r="G16" s="60">
        <v>0</v>
      </c>
      <c r="H16" s="60">
        <v>0</v>
      </c>
      <c r="I16" s="48"/>
      <c r="J16" s="48"/>
      <c r="K16" s="48">
        <f t="shared" si="1"/>
        <v>0</v>
      </c>
      <c r="L16" s="60">
        <v>1</v>
      </c>
      <c r="M16" s="60">
        <v>0</v>
      </c>
      <c r="N16" s="60">
        <v>2</v>
      </c>
      <c r="O16" s="131">
        <v>1.0767</v>
      </c>
      <c r="P16" s="77"/>
      <c r="Q16" s="478"/>
    </row>
    <row r="17" spans="1:18">
      <c r="A17" s="44">
        <f>Headcount!A18</f>
        <v>12</v>
      </c>
      <c r="B17" s="345">
        <f t="shared" si="2"/>
        <v>25200</v>
      </c>
      <c r="C17" s="53">
        <f t="shared" si="3"/>
        <v>32400</v>
      </c>
      <c r="D17" s="53">
        <f t="shared" si="4"/>
        <v>41153</v>
      </c>
      <c r="E17" s="54">
        <f t="shared" si="0"/>
        <v>2818</v>
      </c>
      <c r="F17" s="60">
        <v>2818</v>
      </c>
      <c r="G17" s="60">
        <v>0</v>
      </c>
      <c r="H17" s="60">
        <v>0</v>
      </c>
      <c r="I17" s="48"/>
      <c r="J17" s="48"/>
      <c r="K17" s="48">
        <f t="shared" si="1"/>
        <v>0</v>
      </c>
      <c r="L17" s="60">
        <v>0</v>
      </c>
      <c r="M17" s="60">
        <v>0</v>
      </c>
      <c r="N17" s="60">
        <v>3</v>
      </c>
      <c r="O17" s="131">
        <v>0.86870000000000003</v>
      </c>
      <c r="P17" s="77"/>
      <c r="Q17" s="478"/>
    </row>
    <row r="18" spans="1:18" ht="14.25" customHeight="1">
      <c r="A18" s="44">
        <f>Headcount!A19</f>
        <v>13</v>
      </c>
      <c r="B18" s="345">
        <f t="shared" si="2"/>
        <v>21600</v>
      </c>
      <c r="C18" s="53">
        <f t="shared" si="3"/>
        <v>36000</v>
      </c>
      <c r="D18" s="53">
        <f t="shared" si="4"/>
        <v>43407</v>
      </c>
      <c r="E18" s="54">
        <f t="shared" si="0"/>
        <v>2254</v>
      </c>
      <c r="F18" s="60">
        <v>2254</v>
      </c>
      <c r="G18" s="60">
        <v>0</v>
      </c>
      <c r="H18" s="60">
        <v>0</v>
      </c>
      <c r="I18" s="48"/>
      <c r="J18" s="48"/>
      <c r="K18" s="48">
        <f t="shared" si="1"/>
        <v>0</v>
      </c>
      <c r="L18" s="218">
        <v>0</v>
      </c>
      <c r="M18" s="218">
        <v>4</v>
      </c>
      <c r="N18" s="218">
        <v>1</v>
      </c>
      <c r="O18" s="242">
        <v>0.95540000000000003</v>
      </c>
      <c r="P18" s="77"/>
      <c r="Q18" s="478"/>
    </row>
    <row r="19" spans="1:18" ht="14.25" customHeight="1">
      <c r="A19" s="44">
        <f>Headcount!A20</f>
        <v>16</v>
      </c>
      <c r="B19" s="345">
        <f t="shared" si="2"/>
        <v>18000</v>
      </c>
      <c r="C19" s="53">
        <f t="shared" si="3"/>
        <v>39600</v>
      </c>
      <c r="D19" s="53">
        <f t="shared" si="4"/>
        <v>45747</v>
      </c>
      <c r="E19" s="54">
        <f t="shared" si="0"/>
        <v>2340</v>
      </c>
      <c r="F19" s="60">
        <v>2340</v>
      </c>
      <c r="G19" s="60">
        <v>0</v>
      </c>
      <c r="H19" s="60">
        <v>0</v>
      </c>
      <c r="I19" s="48"/>
      <c r="J19" s="48"/>
      <c r="K19" s="462">
        <f t="shared" si="1"/>
        <v>0</v>
      </c>
      <c r="L19" s="60">
        <v>0</v>
      </c>
      <c r="M19" s="60">
        <v>1</v>
      </c>
      <c r="N19" s="267">
        <v>5</v>
      </c>
      <c r="O19" s="131">
        <v>0.81020000000000003</v>
      </c>
      <c r="P19" s="465"/>
      <c r="Q19" s="478"/>
      <c r="R19" s="300"/>
    </row>
    <row r="20" spans="1:18" ht="14.25" customHeight="1">
      <c r="A20" s="44">
        <f>Headcount!A21</f>
        <v>17</v>
      </c>
      <c r="B20" s="345">
        <f t="shared" si="2"/>
        <v>14400</v>
      </c>
      <c r="C20" s="53">
        <f t="shared" si="3"/>
        <v>43200</v>
      </c>
      <c r="D20" s="53">
        <f t="shared" si="4"/>
        <v>50033</v>
      </c>
      <c r="E20" s="54">
        <f t="shared" si="0"/>
        <v>4286</v>
      </c>
      <c r="F20" s="60">
        <v>4286</v>
      </c>
      <c r="G20" s="60">
        <v>0</v>
      </c>
      <c r="H20" s="60">
        <v>0</v>
      </c>
      <c r="I20" s="48"/>
      <c r="J20" s="48"/>
      <c r="K20" s="462">
        <f t="shared" si="1"/>
        <v>0</v>
      </c>
      <c r="L20" s="60">
        <v>0</v>
      </c>
      <c r="M20" s="60">
        <v>3</v>
      </c>
      <c r="N20" s="267">
        <v>2</v>
      </c>
      <c r="O20" s="131">
        <v>0.88660000000000005</v>
      </c>
      <c r="P20" s="465"/>
      <c r="Q20" s="478"/>
    </row>
    <row r="21" spans="1:18" ht="14.25" customHeight="1">
      <c r="A21" s="44">
        <f>Headcount!A22</f>
        <v>18</v>
      </c>
      <c r="B21" s="345">
        <f t="shared" si="2"/>
        <v>10800</v>
      </c>
      <c r="C21" s="53">
        <f t="shared" si="3"/>
        <v>46800</v>
      </c>
      <c r="D21" s="53">
        <f t="shared" si="4"/>
        <v>52873</v>
      </c>
      <c r="E21" s="54">
        <f t="shared" si="0"/>
        <v>2840</v>
      </c>
      <c r="F21" s="60">
        <v>2840</v>
      </c>
      <c r="G21" s="60">
        <v>0</v>
      </c>
      <c r="H21" s="60">
        <v>0</v>
      </c>
      <c r="I21" s="48"/>
      <c r="J21" s="48"/>
      <c r="K21" s="462">
        <f t="shared" si="1"/>
        <v>0</v>
      </c>
      <c r="L21" s="60">
        <v>0</v>
      </c>
      <c r="M21" s="60">
        <v>9</v>
      </c>
      <c r="N21" s="267">
        <v>9</v>
      </c>
      <c r="O21" s="131">
        <v>0.8891</v>
      </c>
      <c r="P21" s="465"/>
      <c r="Q21" s="478"/>
    </row>
    <row r="22" spans="1:18" ht="14.25" customHeight="1">
      <c r="A22" s="44">
        <f>Headcount!A23</f>
        <v>19</v>
      </c>
      <c r="B22" s="345">
        <f t="shared" si="2"/>
        <v>7200</v>
      </c>
      <c r="C22" s="53">
        <f t="shared" si="3"/>
        <v>50400</v>
      </c>
      <c r="D22" s="53">
        <f t="shared" si="4"/>
        <v>54037</v>
      </c>
      <c r="E22" s="54">
        <f t="shared" si="0"/>
        <v>1164</v>
      </c>
      <c r="F22" s="60">
        <v>1164</v>
      </c>
      <c r="G22" s="60">
        <v>0</v>
      </c>
      <c r="H22" s="60">
        <v>0</v>
      </c>
      <c r="I22" s="48"/>
      <c r="J22" s="48"/>
      <c r="K22" s="462">
        <f t="shared" si="1"/>
        <v>0</v>
      </c>
      <c r="L22" s="60">
        <v>0</v>
      </c>
      <c r="M22" s="60">
        <v>1</v>
      </c>
      <c r="N22" s="267">
        <v>1</v>
      </c>
      <c r="O22" s="131">
        <v>0.91849999999999998</v>
      </c>
      <c r="P22" s="77"/>
      <c r="Q22" s="478"/>
    </row>
    <row r="23" spans="1:18" ht="14.25" customHeight="1">
      <c r="A23" s="44">
        <f>Headcount!A24</f>
        <v>20</v>
      </c>
      <c r="B23" s="345">
        <f t="shared" si="2"/>
        <v>3600</v>
      </c>
      <c r="C23" s="53">
        <f t="shared" si="3"/>
        <v>54000</v>
      </c>
      <c r="D23" s="53">
        <f t="shared" si="4"/>
        <v>54038</v>
      </c>
      <c r="E23" s="54">
        <f t="shared" si="0"/>
        <v>1</v>
      </c>
      <c r="F23" s="60">
        <v>1</v>
      </c>
      <c r="G23" s="60">
        <v>0</v>
      </c>
      <c r="H23" s="60">
        <v>0</v>
      </c>
      <c r="I23" s="48"/>
      <c r="J23" s="48"/>
      <c r="K23" s="462">
        <f t="shared" si="1"/>
        <v>0</v>
      </c>
      <c r="L23" s="60">
        <v>0</v>
      </c>
      <c r="M23" s="60">
        <v>0</v>
      </c>
      <c r="N23" s="267">
        <v>0</v>
      </c>
      <c r="O23" s="131" t="s">
        <v>88</v>
      </c>
      <c r="P23" s="77"/>
      <c r="Q23" s="478"/>
    </row>
    <row r="24" spans="1:18" ht="14.25" customHeight="1">
      <c r="A24" s="44"/>
      <c r="B24" s="345"/>
      <c r="C24" s="53"/>
      <c r="D24" s="53"/>
      <c r="E24" s="54"/>
      <c r="F24" s="60"/>
      <c r="G24" s="60"/>
      <c r="H24" s="60"/>
      <c r="I24" s="48"/>
      <c r="J24" s="48"/>
      <c r="K24" s="462"/>
      <c r="L24" s="60"/>
      <c r="M24" s="60"/>
      <c r="N24" s="60"/>
      <c r="O24" s="131"/>
      <c r="P24" s="465"/>
      <c r="Q24" s="478"/>
    </row>
    <row r="25" spans="1:18" ht="14.25" customHeight="1">
      <c r="A25" s="44"/>
      <c r="B25" s="345"/>
      <c r="C25" s="53"/>
      <c r="D25" s="53"/>
      <c r="E25" s="54"/>
      <c r="F25" s="60"/>
      <c r="G25" s="60"/>
      <c r="H25" s="60"/>
      <c r="I25" s="48"/>
      <c r="J25" s="48"/>
      <c r="K25" s="462"/>
      <c r="L25" s="60"/>
      <c r="M25" s="60"/>
      <c r="N25" s="60"/>
      <c r="O25" s="131"/>
      <c r="P25" s="465"/>
      <c r="Q25" s="478"/>
    </row>
    <row r="26" spans="1:18" ht="14.45" customHeight="1">
      <c r="A26" s="44"/>
      <c r="B26" s="345"/>
      <c r="C26" s="53"/>
      <c r="D26" s="53"/>
      <c r="E26" s="54"/>
      <c r="F26" s="60"/>
      <c r="G26" s="60"/>
      <c r="H26" s="60"/>
      <c r="I26" s="48"/>
      <c r="J26" s="48"/>
      <c r="K26" s="462"/>
      <c r="L26" s="60"/>
      <c r="M26" s="60"/>
      <c r="N26" s="60"/>
      <c r="O26" s="131"/>
      <c r="P26" s="465"/>
      <c r="Q26" s="478"/>
    </row>
    <row r="27" spans="1:18" ht="14.45" customHeight="1">
      <c r="A27" s="44"/>
      <c r="B27" s="345"/>
      <c r="C27" s="53"/>
      <c r="D27" s="53"/>
      <c r="E27" s="54"/>
      <c r="F27" s="60"/>
      <c r="G27" s="60"/>
      <c r="H27" s="60"/>
      <c r="I27" s="48"/>
      <c r="J27" s="48"/>
      <c r="K27" s="462"/>
      <c r="L27" s="60"/>
      <c r="M27" s="60"/>
      <c r="N27" s="60"/>
      <c r="O27" s="131"/>
      <c r="P27" s="465"/>
      <c r="Q27" s="478"/>
    </row>
    <row r="28" spans="1:18">
      <c r="A28" s="44"/>
      <c r="B28" s="345"/>
      <c r="C28" s="53"/>
      <c r="D28" s="53"/>
      <c r="E28" s="54"/>
      <c r="F28" s="60"/>
      <c r="G28" s="60"/>
      <c r="H28" s="60"/>
      <c r="I28" s="48"/>
      <c r="J28" s="48"/>
      <c r="K28" s="462"/>
      <c r="L28" s="60"/>
      <c r="M28" s="60"/>
      <c r="N28" s="60"/>
      <c r="O28" s="131"/>
      <c r="P28" s="465"/>
      <c r="Q28" s="484"/>
    </row>
    <row r="29" spans="1:18">
      <c r="A29" s="44"/>
      <c r="B29" s="345"/>
      <c r="C29" s="53"/>
      <c r="D29" s="53"/>
      <c r="E29" s="54"/>
      <c r="F29" s="60"/>
      <c r="G29" s="60"/>
      <c r="H29" s="60"/>
      <c r="I29" s="48"/>
      <c r="J29" s="48"/>
      <c r="K29" s="48"/>
      <c r="L29" s="60"/>
      <c r="M29" s="60"/>
      <c r="N29" s="60"/>
      <c r="O29" s="131"/>
      <c r="P29" s="68"/>
    </row>
    <row r="30" spans="1:18" ht="15.75" thickBot="1">
      <c r="A30" s="44"/>
      <c r="B30" s="345"/>
      <c r="C30" s="53"/>
      <c r="D30" s="53"/>
      <c r="E30" s="54"/>
      <c r="F30" s="60"/>
      <c r="G30" s="60"/>
      <c r="H30" s="60"/>
      <c r="I30" s="48"/>
      <c r="J30" s="48"/>
      <c r="K30" s="48"/>
      <c r="L30" s="60"/>
      <c r="M30" s="60"/>
      <c r="N30" s="60"/>
      <c r="O30" s="131"/>
      <c r="P30" s="248"/>
    </row>
    <row r="31" spans="1:18" ht="15.75" thickBot="1">
      <c r="A31" s="219" t="s">
        <v>107</v>
      </c>
      <c r="B31" s="226"/>
      <c r="C31" s="227">
        <f>C7*C5</f>
        <v>54000</v>
      </c>
      <c r="D31" s="227"/>
      <c r="E31" s="228">
        <f>SUM(E9:E29)</f>
        <v>54038</v>
      </c>
      <c r="F31" s="229"/>
      <c r="G31" s="229"/>
      <c r="H31" s="229"/>
      <c r="I31" s="240"/>
      <c r="J31" s="240"/>
      <c r="K31" s="240"/>
      <c r="L31" s="229">
        <f>SUM(L9:L30)</f>
        <v>3</v>
      </c>
      <c r="M31" s="229">
        <f>SUM(M9:M30)</f>
        <v>25</v>
      </c>
      <c r="N31" s="229">
        <f>SUM(N9:N30)</f>
        <v>41</v>
      </c>
      <c r="O31" s="244">
        <f>AVERAGE(O9:O30)</f>
        <v>0.96949285714285705</v>
      </c>
      <c r="P31" s="249"/>
    </row>
    <row r="32" spans="1:18">
      <c r="M32" s="398">
        <f>M31+N31</f>
        <v>66</v>
      </c>
      <c r="N32" s="398"/>
    </row>
  </sheetData>
  <mergeCells count="5">
    <mergeCell ref="G1:I1"/>
    <mergeCell ref="J1:P2"/>
    <mergeCell ref="G2:I2"/>
    <mergeCell ref="I7:K7"/>
    <mergeCell ref="O7:P7"/>
  </mergeCells>
  <conditionalFormatting sqref="G1:I1">
    <cfRule type="cellIs" dxfId="34" priority="2" operator="lessThan">
      <formula>0</formula>
    </cfRule>
  </conditionalFormatting>
  <conditionalFormatting sqref="O9:O31">
    <cfRule type="cellIs" dxfId="33" priority="1" operator="lessThan">
      <formula>0.75</formula>
    </cfRule>
  </conditionalFormatting>
  <pageMargins left="0.7" right="0.7" top="0.75" bottom="0.75" header="0.3" footer="0.3"/>
  <pageSetup paperSize="9" scale="5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Munka16">
    <pageSetUpPr fitToPage="1"/>
  </sheetPr>
  <dimension ref="A1:R32"/>
  <sheetViews>
    <sheetView showGridLines="0" zoomScale="80" zoomScaleNormal="80" workbookViewId="0">
      <pane ySplit="2" topLeftCell="A3" activePane="bottomLeft" state="frozen"/>
      <selection activeCell="D1" sqref="D1"/>
      <selection pane="bottomLeft" activeCell="F24" sqref="F24"/>
    </sheetView>
  </sheetViews>
  <sheetFormatPr defaultRowHeight="15"/>
  <cols>
    <col min="2" max="2" width="16.42578125" customWidth="1"/>
    <col min="3" max="3" width="17.42578125" customWidth="1"/>
    <col min="4" max="4" width="16.42578125" customWidth="1"/>
    <col min="5" max="5" width="19.42578125" customWidth="1"/>
    <col min="6" max="6" width="12.42578125" bestFit="1" customWidth="1"/>
    <col min="7" max="13" width="12.42578125" customWidth="1"/>
    <col min="14" max="14" width="12.42578125" hidden="1" customWidth="1"/>
    <col min="15" max="15" width="10.42578125" customWidth="1"/>
    <col min="16" max="16" width="28.42578125" customWidth="1"/>
    <col min="17" max="17" width="10.42578125" bestFit="1" customWidth="1"/>
    <col min="18" max="18" width="16.42578125" bestFit="1" customWidth="1"/>
  </cols>
  <sheetData>
    <row r="1" spans="1:18" ht="46.5">
      <c r="A1" s="40" t="s">
        <v>110</v>
      </c>
      <c r="B1" s="41"/>
      <c r="C1" s="52" t="s">
        <v>59</v>
      </c>
      <c r="D1" s="41"/>
      <c r="E1" s="41"/>
      <c r="F1" s="41"/>
      <c r="G1" s="502">
        <f>E31-C31</f>
        <v>58.100000000000364</v>
      </c>
      <c r="H1" s="502"/>
      <c r="I1" s="508"/>
      <c r="J1" s="508"/>
      <c r="K1" s="508"/>
      <c r="L1" s="508"/>
      <c r="M1" s="508"/>
      <c r="N1" s="508"/>
      <c r="O1" s="508"/>
      <c r="P1" s="508"/>
      <c r="Q1" s="508"/>
      <c r="R1" s="508"/>
    </row>
    <row r="2" spans="1:18" ht="46.5">
      <c r="A2" s="40" t="s">
        <v>197</v>
      </c>
      <c r="B2" s="41"/>
      <c r="C2" s="52"/>
      <c r="D2" s="41"/>
      <c r="E2" s="41"/>
      <c r="F2" s="41"/>
      <c r="G2" s="503"/>
      <c r="H2" s="503"/>
      <c r="I2" s="508"/>
      <c r="J2" s="508"/>
      <c r="K2" s="508"/>
      <c r="L2" s="508"/>
      <c r="M2" s="508"/>
      <c r="N2" s="508"/>
      <c r="O2" s="508"/>
      <c r="P2" s="508"/>
      <c r="Q2" s="508"/>
      <c r="R2" s="508"/>
    </row>
    <row r="3" spans="1:18">
      <c r="E3" s="65"/>
    </row>
    <row r="4" spans="1:18">
      <c r="E4" s="65"/>
    </row>
    <row r="5" spans="1:18">
      <c r="B5" s="23" t="s">
        <v>112</v>
      </c>
      <c r="C5" s="277">
        <v>526.66</v>
      </c>
      <c r="E5" s="4">
        <f>D23/C23</f>
        <v>1.0073545234749808</v>
      </c>
    </row>
    <row r="6" spans="1:18">
      <c r="B6" s="273" t="s">
        <v>39</v>
      </c>
      <c r="C6" s="23">
        <f>Headcount!F7</f>
        <v>15</v>
      </c>
      <c r="D6" s="4"/>
      <c r="E6" s="4"/>
      <c r="O6" s="22"/>
    </row>
    <row r="7" spans="1:18">
      <c r="B7" s="23" t="s">
        <v>40</v>
      </c>
      <c r="C7" s="23">
        <f>Headcount!F8</f>
        <v>15</v>
      </c>
      <c r="H7" s="507" t="s">
        <v>113</v>
      </c>
      <c r="I7" s="507"/>
      <c r="J7" s="507"/>
      <c r="O7" s="507" t="s">
        <v>182</v>
      </c>
      <c r="P7" s="507"/>
      <c r="Q7" s="546" t="s">
        <v>189</v>
      </c>
      <c r="R7" s="547"/>
    </row>
    <row r="8" spans="1:18" ht="24">
      <c r="A8" s="42" t="s">
        <v>42</v>
      </c>
      <c r="B8" s="43" t="s">
        <v>177</v>
      </c>
      <c r="C8" s="42" t="s">
        <v>178</v>
      </c>
      <c r="D8" s="42" t="s">
        <v>179</v>
      </c>
      <c r="E8" s="51" t="s">
        <v>117</v>
      </c>
      <c r="F8" s="42" t="s">
        <v>183</v>
      </c>
      <c r="G8" s="42" t="s">
        <v>184</v>
      </c>
      <c r="H8" s="42" t="s">
        <v>118</v>
      </c>
      <c r="I8" s="42" t="s">
        <v>119</v>
      </c>
      <c r="J8" s="42" t="s">
        <v>120</v>
      </c>
      <c r="K8" s="42" t="s">
        <v>121</v>
      </c>
      <c r="L8" s="394" t="s">
        <v>173</v>
      </c>
      <c r="M8" s="394" t="s">
        <v>190</v>
      </c>
      <c r="N8" s="42" t="s">
        <v>189</v>
      </c>
      <c r="O8" s="67" t="s">
        <v>122</v>
      </c>
      <c r="P8" s="67" t="s">
        <v>123</v>
      </c>
      <c r="Q8" s="67" t="s">
        <v>122</v>
      </c>
      <c r="R8" s="67" t="s">
        <v>123</v>
      </c>
    </row>
    <row r="9" spans="1:18">
      <c r="A9" s="44">
        <f>Headcount!A10</f>
        <v>2</v>
      </c>
      <c r="B9" s="341">
        <f>C5*C6</f>
        <v>7899.9</v>
      </c>
      <c r="C9" s="338">
        <f>C5</f>
        <v>526.66</v>
      </c>
      <c r="D9" s="338">
        <f>F9</f>
        <v>4397</v>
      </c>
      <c r="E9" s="302">
        <f>F9+G9</f>
        <v>4397</v>
      </c>
      <c r="F9" s="59">
        <v>4397</v>
      </c>
      <c r="G9" s="59">
        <v>0</v>
      </c>
      <c r="H9" s="49">
        <v>1</v>
      </c>
      <c r="I9" s="48"/>
      <c r="J9" s="366">
        <f>I9-H9</f>
        <v>-1</v>
      </c>
      <c r="K9" s="56"/>
      <c r="L9" s="59">
        <v>2</v>
      </c>
      <c r="M9" s="59">
        <v>0</v>
      </c>
      <c r="N9" s="59"/>
      <c r="O9" s="131">
        <v>1.0039</v>
      </c>
      <c r="P9" s="69"/>
      <c r="Q9" s="131"/>
      <c r="R9" s="59"/>
    </row>
    <row r="10" spans="1:18">
      <c r="A10" s="44">
        <f>Headcount!A11</f>
        <v>3</v>
      </c>
      <c r="B10" s="345">
        <f>$B$9-C9</f>
        <v>7373.24</v>
      </c>
      <c r="C10" s="53">
        <f t="shared" ref="C10:C23" si="0">C9+$C$5</f>
        <v>1053.32</v>
      </c>
      <c r="D10" s="53">
        <f t="shared" ref="D10:D21" si="1">IF(F10="",0,D9+F10)</f>
        <v>5597</v>
      </c>
      <c r="E10" s="54">
        <f t="shared" ref="E10:E22" si="2">F10+G10</f>
        <v>1200</v>
      </c>
      <c r="F10" s="60">
        <v>1200</v>
      </c>
      <c r="G10" s="60">
        <v>0</v>
      </c>
      <c r="H10" s="48">
        <v>1</v>
      </c>
      <c r="I10" s="48"/>
      <c r="J10" s="367">
        <f t="shared" ref="J10:J21" si="3">I10-H10</f>
        <v>-1</v>
      </c>
      <c r="K10" s="48"/>
      <c r="L10" s="60">
        <v>0</v>
      </c>
      <c r="M10" s="60">
        <v>0</v>
      </c>
      <c r="N10" s="60"/>
      <c r="O10" s="131">
        <v>1.0097</v>
      </c>
      <c r="P10" s="60"/>
      <c r="Q10" s="131"/>
      <c r="R10" s="60"/>
    </row>
    <row r="11" spans="1:18">
      <c r="A11" s="44">
        <f>Headcount!A12</f>
        <v>4</v>
      </c>
      <c r="B11" s="345">
        <f t="shared" ref="B11:B21" si="4">$B$9-C10</f>
        <v>6846.58</v>
      </c>
      <c r="C11" s="53">
        <f t="shared" si="0"/>
        <v>1579.98</v>
      </c>
      <c r="D11" s="53">
        <f t="shared" si="1"/>
        <v>6797</v>
      </c>
      <c r="E11" s="54">
        <f t="shared" si="2"/>
        <v>1200</v>
      </c>
      <c r="F11" s="60">
        <v>1200</v>
      </c>
      <c r="G11" s="60">
        <v>0</v>
      </c>
      <c r="H11" s="48">
        <v>1</v>
      </c>
      <c r="I11" s="48"/>
      <c r="J11" s="367">
        <f t="shared" si="3"/>
        <v>-1</v>
      </c>
      <c r="K11" s="48"/>
      <c r="L11" s="60">
        <v>0</v>
      </c>
      <c r="M11" s="60">
        <v>0</v>
      </c>
      <c r="N11" s="60"/>
      <c r="O11" s="131">
        <v>1.0097</v>
      </c>
      <c r="P11" s="60"/>
      <c r="Q11" s="131"/>
      <c r="R11" s="60"/>
    </row>
    <row r="12" spans="1:18">
      <c r="A12" s="44">
        <f>Headcount!A13</f>
        <v>5</v>
      </c>
      <c r="B12" s="345">
        <f t="shared" si="4"/>
        <v>6319.92</v>
      </c>
      <c r="C12" s="53">
        <f t="shared" si="0"/>
        <v>2106.64</v>
      </c>
      <c r="D12" s="53">
        <f t="shared" si="1"/>
        <v>7947</v>
      </c>
      <c r="E12" s="54">
        <f t="shared" si="2"/>
        <v>1150</v>
      </c>
      <c r="F12" s="60">
        <v>1150</v>
      </c>
      <c r="G12" s="60">
        <v>0</v>
      </c>
      <c r="H12" s="48">
        <v>1</v>
      </c>
      <c r="I12" s="48"/>
      <c r="J12" s="367">
        <f t="shared" si="3"/>
        <v>-1</v>
      </c>
      <c r="K12" s="48"/>
      <c r="L12" s="60">
        <v>0</v>
      </c>
      <c r="M12" s="60">
        <v>0</v>
      </c>
      <c r="N12" s="60"/>
      <c r="O12" s="131">
        <v>1.0065999999999999</v>
      </c>
      <c r="P12" s="62"/>
      <c r="Q12" s="131"/>
      <c r="R12" s="62"/>
    </row>
    <row r="13" spans="1:18">
      <c r="A13" s="44">
        <f>Headcount!A14</f>
        <v>6</v>
      </c>
      <c r="B13" s="345">
        <f t="shared" si="4"/>
        <v>5793.26</v>
      </c>
      <c r="C13" s="53">
        <f t="shared" si="0"/>
        <v>2633.2999999999997</v>
      </c>
      <c r="D13" s="53">
        <f t="shared" si="1"/>
        <v>7948</v>
      </c>
      <c r="E13" s="54">
        <f t="shared" si="2"/>
        <v>1</v>
      </c>
      <c r="F13" s="60">
        <v>1</v>
      </c>
      <c r="G13" s="60">
        <v>0</v>
      </c>
      <c r="H13" s="48">
        <v>1</v>
      </c>
      <c r="I13" s="48"/>
      <c r="J13" s="367">
        <f t="shared" si="3"/>
        <v>-1</v>
      </c>
      <c r="K13" s="48"/>
      <c r="L13" s="60">
        <v>0</v>
      </c>
      <c r="M13" s="60">
        <v>0</v>
      </c>
      <c r="N13" s="60"/>
      <c r="O13" s="131" t="s">
        <v>88</v>
      </c>
      <c r="P13" s="62"/>
      <c r="Q13" s="131"/>
      <c r="R13" s="77"/>
    </row>
    <row r="14" spans="1:18">
      <c r="A14" s="44">
        <f>Headcount!A15</f>
        <v>9</v>
      </c>
      <c r="B14" s="345">
        <f t="shared" si="4"/>
        <v>5266.6</v>
      </c>
      <c r="C14" s="53">
        <f t="shared" si="0"/>
        <v>3159.9599999999996</v>
      </c>
      <c r="D14" s="53">
        <f t="shared" si="1"/>
        <v>7949</v>
      </c>
      <c r="E14" s="54">
        <f t="shared" si="2"/>
        <v>1</v>
      </c>
      <c r="F14" s="60">
        <v>1</v>
      </c>
      <c r="G14" s="60">
        <v>0</v>
      </c>
      <c r="H14" s="48">
        <v>1</v>
      </c>
      <c r="I14" s="48"/>
      <c r="J14" s="48">
        <f t="shared" si="3"/>
        <v>-1</v>
      </c>
      <c r="K14" s="48"/>
      <c r="L14" s="60">
        <v>0</v>
      </c>
      <c r="M14" s="60">
        <v>0</v>
      </c>
      <c r="N14" s="60"/>
      <c r="O14" s="131" t="s">
        <v>88</v>
      </c>
      <c r="P14" s="62"/>
      <c r="Q14" s="131"/>
      <c r="R14" s="77"/>
    </row>
    <row r="15" spans="1:18">
      <c r="A15" s="44">
        <f>Headcount!A16</f>
        <v>10</v>
      </c>
      <c r="B15" s="345">
        <f t="shared" si="4"/>
        <v>4739.9400000000005</v>
      </c>
      <c r="C15" s="53">
        <f t="shared" si="0"/>
        <v>3686.6199999999994</v>
      </c>
      <c r="D15" s="53">
        <f t="shared" si="1"/>
        <v>7950</v>
      </c>
      <c r="E15" s="54">
        <f t="shared" si="2"/>
        <v>1</v>
      </c>
      <c r="F15" s="60">
        <v>1</v>
      </c>
      <c r="G15" s="60">
        <v>0</v>
      </c>
      <c r="H15" s="48">
        <v>1</v>
      </c>
      <c r="I15" s="48"/>
      <c r="J15" s="48">
        <f t="shared" si="3"/>
        <v>-1</v>
      </c>
      <c r="K15" s="48"/>
      <c r="L15" s="60">
        <v>0</v>
      </c>
      <c r="M15" s="60">
        <v>0</v>
      </c>
      <c r="N15" s="60"/>
      <c r="O15" s="131" t="s">
        <v>88</v>
      </c>
      <c r="P15" s="62"/>
      <c r="Q15" s="131"/>
      <c r="R15" s="62"/>
    </row>
    <row r="16" spans="1:18">
      <c r="A16" s="44">
        <f>Headcount!A17</f>
        <v>11</v>
      </c>
      <c r="B16" s="345">
        <f t="shared" si="4"/>
        <v>4213.2800000000007</v>
      </c>
      <c r="C16" s="53">
        <f t="shared" si="0"/>
        <v>4213.28</v>
      </c>
      <c r="D16" s="53">
        <f t="shared" si="1"/>
        <v>7951</v>
      </c>
      <c r="E16" s="54">
        <f t="shared" si="2"/>
        <v>1</v>
      </c>
      <c r="F16" s="60">
        <v>1</v>
      </c>
      <c r="G16" s="60">
        <v>0</v>
      </c>
      <c r="H16" s="48">
        <v>1</v>
      </c>
      <c r="I16" s="48"/>
      <c r="J16" s="48">
        <f t="shared" si="3"/>
        <v>-1</v>
      </c>
      <c r="K16" s="48"/>
      <c r="L16" s="60">
        <v>0</v>
      </c>
      <c r="M16" s="60">
        <v>0</v>
      </c>
      <c r="N16" s="60"/>
      <c r="O16" s="131" t="s">
        <v>88</v>
      </c>
      <c r="P16" s="62"/>
      <c r="Q16" s="131"/>
      <c r="R16" s="62"/>
    </row>
    <row r="17" spans="1:18">
      <c r="A17" s="44">
        <f>Headcount!A18</f>
        <v>12</v>
      </c>
      <c r="B17" s="345">
        <f t="shared" si="4"/>
        <v>3686.62</v>
      </c>
      <c r="C17" s="53">
        <f t="shared" si="0"/>
        <v>4739.9399999999996</v>
      </c>
      <c r="D17" s="53">
        <f t="shared" si="1"/>
        <v>7952</v>
      </c>
      <c r="E17" s="54">
        <f>F17+G17</f>
        <v>1</v>
      </c>
      <c r="F17" s="60">
        <v>1</v>
      </c>
      <c r="G17" s="60">
        <v>0</v>
      </c>
      <c r="H17" s="48">
        <v>1</v>
      </c>
      <c r="I17" s="48"/>
      <c r="J17" s="48">
        <f t="shared" si="3"/>
        <v>-1</v>
      </c>
      <c r="K17" s="48"/>
      <c r="L17" s="60">
        <v>0</v>
      </c>
      <c r="M17" s="60">
        <v>0</v>
      </c>
      <c r="N17" s="60"/>
      <c r="O17" s="131" t="s">
        <v>88</v>
      </c>
      <c r="P17" s="62"/>
      <c r="Q17" s="61"/>
      <c r="R17" s="62"/>
    </row>
    <row r="18" spans="1:18">
      <c r="A18" s="44">
        <f>Headcount!A19</f>
        <v>13</v>
      </c>
      <c r="B18" s="345">
        <f t="shared" si="4"/>
        <v>3159.96</v>
      </c>
      <c r="C18" s="53">
        <f t="shared" si="0"/>
        <v>5266.5999999999995</v>
      </c>
      <c r="D18" s="53">
        <f t="shared" si="1"/>
        <v>7953</v>
      </c>
      <c r="E18" s="54">
        <f>F18+G18</f>
        <v>1</v>
      </c>
      <c r="F18" s="60">
        <v>1</v>
      </c>
      <c r="G18" s="60">
        <v>0</v>
      </c>
      <c r="H18" s="48">
        <v>1</v>
      </c>
      <c r="I18" s="48"/>
      <c r="J18" s="48">
        <f t="shared" si="3"/>
        <v>-1</v>
      </c>
      <c r="K18" s="48"/>
      <c r="L18" s="60">
        <v>0</v>
      </c>
      <c r="M18" s="60">
        <v>0</v>
      </c>
      <c r="N18" s="218"/>
      <c r="O18" s="242" t="s">
        <v>88</v>
      </c>
      <c r="P18" s="218"/>
      <c r="Q18" s="61"/>
      <c r="R18" s="60"/>
    </row>
    <row r="19" spans="1:18">
      <c r="A19" s="44">
        <f>Headcount!A20</f>
        <v>16</v>
      </c>
      <c r="B19" s="345">
        <f t="shared" si="4"/>
        <v>2633.3</v>
      </c>
      <c r="C19" s="53">
        <f t="shared" si="0"/>
        <v>5793.2599999999993</v>
      </c>
      <c r="D19" s="53">
        <f t="shared" si="1"/>
        <v>7954</v>
      </c>
      <c r="E19" s="54">
        <f t="shared" si="2"/>
        <v>1</v>
      </c>
      <c r="F19" s="60">
        <v>1</v>
      </c>
      <c r="G19" s="60">
        <v>0</v>
      </c>
      <c r="H19" s="48">
        <v>1</v>
      </c>
      <c r="I19" s="48"/>
      <c r="J19" s="48">
        <f t="shared" si="3"/>
        <v>-1</v>
      </c>
      <c r="K19" s="462"/>
      <c r="L19" s="60">
        <v>0</v>
      </c>
      <c r="M19" s="60">
        <v>0</v>
      </c>
      <c r="N19" s="267"/>
      <c r="O19" s="131" t="s">
        <v>88</v>
      </c>
      <c r="P19" s="452"/>
      <c r="Q19" s="467"/>
      <c r="R19" s="60"/>
    </row>
    <row r="20" spans="1:18">
      <c r="A20" s="44">
        <f>Headcount!A21</f>
        <v>17</v>
      </c>
      <c r="B20" s="345">
        <f t="shared" si="4"/>
        <v>2106.6400000000003</v>
      </c>
      <c r="C20" s="53">
        <f t="shared" si="0"/>
        <v>6319.9199999999992</v>
      </c>
      <c r="D20" s="53">
        <f t="shared" si="1"/>
        <v>7955</v>
      </c>
      <c r="E20" s="54">
        <f t="shared" si="2"/>
        <v>1</v>
      </c>
      <c r="F20" s="60">
        <v>1</v>
      </c>
      <c r="G20" s="60">
        <v>0</v>
      </c>
      <c r="H20" s="48">
        <v>1</v>
      </c>
      <c r="I20" s="48"/>
      <c r="J20" s="48">
        <f t="shared" si="3"/>
        <v>-1</v>
      </c>
      <c r="K20" s="462"/>
      <c r="L20" s="60">
        <v>0</v>
      </c>
      <c r="M20" s="60">
        <v>0</v>
      </c>
      <c r="N20" s="267"/>
      <c r="O20" s="131" t="s">
        <v>88</v>
      </c>
      <c r="P20" s="452"/>
      <c r="Q20" s="467"/>
      <c r="R20" s="60"/>
    </row>
    <row r="21" spans="1:18">
      <c r="A21" s="44">
        <f>Headcount!A22</f>
        <v>18</v>
      </c>
      <c r="B21" s="345">
        <f t="shared" si="4"/>
        <v>1579.9800000000005</v>
      </c>
      <c r="C21" s="53">
        <f t="shared" si="0"/>
        <v>6846.579999999999</v>
      </c>
      <c r="D21" s="53">
        <f t="shared" si="1"/>
        <v>7956</v>
      </c>
      <c r="E21" s="54">
        <f t="shared" si="2"/>
        <v>1</v>
      </c>
      <c r="F21" s="60">
        <v>1</v>
      </c>
      <c r="G21" s="60">
        <v>0</v>
      </c>
      <c r="H21" s="48">
        <v>1</v>
      </c>
      <c r="I21" s="48"/>
      <c r="J21" s="48">
        <f t="shared" si="3"/>
        <v>-1</v>
      </c>
      <c r="K21" s="462"/>
      <c r="L21" s="60">
        <v>0</v>
      </c>
      <c r="M21" s="60">
        <v>0</v>
      </c>
      <c r="N21" s="218"/>
      <c r="O21" s="242" t="s">
        <v>88</v>
      </c>
      <c r="P21" s="452"/>
      <c r="Q21" s="467"/>
      <c r="R21" s="60"/>
    </row>
    <row r="22" spans="1:18">
      <c r="A22" s="44">
        <f>Headcount!A23</f>
        <v>19</v>
      </c>
      <c r="B22" s="345">
        <f t="shared" ref="B22:B23" si="5">$B$9-C21</f>
        <v>1053.3200000000006</v>
      </c>
      <c r="C22" s="53">
        <f t="shared" si="0"/>
        <v>7373.2399999999989</v>
      </c>
      <c r="D22" s="53">
        <f t="shared" ref="D22:D23" si="6">IF(F22="",0,D21+F22)</f>
        <v>7957</v>
      </c>
      <c r="E22" s="54">
        <f t="shared" si="2"/>
        <v>1</v>
      </c>
      <c r="F22" s="60">
        <v>1</v>
      </c>
      <c r="G22" s="60">
        <v>0</v>
      </c>
      <c r="H22" s="48">
        <v>1</v>
      </c>
      <c r="I22" s="48"/>
      <c r="J22" s="48">
        <f t="shared" ref="J22:J23" si="7">I22-H22</f>
        <v>-1</v>
      </c>
      <c r="K22" s="462"/>
      <c r="L22" s="60">
        <v>0</v>
      </c>
      <c r="M22" s="60">
        <v>0</v>
      </c>
      <c r="N22" s="267"/>
      <c r="O22" s="131" t="s">
        <v>88</v>
      </c>
      <c r="P22" s="452"/>
      <c r="Q22" s="467"/>
      <c r="R22" s="60"/>
    </row>
    <row r="23" spans="1:18">
      <c r="A23" s="44">
        <f>Headcount!A24</f>
        <v>20</v>
      </c>
      <c r="B23" s="345">
        <f t="shared" si="5"/>
        <v>526.66000000000076</v>
      </c>
      <c r="C23" s="53">
        <f t="shared" si="0"/>
        <v>7899.8999999999987</v>
      </c>
      <c r="D23" s="53">
        <f t="shared" si="6"/>
        <v>7958</v>
      </c>
      <c r="E23" s="54">
        <f t="shared" ref="E23" si="8">F23+G23</f>
        <v>1</v>
      </c>
      <c r="F23" s="60">
        <v>1</v>
      </c>
      <c r="G23" s="60">
        <v>0</v>
      </c>
      <c r="H23" s="48">
        <v>1</v>
      </c>
      <c r="I23" s="48"/>
      <c r="J23" s="48">
        <f t="shared" si="7"/>
        <v>-1</v>
      </c>
      <c r="K23" s="462"/>
      <c r="L23" s="60">
        <v>0</v>
      </c>
      <c r="M23" s="60">
        <v>0</v>
      </c>
      <c r="N23" s="267"/>
      <c r="O23" s="131" t="s">
        <v>88</v>
      </c>
      <c r="P23" s="452"/>
      <c r="Q23" s="467"/>
      <c r="R23" s="60"/>
    </row>
    <row r="24" spans="1:18">
      <c r="A24" s="44"/>
      <c r="B24" s="345"/>
      <c r="C24" s="53"/>
      <c r="D24" s="53"/>
      <c r="E24" s="54"/>
      <c r="F24" s="60"/>
      <c r="G24" s="60"/>
      <c r="H24" s="48"/>
      <c r="I24" s="48"/>
      <c r="J24" s="48"/>
      <c r="K24" s="462"/>
      <c r="L24" s="60"/>
      <c r="M24" s="60"/>
      <c r="N24" s="60"/>
      <c r="O24" s="131"/>
      <c r="P24" s="471"/>
      <c r="Q24" s="61"/>
      <c r="R24" s="60"/>
    </row>
    <row r="25" spans="1:18">
      <c r="A25" s="44"/>
      <c r="B25" s="345"/>
      <c r="C25" s="53"/>
      <c r="D25" s="53"/>
      <c r="E25" s="54"/>
      <c r="F25" s="60"/>
      <c r="G25" s="60"/>
      <c r="H25" s="48"/>
      <c r="I25" s="48"/>
      <c r="J25" s="48"/>
      <c r="K25" s="462"/>
      <c r="L25" s="60"/>
      <c r="M25" s="60"/>
      <c r="N25" s="60"/>
      <c r="O25" s="131"/>
      <c r="P25" s="452"/>
      <c r="Q25" s="61"/>
      <c r="R25" s="60"/>
    </row>
    <row r="26" spans="1:18">
      <c r="A26" s="44"/>
      <c r="B26" s="345"/>
      <c r="C26" s="53"/>
      <c r="D26" s="53"/>
      <c r="E26" s="54"/>
      <c r="F26" s="60"/>
      <c r="G26" s="60"/>
      <c r="H26" s="48"/>
      <c r="I26" s="48"/>
      <c r="J26" s="48"/>
      <c r="K26" s="462"/>
      <c r="L26" s="60"/>
      <c r="M26" s="60"/>
      <c r="N26" s="60"/>
      <c r="O26" s="131"/>
      <c r="P26" s="452"/>
      <c r="Q26" s="61"/>
      <c r="R26" s="60"/>
    </row>
    <row r="27" spans="1:18">
      <c r="A27" s="44"/>
      <c r="B27" s="345"/>
      <c r="C27" s="53"/>
      <c r="D27" s="53"/>
      <c r="E27" s="54"/>
      <c r="F27" s="60"/>
      <c r="G27" s="60"/>
      <c r="H27" s="48"/>
      <c r="I27" s="48"/>
      <c r="J27" s="48"/>
      <c r="K27" s="462"/>
      <c r="L27" s="60"/>
      <c r="M27" s="60"/>
      <c r="N27" s="60"/>
      <c r="O27" s="131"/>
      <c r="P27" s="452"/>
      <c r="Q27" s="61"/>
      <c r="R27" s="60"/>
    </row>
    <row r="28" spans="1:18">
      <c r="A28" s="44"/>
      <c r="B28" s="345"/>
      <c r="C28" s="53"/>
      <c r="D28" s="53"/>
      <c r="E28" s="54"/>
      <c r="F28" s="60"/>
      <c r="G28" s="60"/>
      <c r="H28" s="48"/>
      <c r="I28" s="48"/>
      <c r="J28" s="48"/>
      <c r="K28" s="462"/>
      <c r="L28" s="60"/>
      <c r="M28" s="60"/>
      <c r="N28" s="60"/>
      <c r="O28" s="131"/>
      <c r="P28" s="452"/>
      <c r="Q28" s="61"/>
      <c r="R28" s="60"/>
    </row>
    <row r="29" spans="1:18">
      <c r="A29" s="44"/>
      <c r="B29" s="345"/>
      <c r="C29" s="53"/>
      <c r="D29" s="53"/>
      <c r="E29" s="54"/>
      <c r="F29" s="60"/>
      <c r="G29" s="60"/>
      <c r="H29" s="48"/>
      <c r="I29" s="48"/>
      <c r="J29" s="48"/>
      <c r="K29" s="48"/>
      <c r="L29" s="60"/>
      <c r="M29" s="60"/>
      <c r="N29" s="60"/>
      <c r="O29" s="131"/>
      <c r="P29" s="218"/>
      <c r="Q29" s="239"/>
      <c r="R29" s="218"/>
    </row>
    <row r="30" spans="1:18" ht="15.75" thickBot="1">
      <c r="A30" s="44"/>
      <c r="B30" s="345"/>
      <c r="C30" s="53"/>
      <c r="D30" s="53"/>
      <c r="E30" s="54"/>
      <c r="F30" s="60"/>
      <c r="G30" s="60"/>
      <c r="H30" s="48"/>
      <c r="I30" s="48"/>
      <c r="J30" s="48"/>
      <c r="K30" s="48"/>
      <c r="L30" s="60"/>
      <c r="M30" s="60"/>
      <c r="N30" s="60"/>
      <c r="O30" s="131"/>
      <c r="P30" s="218"/>
      <c r="Q30" s="239"/>
      <c r="R30" s="218"/>
    </row>
    <row r="31" spans="1:18" ht="15.75" thickBot="1">
      <c r="A31" s="219" t="s">
        <v>107</v>
      </c>
      <c r="B31" s="226"/>
      <c r="C31" s="227">
        <f>C7*C5</f>
        <v>7899.9</v>
      </c>
      <c r="D31" s="227"/>
      <c r="E31" s="228">
        <f>SUM(E9:E28)</f>
        <v>7958</v>
      </c>
      <c r="F31" s="229"/>
      <c r="G31" s="229"/>
      <c r="H31" s="240"/>
      <c r="I31" s="240"/>
      <c r="J31" s="240"/>
      <c r="K31" s="240"/>
      <c r="L31" s="229">
        <f>SUM(L9:L30)</f>
        <v>2</v>
      </c>
      <c r="M31" s="229">
        <f>SUM(M9:N30)</f>
        <v>0</v>
      </c>
      <c r="N31" s="229"/>
      <c r="O31" s="244">
        <f>AVERAGE(O9:O30)</f>
        <v>1.0074750000000001</v>
      </c>
      <c r="P31" s="229"/>
      <c r="Q31" s="241"/>
      <c r="R31" s="225"/>
    </row>
    <row r="32" spans="1:18">
      <c r="L32" s="398">
        <f>L31+M31</f>
        <v>2</v>
      </c>
      <c r="M32" s="398"/>
    </row>
  </sheetData>
  <mergeCells count="6">
    <mergeCell ref="G1:H1"/>
    <mergeCell ref="I1:R2"/>
    <mergeCell ref="G2:H2"/>
    <mergeCell ref="H7:J7"/>
    <mergeCell ref="O7:P7"/>
    <mergeCell ref="Q7:R7"/>
  </mergeCells>
  <phoneticPr fontId="79" type="noConversion"/>
  <conditionalFormatting sqref="G1:H1">
    <cfRule type="cellIs" dxfId="32" priority="8" operator="lessThan">
      <formula>0</formula>
    </cfRule>
  </conditionalFormatting>
  <conditionalFormatting sqref="O9:O31 Q9:Q31">
    <cfRule type="cellIs" dxfId="31" priority="1" operator="lessThan">
      <formula>0.75</formula>
    </cfRule>
  </conditionalFormatting>
  <pageMargins left="0.7" right="0.7" top="0.75" bottom="0.75" header="0.3" footer="0.3"/>
  <pageSetup paperSize="9" scale="54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Munka17">
    <pageSetUpPr fitToPage="1"/>
  </sheetPr>
  <dimension ref="A1:X31"/>
  <sheetViews>
    <sheetView showGridLines="0" zoomScaleNormal="100" workbookViewId="0">
      <pane ySplit="2" topLeftCell="A11" activePane="bottomLeft" state="frozen"/>
      <selection pane="bottomLeft" activeCell="H24" sqref="H24"/>
    </sheetView>
  </sheetViews>
  <sheetFormatPr defaultRowHeight="15"/>
  <cols>
    <col min="1" max="1" width="9.42578125" bestFit="1" customWidth="1"/>
    <col min="2" max="2" width="9.42578125" customWidth="1"/>
    <col min="3" max="3" width="17.42578125" bestFit="1" customWidth="1"/>
    <col min="4" max="4" width="14.42578125" customWidth="1"/>
    <col min="5" max="5" width="16.42578125" customWidth="1"/>
    <col min="6" max="7" width="13.42578125" customWidth="1"/>
    <col min="8" max="8" width="22.42578125" bestFit="1" customWidth="1"/>
    <col min="9" max="9" width="17.42578125" bestFit="1" customWidth="1"/>
    <col min="16" max="16" width="11.42578125" customWidth="1"/>
  </cols>
  <sheetData>
    <row r="1" spans="1:19" ht="46.5">
      <c r="A1" s="40" t="s">
        <v>198</v>
      </c>
      <c r="B1" s="40"/>
      <c r="C1" s="41"/>
      <c r="D1" s="52" t="s">
        <v>59</v>
      </c>
      <c r="E1" s="41"/>
      <c r="F1" s="41"/>
      <c r="G1" s="41"/>
      <c r="H1" s="41"/>
      <c r="I1" s="502">
        <f>F31-D31</f>
        <v>9220</v>
      </c>
      <c r="J1" s="502"/>
      <c r="K1" s="508" t="s">
        <v>176</v>
      </c>
      <c r="L1" s="508"/>
      <c r="M1" s="508"/>
      <c r="N1" s="508"/>
      <c r="O1" s="508"/>
      <c r="P1" s="508"/>
      <c r="Q1" s="508"/>
      <c r="R1" s="508"/>
      <c r="S1" s="508"/>
    </row>
    <row r="2" spans="1:19" ht="46.5">
      <c r="A2" s="40"/>
      <c r="B2" s="40"/>
      <c r="C2" s="41"/>
      <c r="D2" s="52"/>
      <c r="E2" s="41"/>
      <c r="F2" s="41"/>
      <c r="G2" s="41"/>
      <c r="H2" s="41"/>
      <c r="I2" s="503"/>
      <c r="J2" s="503"/>
      <c r="K2" s="508"/>
      <c r="L2" s="508"/>
      <c r="M2" s="508"/>
      <c r="N2" s="508"/>
      <c r="O2" s="508"/>
      <c r="P2" s="508"/>
      <c r="Q2" s="508"/>
      <c r="R2" s="508"/>
      <c r="S2" s="508"/>
    </row>
    <row r="3" spans="1:19">
      <c r="H3" s="65"/>
    </row>
    <row r="4" spans="1:19">
      <c r="H4" s="65"/>
    </row>
    <row r="5" spans="1:19">
      <c r="D5" s="23" t="s">
        <v>68</v>
      </c>
      <c r="E5" s="278">
        <f>('PlanFollow (Factory out)'!B34*1000)/'KFT Output_Bundling'!E6</f>
        <v>16410.733333333334</v>
      </c>
      <c r="F5" s="65"/>
      <c r="G5" s="65"/>
      <c r="H5" s="4">
        <f>E23/D23</f>
        <v>1.0374551614593699</v>
      </c>
    </row>
    <row r="6" spans="1:19">
      <c r="D6" s="273" t="s">
        <v>39</v>
      </c>
      <c r="E6" s="23">
        <f>Headcount!F7</f>
        <v>15</v>
      </c>
      <c r="F6" s="4"/>
      <c r="G6" s="4"/>
      <c r="H6" s="4"/>
    </row>
    <row r="7" spans="1:19">
      <c r="D7" s="23" t="s">
        <v>40</v>
      </c>
      <c r="E7" s="23">
        <f>Headcount!F8</f>
        <v>15</v>
      </c>
      <c r="P7" s="57"/>
      <c r="Q7" s="58"/>
    </row>
    <row r="8" spans="1:19" ht="36">
      <c r="A8" s="42" t="s">
        <v>114</v>
      </c>
      <c r="B8" s="42" t="str">
        <f>D5</f>
        <v>Napi terv / Daily plan</v>
      </c>
      <c r="C8" s="43" t="s">
        <v>177</v>
      </c>
      <c r="D8" s="42" t="s">
        <v>199</v>
      </c>
      <c r="E8" s="42" t="s">
        <v>200</v>
      </c>
      <c r="F8" s="328" t="s">
        <v>201</v>
      </c>
      <c r="G8" s="42" t="s">
        <v>202</v>
      </c>
      <c r="H8" s="42" t="s">
        <v>203</v>
      </c>
    </row>
    <row r="9" spans="1:19">
      <c r="A9" s="44">
        <f>Headcount!A10</f>
        <v>2</v>
      </c>
      <c r="B9" s="340">
        <f>$E$5</f>
        <v>16410.733333333334</v>
      </c>
      <c r="C9" s="341">
        <f>E5*E6</f>
        <v>246161</v>
      </c>
      <c r="D9" s="338">
        <f>E5</f>
        <v>16410.733333333334</v>
      </c>
      <c r="E9" s="338">
        <f>F9</f>
        <v>7174</v>
      </c>
      <c r="F9" s="321">
        <f>H9+G9</f>
        <v>7174</v>
      </c>
      <c r="G9" s="54">
        <v>0</v>
      </c>
      <c r="H9" s="54">
        <v>7174</v>
      </c>
    </row>
    <row r="10" spans="1:19">
      <c r="A10" s="44">
        <f>Headcount!A11</f>
        <v>3</v>
      </c>
      <c r="B10" s="344">
        <f t="shared" ref="B10:B23" si="0">$E$5</f>
        <v>16410.733333333334</v>
      </c>
      <c r="C10" s="345">
        <f t="shared" ref="C10:C21" si="1">$C$9-D9</f>
        <v>229750.26666666666</v>
      </c>
      <c r="D10" s="53">
        <f>D9+$E$5</f>
        <v>32821.466666666667</v>
      </c>
      <c r="E10" s="53">
        <f>IF(E9=0,0,F9+F10)</f>
        <v>13274</v>
      </c>
      <c r="F10" s="321">
        <f>H10+G10</f>
        <v>6100</v>
      </c>
      <c r="G10" s="54">
        <v>0</v>
      </c>
      <c r="H10" s="54">
        <v>6100</v>
      </c>
    </row>
    <row r="11" spans="1:19">
      <c r="A11" s="44">
        <f>Headcount!A12</f>
        <v>4</v>
      </c>
      <c r="B11" s="344">
        <f t="shared" si="0"/>
        <v>16410.733333333334</v>
      </c>
      <c r="C11" s="345">
        <f t="shared" si="1"/>
        <v>213339.53333333333</v>
      </c>
      <c r="D11" s="53">
        <f t="shared" ref="D11:D23" si="2">D10+$E$5</f>
        <v>49232.2</v>
      </c>
      <c r="E11" s="53">
        <f t="shared" ref="E11:E12" si="3">IF(E10="",0,E10+F11)</f>
        <v>30903</v>
      </c>
      <c r="F11" s="321">
        <f>H11+G11</f>
        <v>17629</v>
      </c>
      <c r="G11" s="54">
        <v>0</v>
      </c>
      <c r="H11" s="54">
        <v>17629</v>
      </c>
    </row>
    <row r="12" spans="1:19">
      <c r="A12" s="44">
        <f>Headcount!A13</f>
        <v>5</v>
      </c>
      <c r="B12" s="344">
        <f t="shared" si="0"/>
        <v>16410.733333333334</v>
      </c>
      <c r="C12" s="345">
        <f t="shared" si="1"/>
        <v>196928.8</v>
      </c>
      <c r="D12" s="53">
        <f t="shared" si="2"/>
        <v>65642.933333333334</v>
      </c>
      <c r="E12" s="53">
        <f t="shared" si="3"/>
        <v>56009</v>
      </c>
      <c r="F12" s="321">
        <f t="shared" ref="F12:F23" si="4">H12+G12</f>
        <v>25106</v>
      </c>
      <c r="G12" s="54">
        <v>0</v>
      </c>
      <c r="H12" s="54">
        <v>25106</v>
      </c>
    </row>
    <row r="13" spans="1:19">
      <c r="A13" s="44">
        <f>Headcount!A14</f>
        <v>6</v>
      </c>
      <c r="B13" s="344">
        <f t="shared" si="0"/>
        <v>16410.733333333334</v>
      </c>
      <c r="C13" s="345">
        <f t="shared" si="1"/>
        <v>180518.06666666665</v>
      </c>
      <c r="D13" s="53">
        <f t="shared" si="2"/>
        <v>82053.666666666672</v>
      </c>
      <c r="E13" s="53">
        <f t="shared" ref="E13:E22" si="5">IF(E12="",0,E12+F13)</f>
        <v>69783</v>
      </c>
      <c r="F13" s="321">
        <f t="shared" si="4"/>
        <v>13774</v>
      </c>
      <c r="G13" s="54">
        <v>0</v>
      </c>
      <c r="H13" s="54">
        <v>13774</v>
      </c>
    </row>
    <row r="14" spans="1:19">
      <c r="A14" s="44">
        <f>Headcount!A15</f>
        <v>9</v>
      </c>
      <c r="B14" s="344">
        <f t="shared" si="0"/>
        <v>16410.733333333334</v>
      </c>
      <c r="C14" s="345">
        <f t="shared" si="1"/>
        <v>164107.33333333331</v>
      </c>
      <c r="D14" s="53">
        <f t="shared" si="2"/>
        <v>98464.400000000009</v>
      </c>
      <c r="E14" s="53">
        <f t="shared" si="5"/>
        <v>99018</v>
      </c>
      <c r="F14" s="321">
        <f t="shared" si="4"/>
        <v>29235</v>
      </c>
      <c r="G14" s="54">
        <v>0</v>
      </c>
      <c r="H14" s="54">
        <v>29235</v>
      </c>
    </row>
    <row r="15" spans="1:19">
      <c r="A15" s="44">
        <f>Headcount!A16</f>
        <v>10</v>
      </c>
      <c r="B15" s="344">
        <f t="shared" si="0"/>
        <v>16410.733333333334</v>
      </c>
      <c r="C15" s="345">
        <f t="shared" si="1"/>
        <v>147696.59999999998</v>
      </c>
      <c r="D15" s="53">
        <f t="shared" si="2"/>
        <v>114875.13333333335</v>
      </c>
      <c r="E15" s="53">
        <f t="shared" si="5"/>
        <v>126387</v>
      </c>
      <c r="F15" s="321">
        <f t="shared" si="4"/>
        <v>27369</v>
      </c>
      <c r="G15" s="54">
        <v>0</v>
      </c>
      <c r="H15" s="54">
        <v>27369</v>
      </c>
    </row>
    <row r="16" spans="1:19">
      <c r="A16" s="44">
        <f>Headcount!A17</f>
        <v>11</v>
      </c>
      <c r="B16" s="344">
        <f t="shared" si="0"/>
        <v>16410.733333333334</v>
      </c>
      <c r="C16" s="345">
        <f t="shared" si="1"/>
        <v>131285.86666666664</v>
      </c>
      <c r="D16" s="53">
        <f t="shared" si="2"/>
        <v>131285.86666666667</v>
      </c>
      <c r="E16" s="53">
        <f t="shared" si="5"/>
        <v>154964</v>
      </c>
      <c r="F16" s="321">
        <f t="shared" si="4"/>
        <v>28577</v>
      </c>
      <c r="G16" s="54">
        <v>0</v>
      </c>
      <c r="H16" s="54">
        <v>28577</v>
      </c>
    </row>
    <row r="17" spans="1:24">
      <c r="A17" s="44">
        <f>Headcount!A18</f>
        <v>12</v>
      </c>
      <c r="B17" s="344">
        <f t="shared" si="0"/>
        <v>16410.733333333334</v>
      </c>
      <c r="C17" s="345">
        <f t="shared" si="1"/>
        <v>114875.13333333333</v>
      </c>
      <c r="D17" s="53">
        <f t="shared" si="2"/>
        <v>147696.6</v>
      </c>
      <c r="E17" s="53">
        <f t="shared" si="5"/>
        <v>178199</v>
      </c>
      <c r="F17" s="321">
        <f t="shared" si="4"/>
        <v>23235</v>
      </c>
      <c r="G17" s="54">
        <v>1075</v>
      </c>
      <c r="H17" s="54">
        <v>22160</v>
      </c>
    </row>
    <row r="18" spans="1:24">
      <c r="A18" s="44">
        <f>Headcount!A19</f>
        <v>13</v>
      </c>
      <c r="B18" s="344">
        <f t="shared" si="0"/>
        <v>16410.733333333334</v>
      </c>
      <c r="C18" s="345">
        <f t="shared" si="1"/>
        <v>98464.4</v>
      </c>
      <c r="D18" s="53">
        <f t="shared" si="2"/>
        <v>164107.33333333334</v>
      </c>
      <c r="E18" s="53">
        <f t="shared" si="5"/>
        <v>205337</v>
      </c>
      <c r="F18" s="321">
        <f t="shared" si="4"/>
        <v>27138</v>
      </c>
      <c r="G18" s="54">
        <v>1768</v>
      </c>
      <c r="H18" s="54">
        <v>25370</v>
      </c>
    </row>
    <row r="19" spans="1:24">
      <c r="A19" s="44">
        <f>Headcount!A20</f>
        <v>16</v>
      </c>
      <c r="B19" s="344">
        <f t="shared" si="0"/>
        <v>16410.733333333334</v>
      </c>
      <c r="C19" s="345">
        <f t="shared" si="1"/>
        <v>82053.666666666657</v>
      </c>
      <c r="D19" s="53">
        <f t="shared" si="2"/>
        <v>180518.06666666668</v>
      </c>
      <c r="E19" s="53">
        <f t="shared" si="5"/>
        <v>218872</v>
      </c>
      <c r="F19" s="321">
        <f t="shared" si="4"/>
        <v>13535</v>
      </c>
      <c r="G19" s="54">
        <v>1974</v>
      </c>
      <c r="H19" s="54">
        <v>11561</v>
      </c>
    </row>
    <row r="20" spans="1:24">
      <c r="A20" s="44">
        <f>Headcount!A21</f>
        <v>17</v>
      </c>
      <c r="B20" s="344">
        <f t="shared" si="0"/>
        <v>16410.733333333334</v>
      </c>
      <c r="C20" s="345">
        <f t="shared" si="1"/>
        <v>65642.93333333332</v>
      </c>
      <c r="D20" s="53">
        <f t="shared" si="2"/>
        <v>196928.80000000002</v>
      </c>
      <c r="E20" s="53">
        <f t="shared" si="5"/>
        <v>225906</v>
      </c>
      <c r="F20" s="321">
        <f t="shared" si="4"/>
        <v>7034</v>
      </c>
      <c r="G20" s="54">
        <v>1900</v>
      </c>
      <c r="H20" s="54">
        <v>5134</v>
      </c>
    </row>
    <row r="21" spans="1:24">
      <c r="A21" s="44">
        <f>Headcount!A22</f>
        <v>18</v>
      </c>
      <c r="B21" s="344">
        <f t="shared" si="0"/>
        <v>16410.733333333334</v>
      </c>
      <c r="C21" s="345">
        <f t="shared" si="1"/>
        <v>49232.199999999983</v>
      </c>
      <c r="D21" s="53">
        <f t="shared" si="2"/>
        <v>213339.53333333335</v>
      </c>
      <c r="E21" s="53">
        <f t="shared" si="5"/>
        <v>236735</v>
      </c>
      <c r="F21" s="321">
        <f t="shared" si="4"/>
        <v>10829</v>
      </c>
      <c r="G21" s="54">
        <v>596</v>
      </c>
      <c r="H21" s="54">
        <v>10233</v>
      </c>
      <c r="X21" s="144">
        <v>0.35416666666666669</v>
      </c>
    </row>
    <row r="22" spans="1:24">
      <c r="A22" s="44">
        <f>Headcount!A23</f>
        <v>19</v>
      </c>
      <c r="B22" s="344">
        <f t="shared" si="0"/>
        <v>16410.733333333334</v>
      </c>
      <c r="C22" s="345">
        <f t="shared" ref="C22" si="6">$C$9-D21</f>
        <v>32821.466666666645</v>
      </c>
      <c r="D22" s="53">
        <f t="shared" si="2"/>
        <v>229750.26666666669</v>
      </c>
      <c r="E22" s="53">
        <f t="shared" si="5"/>
        <v>245027</v>
      </c>
      <c r="F22" s="321">
        <f t="shared" ref="F22" si="7">H22+G22</f>
        <v>8292</v>
      </c>
      <c r="G22" s="54">
        <v>0</v>
      </c>
      <c r="H22" s="54">
        <v>8292</v>
      </c>
      <c r="X22" s="144"/>
    </row>
    <row r="23" spans="1:24">
      <c r="A23" s="44">
        <f>Headcount!A24</f>
        <v>20</v>
      </c>
      <c r="B23" s="344">
        <f t="shared" si="0"/>
        <v>16410.733333333334</v>
      </c>
      <c r="C23" s="345">
        <f t="shared" ref="C23" si="8">$C$9-D22</f>
        <v>16410.733333333308</v>
      </c>
      <c r="D23" s="53">
        <f t="shared" si="2"/>
        <v>246161.00000000003</v>
      </c>
      <c r="E23" s="53">
        <f>IF(E22="",0,E22+F23)</f>
        <v>255381</v>
      </c>
      <c r="F23" s="321">
        <f t="shared" si="4"/>
        <v>10354</v>
      </c>
      <c r="G23" s="54">
        <v>0</v>
      </c>
      <c r="H23" s="54">
        <v>10354</v>
      </c>
    </row>
    <row r="24" spans="1:24">
      <c r="A24" s="44"/>
      <c r="B24" s="344"/>
      <c r="C24" s="345"/>
      <c r="D24" s="53"/>
      <c r="E24" s="53"/>
      <c r="F24" s="321"/>
      <c r="G24" s="54"/>
      <c r="H24" s="54"/>
    </row>
    <row r="25" spans="1:24">
      <c r="A25" s="44"/>
      <c r="B25" s="344"/>
      <c r="C25" s="345"/>
      <c r="D25" s="53"/>
      <c r="E25" s="53"/>
      <c r="F25" s="321"/>
      <c r="G25" s="54"/>
      <c r="H25" s="54"/>
    </row>
    <row r="26" spans="1:24">
      <c r="A26" s="44"/>
      <c r="B26" s="344"/>
      <c r="C26" s="345"/>
      <c r="D26" s="53"/>
      <c r="E26" s="53"/>
      <c r="F26" s="321"/>
      <c r="G26" s="54"/>
      <c r="H26" s="54"/>
    </row>
    <row r="27" spans="1:24">
      <c r="A27" s="44"/>
      <c r="B27" s="344"/>
      <c r="C27" s="345"/>
      <c r="D27" s="53"/>
      <c r="E27" s="53"/>
      <c r="F27" s="321"/>
      <c r="G27" s="54"/>
      <c r="H27" s="54"/>
    </row>
    <row r="28" spans="1:24">
      <c r="A28" s="44"/>
      <c r="B28" s="344"/>
      <c r="C28" s="345"/>
      <c r="D28" s="53"/>
      <c r="E28" s="53"/>
      <c r="F28" s="321"/>
      <c r="G28" s="54"/>
      <c r="H28" s="54"/>
      <c r="I28" s="65"/>
      <c r="J28" s="65">
        <f>53100/6</f>
        <v>8850</v>
      </c>
    </row>
    <row r="29" spans="1:24">
      <c r="A29" s="44"/>
      <c r="B29" s="344"/>
      <c r="C29" s="345"/>
      <c r="D29" s="53"/>
      <c r="E29" s="53"/>
      <c r="F29" s="321"/>
      <c r="G29" s="302"/>
      <c r="H29" s="302"/>
      <c r="I29" s="65"/>
      <c r="J29" s="65"/>
    </row>
    <row r="30" spans="1:24" ht="15.75" thickBot="1">
      <c r="A30" s="44"/>
      <c r="B30" s="454"/>
      <c r="C30" s="455"/>
      <c r="D30" s="53"/>
      <c r="E30" s="53"/>
      <c r="F30" s="321"/>
      <c r="G30" s="302"/>
      <c r="H30" s="302"/>
      <c r="I30" s="65"/>
      <c r="J30" s="65"/>
    </row>
    <row r="31" spans="1:24" ht="15.75" thickBot="1">
      <c r="A31" s="219" t="s">
        <v>107</v>
      </c>
      <c r="B31" s="456"/>
      <c r="C31" s="226"/>
      <c r="D31" s="227">
        <f>E7*E5</f>
        <v>246161</v>
      </c>
      <c r="E31" s="227"/>
      <c r="F31" s="453">
        <f>SUM(F9:F30)</f>
        <v>255381</v>
      </c>
      <c r="G31" s="304">
        <f>SUM(G9:G30)</f>
        <v>7313</v>
      </c>
      <c r="H31" s="303">
        <f>SUM(H9:H30)</f>
        <v>248068</v>
      </c>
    </row>
  </sheetData>
  <mergeCells count="3">
    <mergeCell ref="I1:J1"/>
    <mergeCell ref="K1:S2"/>
    <mergeCell ref="I2:J2"/>
  </mergeCells>
  <phoneticPr fontId="16"/>
  <conditionalFormatting sqref="I1:J1">
    <cfRule type="cellIs" dxfId="30" priority="1" operator="lessThan">
      <formula>0</formula>
    </cfRule>
  </conditionalFormatting>
  <pageMargins left="0.7" right="0.7" top="0.75" bottom="0.75" header="0.3" footer="0.3"/>
  <pageSetup paperSize="9" scale="48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Munka18">
    <pageSetUpPr fitToPage="1"/>
  </sheetPr>
  <dimension ref="A1:W35"/>
  <sheetViews>
    <sheetView showGridLines="0" zoomScaleNormal="100" workbookViewId="0">
      <pane ySplit="2" topLeftCell="A14" activePane="bottomLeft" state="frozen"/>
      <selection pane="bottomLeft" activeCell="G24" sqref="G24"/>
    </sheetView>
  </sheetViews>
  <sheetFormatPr defaultRowHeight="15"/>
  <cols>
    <col min="1" max="1" width="9.42578125" bestFit="1" customWidth="1"/>
    <col min="2" max="2" width="9.42578125" customWidth="1"/>
    <col min="3" max="3" width="18" bestFit="1" customWidth="1"/>
    <col min="4" max="4" width="20.42578125" bestFit="1" customWidth="1"/>
    <col min="5" max="5" width="21.42578125" customWidth="1"/>
    <col min="6" max="6" width="20.42578125" bestFit="1" customWidth="1"/>
    <col min="7" max="7" width="22.42578125" bestFit="1" customWidth="1"/>
    <col min="8" max="8" width="17.42578125" bestFit="1" customWidth="1"/>
    <col min="9" max="9" width="13.42578125" customWidth="1"/>
    <col min="15" max="15" width="11.42578125" customWidth="1"/>
  </cols>
  <sheetData>
    <row r="1" spans="1:23" ht="46.5">
      <c r="A1" s="40" t="s">
        <v>204</v>
      </c>
      <c r="B1" s="40"/>
      <c r="C1" s="41"/>
      <c r="D1" s="52" t="s">
        <v>59</v>
      </c>
      <c r="E1" s="41"/>
      <c r="F1" s="41"/>
      <c r="G1" s="41"/>
      <c r="H1" s="502">
        <f>G33-D33</f>
        <v>57.999999999941792</v>
      </c>
      <c r="I1" s="502"/>
      <c r="J1" s="508" t="s">
        <v>176</v>
      </c>
      <c r="K1" s="508"/>
      <c r="L1" s="508"/>
      <c r="M1" s="508"/>
      <c r="N1" s="508"/>
      <c r="O1" s="508"/>
      <c r="P1" s="508"/>
      <c r="Q1" s="508"/>
      <c r="R1" s="508"/>
    </row>
    <row r="2" spans="1:23" ht="46.5">
      <c r="A2" s="40"/>
      <c r="B2" s="40"/>
      <c r="C2" s="41"/>
      <c r="D2" s="52"/>
      <c r="E2" s="41"/>
      <c r="F2" s="41"/>
      <c r="G2" s="41"/>
      <c r="H2" s="503"/>
      <c r="I2" s="503"/>
      <c r="J2" s="508"/>
      <c r="K2" s="508"/>
      <c r="L2" s="508"/>
      <c r="M2" s="508"/>
      <c r="N2" s="508"/>
      <c r="O2" s="508"/>
      <c r="P2" s="508"/>
      <c r="Q2" s="508"/>
      <c r="R2" s="508"/>
    </row>
    <row r="3" spans="1:23">
      <c r="G3" s="24"/>
    </row>
    <row r="4" spans="1:23">
      <c r="G4" s="65"/>
    </row>
    <row r="5" spans="1:23" ht="15.6" customHeight="1">
      <c r="D5" s="23" t="s">
        <v>68</v>
      </c>
      <c r="E5" s="412">
        <f>(('PlanFollow (Factory out)'!B34+'PlanFollow (Finished)'!B34)*1000)/'KFT Output packaging'!E6</f>
        <v>32225.066666666669</v>
      </c>
      <c r="G5" s="4">
        <f>E23/D23</f>
        <v>1.0001199894078316</v>
      </c>
    </row>
    <row r="6" spans="1:23">
      <c r="D6" s="273" t="s">
        <v>39</v>
      </c>
      <c r="E6" s="23">
        <f>Headcount!F7</f>
        <v>15</v>
      </c>
      <c r="F6" s="4"/>
      <c r="G6" s="4"/>
    </row>
    <row r="7" spans="1:23">
      <c r="D7" s="23" t="s">
        <v>40</v>
      </c>
      <c r="E7" s="23">
        <f>Headcount!F8</f>
        <v>15</v>
      </c>
      <c r="O7" s="57"/>
      <c r="P7" s="58"/>
    </row>
    <row r="8" spans="1:23" ht="24">
      <c r="A8" s="42" t="s">
        <v>42</v>
      </c>
      <c r="B8" s="42" t="str">
        <f>D5</f>
        <v>Napi terv / Daily plan</v>
      </c>
      <c r="C8" s="43" t="s">
        <v>177</v>
      </c>
      <c r="D8" s="42" t="s">
        <v>199</v>
      </c>
      <c r="E8" s="42" t="s">
        <v>200</v>
      </c>
      <c r="F8" s="328" t="s">
        <v>201</v>
      </c>
      <c r="G8" s="42" t="s">
        <v>183</v>
      </c>
    </row>
    <row r="9" spans="1:23" ht="15" customHeight="1">
      <c r="A9" s="44">
        <f>Headcount!A10</f>
        <v>2</v>
      </c>
      <c r="B9" s="375">
        <f>$E$5</f>
        <v>32225.066666666669</v>
      </c>
      <c r="C9" s="341">
        <f>E5*E6</f>
        <v>483376.00000000006</v>
      </c>
      <c r="D9" s="338">
        <f>E5</f>
        <v>32225.066666666669</v>
      </c>
      <c r="E9" s="338">
        <f>G9</f>
        <v>32800</v>
      </c>
      <c r="F9" s="54">
        <f>G9</f>
        <v>32800</v>
      </c>
      <c r="G9" s="59">
        <v>32800</v>
      </c>
      <c r="V9" s="502"/>
      <c r="W9" s="502"/>
    </row>
    <row r="10" spans="1:23">
      <c r="A10" s="44">
        <f>Headcount!A11</f>
        <v>3</v>
      </c>
      <c r="B10" s="376">
        <f t="shared" ref="B10:B23" si="0">$E$5</f>
        <v>32225.066666666669</v>
      </c>
      <c r="C10" s="345">
        <f>$C$9-D9</f>
        <v>451150.93333333341</v>
      </c>
      <c r="D10" s="53">
        <f>D9+$E$5</f>
        <v>64450.133333333339</v>
      </c>
      <c r="E10" s="53">
        <f t="shared" ref="E10:E12" si="1">IF(G10="",0,E9+G10)</f>
        <v>57600</v>
      </c>
      <c r="F10" s="54">
        <f>IF(G10="",0,F9+G10)</f>
        <v>57600</v>
      </c>
      <c r="G10" s="60">
        <v>24800</v>
      </c>
    </row>
    <row r="11" spans="1:23">
      <c r="A11" s="44">
        <f>Headcount!A12</f>
        <v>4</v>
      </c>
      <c r="B11" s="376">
        <f t="shared" si="0"/>
        <v>32225.066666666669</v>
      </c>
      <c r="C11" s="345">
        <f t="shared" ref="C11:C21" si="2">$C$9-D10</f>
        <v>418925.8666666667</v>
      </c>
      <c r="D11" s="53">
        <f t="shared" ref="D11:D23" si="3">D10+$E$5</f>
        <v>96675.200000000012</v>
      </c>
      <c r="E11" s="53">
        <f t="shared" si="1"/>
        <v>100000</v>
      </c>
      <c r="F11" s="54">
        <f t="shared" ref="F11:F20" si="4">IF(G11="",0,F10+G11)</f>
        <v>100000</v>
      </c>
      <c r="G11" s="60">
        <v>42400</v>
      </c>
    </row>
    <row r="12" spans="1:23">
      <c r="A12" s="44">
        <f>Headcount!A13</f>
        <v>5</v>
      </c>
      <c r="B12" s="376">
        <f t="shared" si="0"/>
        <v>32225.066666666669</v>
      </c>
      <c r="C12" s="345">
        <f t="shared" si="2"/>
        <v>386700.80000000005</v>
      </c>
      <c r="D12" s="53">
        <f t="shared" si="3"/>
        <v>128900.26666666668</v>
      </c>
      <c r="E12" s="53">
        <f t="shared" si="1"/>
        <v>142400</v>
      </c>
      <c r="F12" s="54">
        <f t="shared" si="4"/>
        <v>142400</v>
      </c>
      <c r="G12" s="60">
        <v>42400</v>
      </c>
    </row>
    <row r="13" spans="1:23">
      <c r="A13" s="44">
        <f>Headcount!A14</f>
        <v>6</v>
      </c>
      <c r="B13" s="376">
        <f t="shared" si="0"/>
        <v>32225.066666666669</v>
      </c>
      <c r="C13" s="345">
        <f t="shared" si="2"/>
        <v>354475.7333333334</v>
      </c>
      <c r="D13" s="53">
        <f t="shared" si="3"/>
        <v>161125.33333333334</v>
      </c>
      <c r="E13" s="53">
        <f t="shared" ref="E13:E22" si="5">IF(G13="",0,E12+G13)</f>
        <v>171400</v>
      </c>
      <c r="F13" s="54">
        <f t="shared" si="4"/>
        <v>171400</v>
      </c>
      <c r="G13" s="60">
        <v>29000</v>
      </c>
    </row>
    <row r="14" spans="1:23">
      <c r="A14" s="44">
        <f>Headcount!A15</f>
        <v>9</v>
      </c>
      <c r="B14" s="376">
        <f t="shared" si="0"/>
        <v>32225.066666666669</v>
      </c>
      <c r="C14" s="345">
        <f t="shared" si="2"/>
        <v>322250.66666666674</v>
      </c>
      <c r="D14" s="53">
        <f>D13+$E$5</f>
        <v>193350.40000000002</v>
      </c>
      <c r="E14" s="53">
        <f t="shared" si="5"/>
        <v>220036</v>
      </c>
      <c r="F14" s="54">
        <f t="shared" si="4"/>
        <v>220036</v>
      </c>
      <c r="G14" s="60">
        <v>48636</v>
      </c>
    </row>
    <row r="15" spans="1:23">
      <c r="A15" s="44">
        <f>Headcount!A16</f>
        <v>10</v>
      </c>
      <c r="B15" s="376">
        <f t="shared" si="0"/>
        <v>32225.066666666669</v>
      </c>
      <c r="C15" s="345">
        <f t="shared" si="2"/>
        <v>290025.60000000003</v>
      </c>
      <c r="D15" s="53">
        <f t="shared" si="3"/>
        <v>225575.4666666667</v>
      </c>
      <c r="E15" s="53">
        <f t="shared" si="5"/>
        <v>252736</v>
      </c>
      <c r="F15" s="54">
        <f t="shared" si="4"/>
        <v>252736</v>
      </c>
      <c r="G15" s="60">
        <v>32700</v>
      </c>
    </row>
    <row r="16" spans="1:23">
      <c r="A16" s="44">
        <f>Headcount!A17</f>
        <v>11</v>
      </c>
      <c r="B16" s="376">
        <f t="shared" si="0"/>
        <v>32225.066666666669</v>
      </c>
      <c r="C16" s="345">
        <f t="shared" si="2"/>
        <v>257800.53333333335</v>
      </c>
      <c r="D16" s="53">
        <f t="shared" si="3"/>
        <v>257800.53333333338</v>
      </c>
      <c r="E16" s="53">
        <f t="shared" si="5"/>
        <v>289736</v>
      </c>
      <c r="F16" s="54">
        <f t="shared" si="4"/>
        <v>289736</v>
      </c>
      <c r="G16" s="60">
        <v>37000</v>
      </c>
    </row>
    <row r="17" spans="1:7">
      <c r="A17" s="44">
        <f>Headcount!A18</f>
        <v>12</v>
      </c>
      <c r="B17" s="376">
        <f t="shared" si="0"/>
        <v>32225.066666666669</v>
      </c>
      <c r="C17" s="345">
        <f t="shared" si="2"/>
        <v>225575.46666666667</v>
      </c>
      <c r="D17" s="53">
        <f t="shared" si="3"/>
        <v>290025.60000000003</v>
      </c>
      <c r="E17" s="53">
        <f t="shared" si="5"/>
        <v>332336</v>
      </c>
      <c r="F17" s="54">
        <f t="shared" ref="F17:F21" si="6">IF(G17="",0,F16+G17)</f>
        <v>332336</v>
      </c>
      <c r="G17" s="60">
        <v>42600</v>
      </c>
    </row>
    <row r="18" spans="1:7">
      <c r="A18" s="44">
        <f>Headcount!A19</f>
        <v>13</v>
      </c>
      <c r="B18" s="376">
        <f t="shared" si="0"/>
        <v>32225.066666666669</v>
      </c>
      <c r="C18" s="345">
        <f t="shared" si="2"/>
        <v>193350.40000000002</v>
      </c>
      <c r="D18" s="53">
        <f t="shared" si="3"/>
        <v>322250.66666666669</v>
      </c>
      <c r="E18" s="53">
        <f t="shared" si="5"/>
        <v>360836</v>
      </c>
      <c r="F18" s="54">
        <f t="shared" si="4"/>
        <v>360836</v>
      </c>
      <c r="G18" s="60">
        <v>28500</v>
      </c>
    </row>
    <row r="19" spans="1:7">
      <c r="A19" s="44">
        <f>Headcount!A20</f>
        <v>16</v>
      </c>
      <c r="B19" s="376">
        <f t="shared" si="0"/>
        <v>32225.066666666669</v>
      </c>
      <c r="C19" s="345">
        <f t="shared" si="2"/>
        <v>161125.33333333337</v>
      </c>
      <c r="D19" s="53">
        <f t="shared" si="3"/>
        <v>354475.73333333334</v>
      </c>
      <c r="E19" s="53">
        <f t="shared" si="5"/>
        <v>403461</v>
      </c>
      <c r="F19" s="54">
        <f t="shared" si="6"/>
        <v>403461</v>
      </c>
      <c r="G19" s="60">
        <v>42625</v>
      </c>
    </row>
    <row r="20" spans="1:7">
      <c r="A20" s="44">
        <f>Headcount!A21</f>
        <v>17</v>
      </c>
      <c r="B20" s="376">
        <f t="shared" si="0"/>
        <v>32225.066666666669</v>
      </c>
      <c r="C20" s="345">
        <f t="shared" si="2"/>
        <v>128900.26666666672</v>
      </c>
      <c r="D20" s="53">
        <f t="shared" si="3"/>
        <v>386700.79999999999</v>
      </c>
      <c r="E20" s="53">
        <f t="shared" si="5"/>
        <v>424976</v>
      </c>
      <c r="F20" s="54">
        <f t="shared" si="4"/>
        <v>424976</v>
      </c>
      <c r="G20" s="60">
        <v>21515</v>
      </c>
    </row>
    <row r="21" spans="1:7">
      <c r="A21" s="44">
        <f>Headcount!A22</f>
        <v>18</v>
      </c>
      <c r="B21" s="376">
        <f t="shared" si="0"/>
        <v>32225.066666666669</v>
      </c>
      <c r="C21" s="345">
        <f t="shared" si="2"/>
        <v>96675.20000000007</v>
      </c>
      <c r="D21" s="53">
        <f t="shared" si="3"/>
        <v>418925.86666666664</v>
      </c>
      <c r="E21" s="53">
        <f t="shared" si="5"/>
        <v>443776</v>
      </c>
      <c r="F21" s="54">
        <f t="shared" si="6"/>
        <v>443776</v>
      </c>
      <c r="G21" s="60">
        <v>18800</v>
      </c>
    </row>
    <row r="22" spans="1:7">
      <c r="A22" s="44">
        <f>Headcount!A23</f>
        <v>19</v>
      </c>
      <c r="B22" s="376">
        <f t="shared" si="0"/>
        <v>32225.066666666669</v>
      </c>
      <c r="C22" s="345">
        <f t="shared" ref="C22" si="7">$C$9-D21</f>
        <v>64450.133333333419</v>
      </c>
      <c r="D22" s="53">
        <f t="shared" si="3"/>
        <v>451150.93333333329</v>
      </c>
      <c r="E22" s="53">
        <f t="shared" si="5"/>
        <v>459476</v>
      </c>
      <c r="F22" s="54">
        <f t="shared" ref="F22:F23" si="8">IF(G22="",0,F21+G22)</f>
        <v>459476</v>
      </c>
      <c r="G22" s="60">
        <v>15700</v>
      </c>
    </row>
    <row r="23" spans="1:7">
      <c r="A23" s="44">
        <f>Headcount!A24</f>
        <v>20</v>
      </c>
      <c r="B23" s="376">
        <f t="shared" si="0"/>
        <v>32225.066666666669</v>
      </c>
      <c r="C23" s="345">
        <f t="shared" ref="C23" si="9">$C$9-D22</f>
        <v>32225.066666666768</v>
      </c>
      <c r="D23" s="53">
        <f t="shared" si="3"/>
        <v>483375.99999999994</v>
      </c>
      <c r="E23" s="53">
        <f>IF(G23="",0,E22+G23)</f>
        <v>483434</v>
      </c>
      <c r="F23" s="54">
        <f t="shared" si="8"/>
        <v>483434</v>
      </c>
      <c r="G23" s="60">
        <v>23958</v>
      </c>
    </row>
    <row r="24" spans="1:7">
      <c r="A24" s="44"/>
      <c r="B24" s="376"/>
      <c r="C24" s="345"/>
      <c r="D24" s="53"/>
      <c r="E24" s="53"/>
      <c r="F24" s="54"/>
      <c r="G24" s="60"/>
    </row>
    <row r="25" spans="1:7">
      <c r="A25" s="44"/>
      <c r="B25" s="376"/>
      <c r="C25" s="345"/>
      <c r="D25" s="53"/>
      <c r="E25" s="53"/>
      <c r="F25" s="54"/>
      <c r="G25" s="60"/>
    </row>
    <row r="26" spans="1:7">
      <c r="A26" s="44"/>
      <c r="B26" s="376"/>
      <c r="C26" s="345"/>
      <c r="D26" s="53"/>
      <c r="E26" s="53"/>
      <c r="F26" s="54"/>
      <c r="G26" s="60"/>
    </row>
    <row r="27" spans="1:7">
      <c r="A27" s="44"/>
      <c r="B27" s="376"/>
      <c r="C27" s="345"/>
      <c r="D27" s="53"/>
      <c r="E27" s="53"/>
      <c r="F27" s="54"/>
      <c r="G27" s="60"/>
    </row>
    <row r="28" spans="1:7">
      <c r="A28" s="44"/>
      <c r="B28" s="376"/>
      <c r="C28" s="345"/>
      <c r="D28" s="53"/>
      <c r="E28" s="53"/>
      <c r="F28" s="54"/>
      <c r="G28" s="60"/>
    </row>
    <row r="29" spans="1:7">
      <c r="A29" s="44"/>
      <c r="B29" s="376"/>
      <c r="C29" s="345"/>
      <c r="D29" s="53"/>
      <c r="E29" s="53"/>
      <c r="F29" s="54"/>
      <c r="G29" s="60"/>
    </row>
    <row r="30" spans="1:7">
      <c r="A30" s="44"/>
      <c r="B30" s="376"/>
      <c r="C30" s="345"/>
      <c r="D30" s="53"/>
      <c r="E30" s="53"/>
      <c r="F30" s="54"/>
      <c r="G30" s="60"/>
    </row>
    <row r="31" spans="1:7">
      <c r="A31" s="44"/>
      <c r="B31" s="376"/>
      <c r="C31" s="345"/>
      <c r="D31" s="53"/>
      <c r="E31" s="53"/>
      <c r="F31" s="54"/>
      <c r="G31" s="60"/>
    </row>
    <row r="32" spans="1:7" ht="15.75" thickBot="1">
      <c r="A32" s="217"/>
      <c r="B32" s="342"/>
      <c r="C32" s="343"/>
      <c r="D32" s="339"/>
      <c r="E32" s="339"/>
      <c r="F32" s="54"/>
      <c r="G32" s="218"/>
    </row>
    <row r="33" spans="1:7" ht="15.75" thickBot="1">
      <c r="A33" s="219" t="s">
        <v>107</v>
      </c>
      <c r="B33" s="315"/>
      <c r="C33" s="226"/>
      <c r="D33" s="227">
        <f>E7*E5</f>
        <v>483376.00000000006</v>
      </c>
      <c r="E33" s="227"/>
      <c r="F33" s="228"/>
      <c r="G33" s="225">
        <f>SUM(G9:G31)</f>
        <v>483434</v>
      </c>
    </row>
    <row r="35" spans="1:7">
      <c r="C35" s="65"/>
    </row>
  </sheetData>
  <mergeCells count="4">
    <mergeCell ref="H1:I1"/>
    <mergeCell ref="J1:R2"/>
    <mergeCell ref="H2:I2"/>
    <mergeCell ref="V9:W9"/>
  </mergeCells>
  <conditionalFormatting sqref="H1:I1">
    <cfRule type="cellIs" dxfId="29" priority="2" operator="lessThan">
      <formula>0</formula>
    </cfRule>
  </conditionalFormatting>
  <conditionalFormatting sqref="V9:W9">
    <cfRule type="cellIs" dxfId="28" priority="1" operator="lessThan">
      <formula>0</formula>
    </cfRule>
  </conditionalFormatting>
  <pageMargins left="0.7" right="0.7" top="0.75" bottom="0.75" header="0.3" footer="0.3"/>
  <pageSetup paperSize="9" scale="47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Munka19">
    <tabColor rgb="FF00B050"/>
    <pageSetUpPr fitToPage="1"/>
  </sheetPr>
  <dimension ref="A1:S33"/>
  <sheetViews>
    <sheetView showGridLines="0" zoomScaleNormal="100" workbookViewId="0">
      <pane ySplit="2" topLeftCell="A11" activePane="bottomLeft" state="frozen"/>
      <selection pane="bottomLeft" activeCell="E24" sqref="E24"/>
    </sheetView>
  </sheetViews>
  <sheetFormatPr defaultRowHeight="15"/>
  <cols>
    <col min="2" max="2" width="10.42578125" bestFit="1" customWidth="1"/>
    <col min="3" max="3" width="13.42578125" bestFit="1" customWidth="1"/>
    <col min="4" max="4" width="19.42578125" bestFit="1" customWidth="1"/>
    <col min="5" max="5" width="14.42578125" bestFit="1" customWidth="1"/>
    <col min="7" max="7" width="14.42578125" customWidth="1"/>
    <col min="8" max="8" width="15.42578125" customWidth="1"/>
    <col min="16" max="16" width="12.42578125" bestFit="1" customWidth="1"/>
    <col min="17" max="17" width="13.42578125" bestFit="1" customWidth="1"/>
    <col min="18" max="19" width="12.42578125" bestFit="1" customWidth="1"/>
  </cols>
  <sheetData>
    <row r="1" spans="1:19" ht="46.5">
      <c r="A1" s="40" t="s">
        <v>205</v>
      </c>
      <c r="B1" s="41"/>
      <c r="C1" s="52" t="s">
        <v>59</v>
      </c>
      <c r="D1" s="41"/>
      <c r="E1" s="41"/>
      <c r="F1" s="41"/>
      <c r="G1" s="502">
        <f>E32-C32</f>
        <v>10</v>
      </c>
      <c r="H1" s="502"/>
      <c r="I1" s="508" t="s">
        <v>176</v>
      </c>
      <c r="J1" s="508"/>
      <c r="K1" s="508"/>
      <c r="L1" s="508"/>
      <c r="M1" s="508"/>
      <c r="N1" s="508"/>
      <c r="O1" s="508"/>
      <c r="P1" s="508"/>
      <c r="Q1" s="508"/>
    </row>
    <row r="2" spans="1:19" ht="46.5">
      <c r="A2" s="40" t="s">
        <v>29</v>
      </c>
      <c r="B2" s="41"/>
      <c r="C2" s="52"/>
      <c r="D2" s="41"/>
      <c r="E2" s="41"/>
      <c r="F2" s="41"/>
      <c r="G2" s="503"/>
      <c r="H2" s="503"/>
      <c r="I2" s="508"/>
      <c r="J2" s="508"/>
      <c r="K2" s="508"/>
      <c r="L2" s="508"/>
      <c r="M2" s="508"/>
      <c r="N2" s="508"/>
      <c r="O2" s="508"/>
      <c r="P2" s="508"/>
      <c r="Q2" s="508"/>
    </row>
    <row r="5" spans="1:19">
      <c r="B5" s="23" t="s">
        <v>112</v>
      </c>
      <c r="C5" s="279">
        <v>32462</v>
      </c>
      <c r="D5" s="65"/>
      <c r="Q5" s="506"/>
      <c r="R5" s="506"/>
      <c r="S5" s="506"/>
    </row>
    <row r="6" spans="1:19">
      <c r="B6" s="273" t="s">
        <v>206</v>
      </c>
      <c r="C6" s="23">
        <v>15</v>
      </c>
      <c r="D6" s="4"/>
      <c r="Q6" s="23"/>
      <c r="R6" s="23"/>
    </row>
    <row r="7" spans="1:19">
      <c r="B7" s="23" t="s">
        <v>40</v>
      </c>
      <c r="C7" s="23">
        <f>Headcount!F8</f>
        <v>15</v>
      </c>
      <c r="Q7" s="24"/>
      <c r="R7" s="24"/>
      <c r="S7" s="24"/>
    </row>
    <row r="8" spans="1:19" ht="24">
      <c r="A8" s="42" t="s">
        <v>42</v>
      </c>
      <c r="B8" s="43" t="s">
        <v>207</v>
      </c>
      <c r="C8" s="42" t="s">
        <v>178</v>
      </c>
      <c r="D8" s="42" t="s">
        <v>208</v>
      </c>
      <c r="E8" s="51" t="s">
        <v>209</v>
      </c>
      <c r="Q8" s="3"/>
      <c r="R8" s="25"/>
      <c r="S8" s="25"/>
    </row>
    <row r="9" spans="1:19">
      <c r="A9" s="44">
        <v>2</v>
      </c>
      <c r="B9" s="45">
        <f>C5*C6</f>
        <v>486930</v>
      </c>
      <c r="C9" s="46">
        <f>C5</f>
        <v>32462</v>
      </c>
      <c r="D9" s="46">
        <f>E9</f>
        <v>15664</v>
      </c>
      <c r="E9" s="63">
        <v>15664</v>
      </c>
    </row>
    <row r="10" spans="1:19">
      <c r="A10" s="44">
        <v>3</v>
      </c>
      <c r="B10" s="45">
        <f>$B$9-C9</f>
        <v>454468</v>
      </c>
      <c r="C10" s="46">
        <f t="shared" ref="C10:C23" si="0">C9+$C$5</f>
        <v>64924</v>
      </c>
      <c r="D10" s="46">
        <f>IF(E10="",0,D9+E10)</f>
        <v>26664</v>
      </c>
      <c r="E10" s="63">
        <v>11000</v>
      </c>
    </row>
    <row r="11" spans="1:19">
      <c r="A11" s="44">
        <v>4</v>
      </c>
      <c r="B11" s="45">
        <f t="shared" ref="B11:B21" si="1">$B$9-C10</f>
        <v>422006</v>
      </c>
      <c r="C11" s="46">
        <f t="shared" si="0"/>
        <v>97386</v>
      </c>
      <c r="D11" s="46">
        <f>IF(E11="",0,D10+E11)</f>
        <v>102664</v>
      </c>
      <c r="E11" s="63">
        <v>76000</v>
      </c>
    </row>
    <row r="12" spans="1:19">
      <c r="A12" s="44">
        <v>5</v>
      </c>
      <c r="B12" s="45">
        <f t="shared" ref="B12" si="2">$B$9-C11</f>
        <v>389544</v>
      </c>
      <c r="C12" s="46">
        <f t="shared" si="0"/>
        <v>129848</v>
      </c>
      <c r="D12" s="46">
        <f>IF(E12="",0,D11+E12)</f>
        <v>102664</v>
      </c>
      <c r="E12" s="63">
        <v>0</v>
      </c>
    </row>
    <row r="13" spans="1:19">
      <c r="A13" s="44">
        <v>6</v>
      </c>
      <c r="B13" s="45">
        <f t="shared" ref="B13" si="3">$B$9-C12</f>
        <v>357082</v>
      </c>
      <c r="C13" s="46">
        <f t="shared" si="0"/>
        <v>162310</v>
      </c>
      <c r="D13" s="46">
        <f>IF(E13="",0,D12+E13)</f>
        <v>131664</v>
      </c>
      <c r="E13" s="63">
        <v>29000</v>
      </c>
    </row>
    <row r="14" spans="1:19">
      <c r="A14" s="44">
        <v>9</v>
      </c>
      <c r="B14" s="45">
        <f t="shared" si="1"/>
        <v>324620</v>
      </c>
      <c r="C14" s="46">
        <f t="shared" si="0"/>
        <v>194772</v>
      </c>
      <c r="D14" s="46">
        <f t="shared" ref="D14:D21" si="4">IF(E14="",0,D13+E14)</f>
        <v>131664</v>
      </c>
      <c r="E14" s="63">
        <v>0</v>
      </c>
    </row>
    <row r="15" spans="1:19">
      <c r="A15" s="44">
        <v>10</v>
      </c>
      <c r="B15" s="45">
        <f t="shared" si="1"/>
        <v>292158</v>
      </c>
      <c r="C15" s="46">
        <f t="shared" si="0"/>
        <v>227234</v>
      </c>
      <c r="D15" s="46">
        <f t="shared" si="4"/>
        <v>131664</v>
      </c>
      <c r="E15" s="63">
        <v>0</v>
      </c>
    </row>
    <row r="16" spans="1:19">
      <c r="A16" s="44">
        <v>11</v>
      </c>
      <c r="B16" s="45">
        <f t="shared" si="1"/>
        <v>259696</v>
      </c>
      <c r="C16" s="46">
        <f t="shared" si="0"/>
        <v>259696</v>
      </c>
      <c r="D16" s="46">
        <f t="shared" si="4"/>
        <v>183440</v>
      </c>
      <c r="E16" s="63">
        <v>51776</v>
      </c>
    </row>
    <row r="17" spans="1:7">
      <c r="A17" s="44">
        <v>12</v>
      </c>
      <c r="B17" s="45">
        <f t="shared" si="1"/>
        <v>227234</v>
      </c>
      <c r="C17" s="46">
        <f t="shared" si="0"/>
        <v>292158</v>
      </c>
      <c r="D17" s="46">
        <f t="shared" si="4"/>
        <v>225440</v>
      </c>
      <c r="E17" s="63">
        <v>42000</v>
      </c>
    </row>
    <row r="18" spans="1:7">
      <c r="A18" s="44">
        <v>13</v>
      </c>
      <c r="B18" s="45">
        <f t="shared" si="1"/>
        <v>194772</v>
      </c>
      <c r="C18" s="46">
        <f t="shared" si="0"/>
        <v>324620</v>
      </c>
      <c r="D18" s="46">
        <f t="shared" si="4"/>
        <v>225440</v>
      </c>
      <c r="E18" s="63">
        <v>0</v>
      </c>
    </row>
    <row r="19" spans="1:7">
      <c r="A19" s="44">
        <v>16</v>
      </c>
      <c r="B19" s="45">
        <f t="shared" si="1"/>
        <v>162310</v>
      </c>
      <c r="C19" s="46">
        <f t="shared" si="0"/>
        <v>357082</v>
      </c>
      <c r="D19" s="46">
        <f t="shared" si="4"/>
        <v>250440</v>
      </c>
      <c r="E19" s="63">
        <v>25000</v>
      </c>
    </row>
    <row r="20" spans="1:7">
      <c r="A20" s="44">
        <v>17</v>
      </c>
      <c r="B20" s="45">
        <f t="shared" si="1"/>
        <v>129848</v>
      </c>
      <c r="C20" s="46">
        <f t="shared" si="0"/>
        <v>389544</v>
      </c>
      <c r="D20" s="46">
        <f t="shared" si="4"/>
        <v>256440</v>
      </c>
      <c r="E20" s="63">
        <v>6000</v>
      </c>
    </row>
    <row r="21" spans="1:7">
      <c r="A21" s="44">
        <v>18</v>
      </c>
      <c r="B21" s="45">
        <f t="shared" si="1"/>
        <v>97386</v>
      </c>
      <c r="C21" s="46">
        <f t="shared" si="0"/>
        <v>422006</v>
      </c>
      <c r="D21" s="46">
        <f t="shared" si="4"/>
        <v>400440</v>
      </c>
      <c r="E21" s="63">
        <v>144000</v>
      </c>
    </row>
    <row r="22" spans="1:7">
      <c r="A22" s="44">
        <v>19</v>
      </c>
      <c r="B22" s="45">
        <f t="shared" ref="B22:B23" si="5">$B$9-C21</f>
        <v>64924</v>
      </c>
      <c r="C22" s="46">
        <f t="shared" si="0"/>
        <v>454468</v>
      </c>
      <c r="D22" s="46">
        <f t="shared" ref="D22:D28" si="6">IF(E22="",0,D21+E22)</f>
        <v>433440</v>
      </c>
      <c r="E22" s="63">
        <v>33000</v>
      </c>
    </row>
    <row r="23" spans="1:7">
      <c r="A23" s="44">
        <v>20</v>
      </c>
      <c r="B23" s="45">
        <f t="shared" si="5"/>
        <v>32462</v>
      </c>
      <c r="C23" s="46">
        <f t="shared" si="0"/>
        <v>486930</v>
      </c>
      <c r="D23" s="46">
        <f t="shared" si="6"/>
        <v>486940</v>
      </c>
      <c r="E23" s="63">
        <v>53500</v>
      </c>
    </row>
    <row r="24" spans="1:7">
      <c r="A24" s="44"/>
      <c r="B24" s="45"/>
      <c r="C24" s="46"/>
      <c r="D24" s="46">
        <f t="shared" si="6"/>
        <v>0</v>
      </c>
      <c r="E24" s="63"/>
    </row>
    <row r="25" spans="1:7">
      <c r="A25" s="44"/>
      <c r="B25" s="45"/>
      <c r="C25" s="46"/>
      <c r="D25" s="46">
        <f t="shared" si="6"/>
        <v>0</v>
      </c>
      <c r="E25" s="63"/>
    </row>
    <row r="26" spans="1:7">
      <c r="A26" s="44"/>
      <c r="B26" s="45"/>
      <c r="C26" s="46"/>
      <c r="D26" s="46">
        <f t="shared" si="6"/>
        <v>0</v>
      </c>
      <c r="E26" s="63"/>
    </row>
    <row r="27" spans="1:7">
      <c r="A27" s="44"/>
      <c r="B27" s="45"/>
      <c r="C27" s="46"/>
      <c r="D27" s="46">
        <f t="shared" si="6"/>
        <v>0</v>
      </c>
      <c r="E27" s="63"/>
    </row>
    <row r="28" spans="1:7">
      <c r="A28" s="44"/>
      <c r="B28" s="45"/>
      <c r="C28" s="46"/>
      <c r="D28" s="46">
        <f t="shared" si="6"/>
        <v>0</v>
      </c>
      <c r="E28" s="63"/>
    </row>
    <row r="29" spans="1:7">
      <c r="A29" s="44"/>
      <c r="B29" s="45"/>
      <c r="C29" s="46"/>
      <c r="D29" s="46">
        <f>IF(E29="",0,D28+E29)</f>
        <v>0</v>
      </c>
      <c r="E29" s="63"/>
    </row>
    <row r="30" spans="1:7">
      <c r="A30" s="44"/>
      <c r="B30" s="45"/>
      <c r="C30" s="46"/>
      <c r="D30" s="46"/>
      <c r="E30" s="63"/>
      <c r="G30" s="65"/>
    </row>
    <row r="31" spans="1:7" ht="15.75" thickBot="1">
      <c r="A31" s="44"/>
      <c r="B31" s="45"/>
      <c r="C31" s="46"/>
      <c r="D31" s="46"/>
      <c r="E31" s="63"/>
      <c r="G31" s="65"/>
    </row>
    <row r="32" spans="1:7" ht="15.75" thickBot="1">
      <c r="A32" s="219" t="s">
        <v>107</v>
      </c>
      <c r="B32" s="226"/>
      <c r="C32" s="227">
        <f>(C7)*C5</f>
        <v>486930</v>
      </c>
      <c r="D32" s="227"/>
      <c r="E32" s="250">
        <f>SUM(E9:E31)</f>
        <v>486940</v>
      </c>
    </row>
    <row r="33" spans="5:5">
      <c r="E33" s="73"/>
    </row>
  </sheetData>
  <mergeCells count="4">
    <mergeCell ref="G1:H1"/>
    <mergeCell ref="I1:Q2"/>
    <mergeCell ref="G2:H2"/>
    <mergeCell ref="Q5:S5"/>
  </mergeCells>
  <conditionalFormatting sqref="G1:H1">
    <cfRule type="cellIs" dxfId="27" priority="1" operator="lessThan">
      <formula>0</formula>
    </cfRule>
  </conditionalFormatting>
  <pageMargins left="0.7" right="0.7" top="0.75" bottom="0.75" header="0.3" footer="0.3"/>
  <pageSetup paperSize="9" scale="6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Munka20">
    <tabColor rgb="FF00B050"/>
    <pageSetUpPr fitToPage="1"/>
  </sheetPr>
  <dimension ref="A1:S33"/>
  <sheetViews>
    <sheetView showGridLines="0" zoomScaleNormal="100" workbookViewId="0">
      <pane ySplit="2" topLeftCell="A9" activePane="bottomLeft" state="frozen"/>
      <selection pane="bottomLeft" activeCell="E24" sqref="E24"/>
    </sheetView>
  </sheetViews>
  <sheetFormatPr defaultRowHeight="15"/>
  <cols>
    <col min="1" max="1" width="9.42578125" bestFit="1" customWidth="1"/>
    <col min="2" max="3" width="16.42578125" bestFit="1" customWidth="1"/>
    <col min="4" max="4" width="19.42578125" bestFit="1" customWidth="1"/>
    <col min="5" max="5" width="18.42578125" bestFit="1" customWidth="1"/>
    <col min="7" max="7" width="11.42578125" customWidth="1"/>
    <col min="8" max="8" width="17.42578125" customWidth="1"/>
    <col min="16" max="16" width="12.42578125" bestFit="1" customWidth="1"/>
    <col min="17" max="17" width="13.42578125" bestFit="1" customWidth="1"/>
    <col min="18" max="19" width="12.42578125" bestFit="1" customWidth="1"/>
  </cols>
  <sheetData>
    <row r="1" spans="1:19" ht="46.5">
      <c r="A1" s="40" t="s">
        <v>205</v>
      </c>
      <c r="B1" s="41"/>
      <c r="C1" s="52" t="s">
        <v>59</v>
      </c>
      <c r="D1" s="41"/>
      <c r="E1" s="41"/>
      <c r="F1" s="41"/>
      <c r="G1" s="502">
        <f>E33-C33</f>
        <v>-5796.9256000000169</v>
      </c>
      <c r="H1" s="502"/>
      <c r="I1" s="508" t="s">
        <v>176</v>
      </c>
      <c r="J1" s="508"/>
      <c r="K1" s="508"/>
      <c r="L1" s="508"/>
      <c r="M1" s="508"/>
      <c r="N1" s="508"/>
      <c r="O1" s="508"/>
      <c r="P1" s="508"/>
      <c r="Q1" s="508"/>
    </row>
    <row r="2" spans="1:19" ht="46.5">
      <c r="A2" s="40"/>
      <c r="B2" s="41"/>
      <c r="C2" s="52"/>
      <c r="D2" s="41"/>
      <c r="E2" s="41"/>
      <c r="F2" s="41"/>
      <c r="G2" s="503"/>
      <c r="H2" s="503"/>
      <c r="I2" s="508"/>
      <c r="J2" s="508"/>
      <c r="K2" s="508"/>
      <c r="L2" s="508"/>
      <c r="M2" s="508"/>
      <c r="N2" s="508"/>
      <c r="O2" s="508"/>
      <c r="P2" s="508"/>
      <c r="Q2" s="508"/>
    </row>
    <row r="3" spans="1:19">
      <c r="E3" s="71"/>
    </row>
    <row r="4" spans="1:19">
      <c r="E4" s="65"/>
    </row>
    <row r="5" spans="1:19">
      <c r="B5" s="23" t="s">
        <v>112</v>
      </c>
      <c r="C5" s="280">
        <f>'Prod.Output Summ'!O14/'Prod.Output Summ'!B2</f>
        <v>19468.666666666668</v>
      </c>
      <c r="E5" s="4"/>
      <c r="Q5" s="506"/>
      <c r="R5" s="506"/>
      <c r="S5" s="506"/>
    </row>
    <row r="6" spans="1:19">
      <c r="B6" s="273" t="s">
        <v>206</v>
      </c>
      <c r="C6" s="23">
        <v>14</v>
      </c>
      <c r="D6" s="4"/>
      <c r="Q6" s="23"/>
      <c r="R6" s="23"/>
    </row>
    <row r="7" spans="1:19">
      <c r="B7" s="23" t="s">
        <v>40</v>
      </c>
      <c r="C7" s="23">
        <f>Headcount!F8</f>
        <v>15</v>
      </c>
      <c r="Q7" s="24"/>
      <c r="R7" s="24"/>
      <c r="S7" s="24"/>
    </row>
    <row r="8" spans="1:19">
      <c r="A8" s="42" t="s">
        <v>42</v>
      </c>
      <c r="B8" s="43" t="s">
        <v>207</v>
      </c>
      <c r="C8" s="42" t="s">
        <v>178</v>
      </c>
      <c r="D8" s="42" t="s">
        <v>208</v>
      </c>
      <c r="E8" s="51" t="s">
        <v>210</v>
      </c>
      <c r="Q8" s="3"/>
      <c r="R8" s="25"/>
      <c r="S8" s="25"/>
    </row>
    <row r="9" spans="1:19">
      <c r="A9" s="44">
        <v>2</v>
      </c>
      <c r="B9" s="45">
        <f>C5*C6</f>
        <v>272561.33333333337</v>
      </c>
      <c r="C9" s="46">
        <f>C5</f>
        <v>19468.666666666668</v>
      </c>
      <c r="D9" s="46">
        <f>E9</f>
        <v>6604.8040000000001</v>
      </c>
      <c r="E9" s="64">
        <v>6604.8040000000001</v>
      </c>
    </row>
    <row r="10" spans="1:19">
      <c r="A10" s="44">
        <v>3</v>
      </c>
      <c r="B10" s="45">
        <f>$B$9-C9</f>
        <v>253092.66666666672</v>
      </c>
      <c r="C10" s="46">
        <f t="shared" ref="C10:C23" si="0">C9+$C$5</f>
        <v>38937.333333333336</v>
      </c>
      <c r="D10" s="46">
        <f>IF(E10="",0,D9+E10)</f>
        <v>15360.804</v>
      </c>
      <c r="E10" s="64">
        <v>8756</v>
      </c>
    </row>
    <row r="11" spans="1:19">
      <c r="A11" s="44">
        <v>4</v>
      </c>
      <c r="B11" s="45">
        <f t="shared" ref="B11:B22" si="1">$B$9-C10</f>
        <v>233624.00000000003</v>
      </c>
      <c r="C11" s="46">
        <f t="shared" si="0"/>
        <v>58406</v>
      </c>
      <c r="D11" s="46">
        <f>IF(E11="",0,D10+E11)</f>
        <v>51679.944000000003</v>
      </c>
      <c r="E11" s="64">
        <v>36319.14</v>
      </c>
    </row>
    <row r="12" spans="1:19">
      <c r="A12" s="44">
        <v>5</v>
      </c>
      <c r="B12" s="45">
        <f t="shared" ref="B12:B13" si="2">$B$9-C11</f>
        <v>214155.33333333337</v>
      </c>
      <c r="C12" s="46">
        <f t="shared" si="0"/>
        <v>77874.666666666672</v>
      </c>
      <c r="D12" s="46">
        <f t="shared" ref="D12:D13" si="3">IF(E12="",0,D11+E12)</f>
        <v>51679.944000000003</v>
      </c>
      <c r="E12" s="64">
        <v>0</v>
      </c>
    </row>
    <row r="13" spans="1:19">
      <c r="A13" s="44">
        <v>6</v>
      </c>
      <c r="B13" s="45">
        <f t="shared" si="2"/>
        <v>194686.66666666669</v>
      </c>
      <c r="C13" s="46">
        <f t="shared" si="0"/>
        <v>97343.333333333343</v>
      </c>
      <c r="D13" s="46">
        <f t="shared" si="3"/>
        <v>73727.543999999994</v>
      </c>
      <c r="E13" s="64">
        <v>22047.599999999999</v>
      </c>
    </row>
    <row r="14" spans="1:19">
      <c r="A14" s="44">
        <v>9</v>
      </c>
      <c r="B14" s="45">
        <f>$B$9-C13</f>
        <v>175218.00000000003</v>
      </c>
      <c r="C14" s="46">
        <f>C13+$C$5</f>
        <v>116812.00000000001</v>
      </c>
      <c r="D14" s="46">
        <f>IF(E14="",0,D13+E14)</f>
        <v>73727.543999999994</v>
      </c>
      <c r="E14" s="64">
        <v>0</v>
      </c>
    </row>
    <row r="15" spans="1:19">
      <c r="A15" s="44">
        <v>10</v>
      </c>
      <c r="B15" s="45">
        <f t="shared" si="1"/>
        <v>155749.33333333337</v>
      </c>
      <c r="C15" s="46">
        <f t="shared" si="0"/>
        <v>136280.66666666669</v>
      </c>
      <c r="D15" s="46">
        <f t="shared" ref="D15:D22" si="4">IF(E15="",0,D14+E15)</f>
        <v>73727.543999999994</v>
      </c>
      <c r="E15" s="64">
        <v>0</v>
      </c>
    </row>
    <row r="16" spans="1:19">
      <c r="A16" s="44">
        <v>11</v>
      </c>
      <c r="B16" s="45">
        <f t="shared" si="1"/>
        <v>136280.66666666669</v>
      </c>
      <c r="C16" s="46">
        <f t="shared" si="0"/>
        <v>155749.33333333334</v>
      </c>
      <c r="D16" s="46">
        <f t="shared" si="4"/>
        <v>88297.674399999989</v>
      </c>
      <c r="E16" s="64">
        <v>14570.1304</v>
      </c>
    </row>
    <row r="17" spans="1:5">
      <c r="A17" s="44">
        <v>12</v>
      </c>
      <c r="B17" s="45">
        <f t="shared" si="1"/>
        <v>116812.00000000003</v>
      </c>
      <c r="C17" s="46">
        <f t="shared" si="0"/>
        <v>175218</v>
      </c>
      <c r="D17" s="46">
        <f t="shared" si="4"/>
        <v>111978.97439999999</v>
      </c>
      <c r="E17" s="64">
        <v>23681.3</v>
      </c>
    </row>
    <row r="18" spans="1:5">
      <c r="A18" s="44">
        <v>13</v>
      </c>
      <c r="B18" s="45">
        <f t="shared" si="1"/>
        <v>97343.333333333372</v>
      </c>
      <c r="C18" s="46">
        <f t="shared" si="0"/>
        <v>194686.66666666666</v>
      </c>
      <c r="D18" s="46">
        <f t="shared" si="4"/>
        <v>111978.97439999999</v>
      </c>
      <c r="E18" s="64">
        <v>0</v>
      </c>
    </row>
    <row r="19" spans="1:5">
      <c r="A19" s="44">
        <v>16</v>
      </c>
      <c r="B19" s="45">
        <f t="shared" si="1"/>
        <v>77874.666666666715</v>
      </c>
      <c r="C19" s="46">
        <f t="shared" si="0"/>
        <v>214155.33333333331</v>
      </c>
      <c r="D19" s="46">
        <f t="shared" si="4"/>
        <v>126836.97439999999</v>
      </c>
      <c r="E19" s="64">
        <v>14858</v>
      </c>
    </row>
    <row r="20" spans="1:5">
      <c r="A20" s="44">
        <v>17</v>
      </c>
      <c r="B20" s="45">
        <f t="shared" si="1"/>
        <v>58406.000000000058</v>
      </c>
      <c r="C20" s="46">
        <f t="shared" si="0"/>
        <v>233623.99999999997</v>
      </c>
      <c r="D20" s="46">
        <f t="shared" si="4"/>
        <v>133481.19439999998</v>
      </c>
      <c r="E20" s="64">
        <v>6644.22</v>
      </c>
    </row>
    <row r="21" spans="1:5">
      <c r="A21" s="44">
        <v>18</v>
      </c>
      <c r="B21" s="45">
        <f t="shared" si="1"/>
        <v>38937.333333333401</v>
      </c>
      <c r="C21" s="46">
        <f t="shared" si="0"/>
        <v>253092.66666666663</v>
      </c>
      <c r="D21" s="46">
        <f t="shared" si="4"/>
        <v>214610.83439999999</v>
      </c>
      <c r="E21" s="64">
        <v>81129.64</v>
      </c>
    </row>
    <row r="22" spans="1:5">
      <c r="A22" s="44">
        <v>19</v>
      </c>
      <c r="B22" s="45">
        <f t="shared" si="1"/>
        <v>19468.666666666744</v>
      </c>
      <c r="C22" s="46">
        <f t="shared" si="0"/>
        <v>272561.33333333331</v>
      </c>
      <c r="D22" s="46">
        <f t="shared" si="4"/>
        <v>258719.5344</v>
      </c>
      <c r="E22" s="64">
        <v>44108.7</v>
      </c>
    </row>
    <row r="23" spans="1:5">
      <c r="A23" s="44">
        <v>20</v>
      </c>
      <c r="B23" s="45">
        <f t="shared" ref="B23" si="5">$B$9-C22</f>
        <v>0</v>
      </c>
      <c r="C23" s="46">
        <f t="shared" si="0"/>
        <v>292030</v>
      </c>
      <c r="D23" s="46">
        <f t="shared" ref="D23:D28" si="6">IF(E23="",0,D22+E23)</f>
        <v>286233.07439999998</v>
      </c>
      <c r="E23" s="64">
        <v>27513.54</v>
      </c>
    </row>
    <row r="24" spans="1:5">
      <c r="A24" s="44"/>
      <c r="B24" s="45"/>
      <c r="C24" s="46"/>
      <c r="D24" s="46">
        <f t="shared" si="6"/>
        <v>0</v>
      </c>
      <c r="E24" s="64"/>
    </row>
    <row r="25" spans="1:5">
      <c r="A25" s="44"/>
      <c r="B25" s="45"/>
      <c r="C25" s="46"/>
      <c r="D25" s="46">
        <f t="shared" si="6"/>
        <v>0</v>
      </c>
      <c r="E25" s="64"/>
    </row>
    <row r="26" spans="1:5">
      <c r="A26" s="44"/>
      <c r="B26" s="45"/>
      <c r="C26" s="46"/>
      <c r="D26" s="46">
        <f t="shared" si="6"/>
        <v>0</v>
      </c>
      <c r="E26" s="64"/>
    </row>
    <row r="27" spans="1:5">
      <c r="A27" s="44"/>
      <c r="B27" s="45"/>
      <c r="C27" s="46"/>
      <c r="D27" s="46">
        <f t="shared" si="6"/>
        <v>0</v>
      </c>
      <c r="E27" s="64"/>
    </row>
    <row r="28" spans="1:5">
      <c r="A28" s="44"/>
      <c r="B28" s="45"/>
      <c r="C28" s="46"/>
      <c r="D28" s="46">
        <f t="shared" si="6"/>
        <v>0</v>
      </c>
      <c r="E28" s="64"/>
    </row>
    <row r="29" spans="1:5">
      <c r="A29" s="44"/>
      <c r="B29" s="45"/>
      <c r="C29" s="46"/>
      <c r="D29" s="46">
        <f t="shared" ref="D29" si="7">IF(E29="",0,D28+E29)</f>
        <v>0</v>
      </c>
      <c r="E29" s="64"/>
    </row>
    <row r="30" spans="1:5">
      <c r="A30" s="44"/>
      <c r="B30" s="45"/>
      <c r="C30" s="46"/>
      <c r="D30" s="46"/>
      <c r="E30" s="64"/>
    </row>
    <row r="31" spans="1:5">
      <c r="A31" s="44"/>
      <c r="B31" s="45"/>
      <c r="C31" s="46"/>
      <c r="D31" s="46"/>
      <c r="E31" s="64"/>
    </row>
    <row r="32" spans="1:5" ht="15.75" thickBot="1">
      <c r="A32" s="217"/>
      <c r="B32" s="45"/>
      <c r="C32" s="46"/>
      <c r="D32" s="46"/>
      <c r="E32" s="251"/>
    </row>
    <row r="33" spans="1:5" ht="15.75" thickBot="1">
      <c r="A33" s="219" t="s">
        <v>107</v>
      </c>
      <c r="B33" s="226"/>
      <c r="C33" s="227">
        <f>(C7)*C5</f>
        <v>292030</v>
      </c>
      <c r="D33" s="227"/>
      <c r="E33" s="252">
        <f>SUM(E9:E31)</f>
        <v>286233.07439999998</v>
      </c>
    </row>
  </sheetData>
  <mergeCells count="4">
    <mergeCell ref="Q5:S5"/>
    <mergeCell ref="G1:H1"/>
    <mergeCell ref="I1:Q2"/>
    <mergeCell ref="G2:H2"/>
  </mergeCells>
  <phoneticPr fontId="16"/>
  <conditionalFormatting sqref="G1:H1">
    <cfRule type="cellIs" dxfId="26" priority="1" operator="lessThan">
      <formula>0</formula>
    </cfRule>
  </conditionalFormatting>
  <pageMargins left="0.7" right="0.7" top="0.75" bottom="0.75" header="0.3" footer="0.3"/>
  <pageSetup paperSize="9" scale="57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Munka21">
    <tabColor rgb="FF00B050"/>
  </sheetPr>
  <dimension ref="A2:AH52"/>
  <sheetViews>
    <sheetView zoomScale="80" zoomScaleNormal="80" workbookViewId="0">
      <selection activeCell="P15" sqref="P15"/>
    </sheetView>
  </sheetViews>
  <sheetFormatPr defaultColWidth="8.42578125" defaultRowHeight="15"/>
  <cols>
    <col min="1" max="1" width="37" style="27" customWidth="1"/>
    <col min="2" max="2" width="12.42578125" style="27" bestFit="1" customWidth="1"/>
    <col min="3" max="4" width="11.42578125" style="27" bestFit="1" customWidth="1"/>
    <col min="5" max="5" width="11.42578125" style="27" customWidth="1"/>
    <col min="6" max="11" width="11.42578125" style="27" bestFit="1" customWidth="1"/>
    <col min="12" max="12" width="12.42578125" style="27" bestFit="1" customWidth="1"/>
    <col min="13" max="13" width="11.85546875" style="27" bestFit="1" customWidth="1"/>
    <col min="14" max="14" width="11.42578125" style="27" bestFit="1" customWidth="1"/>
    <col min="15" max="15" width="11.42578125" style="27" customWidth="1"/>
    <col min="16" max="16" width="11.42578125" style="27" bestFit="1" customWidth="1"/>
    <col min="17" max="17" width="12.42578125" style="27" bestFit="1" customWidth="1"/>
    <col min="18" max="18" width="11.42578125" style="27" bestFit="1" customWidth="1"/>
    <col min="19" max="21" width="11.42578125" style="27" customWidth="1"/>
    <col min="22" max="23" width="12.42578125" style="27" bestFit="1" customWidth="1"/>
    <col min="24" max="24" width="12.42578125" style="27" customWidth="1"/>
    <col min="25" max="25" width="12.42578125" style="27" bestFit="1" customWidth="1"/>
    <col min="26" max="27" width="12.42578125" style="27" customWidth="1"/>
    <col min="28" max="28" width="34" style="27" bestFit="1" customWidth="1"/>
    <col min="29" max="29" width="13.42578125" style="27" bestFit="1" customWidth="1"/>
    <col min="30" max="30" width="14.42578125" style="27" bestFit="1" customWidth="1"/>
    <col min="31" max="31" width="17" style="27" bestFit="1" customWidth="1"/>
    <col min="32" max="32" width="25.42578125" style="27" customWidth="1"/>
    <col min="33" max="33" width="31.42578125" style="27" customWidth="1"/>
    <col min="34" max="34" width="38.42578125" style="27" bestFit="1" customWidth="1"/>
    <col min="35" max="39" width="10.42578125" style="27" customWidth="1"/>
    <col min="40" max="40" width="44.42578125" style="27" bestFit="1" customWidth="1"/>
    <col min="41" max="41" width="28.42578125" style="27" customWidth="1"/>
    <col min="42" max="44" width="10.42578125" style="27" customWidth="1"/>
    <col min="45" max="45" width="34" style="27" bestFit="1" customWidth="1"/>
    <col min="46" max="46" width="10.42578125" style="27" bestFit="1" customWidth="1"/>
    <col min="47" max="47" width="10.42578125" style="27" customWidth="1"/>
    <col min="48" max="48" width="47.42578125" style="27" bestFit="1" customWidth="1"/>
    <col min="49" max="68" width="10.42578125" style="27" bestFit="1" customWidth="1"/>
    <col min="69" max="69" width="52.42578125" style="27" bestFit="1" customWidth="1"/>
    <col min="70" max="70" width="37.42578125" style="27" bestFit="1" customWidth="1"/>
    <col min="71" max="73" width="10.42578125" style="27" bestFit="1" customWidth="1"/>
    <col min="74" max="74" width="42.42578125" style="27" bestFit="1" customWidth="1"/>
    <col min="75" max="75" width="37.42578125" style="27" bestFit="1" customWidth="1"/>
    <col min="76" max="76" width="43.42578125" style="27" bestFit="1" customWidth="1"/>
    <col min="77" max="77" width="30" style="27" bestFit="1" customWidth="1"/>
    <col min="78" max="83" width="10.42578125" style="27" bestFit="1" customWidth="1"/>
    <col min="84" max="84" width="35.42578125" style="27" bestFit="1" customWidth="1"/>
    <col min="85" max="85" width="18" style="27" bestFit="1" customWidth="1"/>
    <col min="86" max="89" width="10.42578125" style="27" bestFit="1" customWidth="1"/>
    <col min="90" max="90" width="22.42578125" style="27" bestFit="1" customWidth="1"/>
    <col min="91" max="91" width="23.42578125" style="27" bestFit="1" customWidth="1"/>
    <col min="92" max="93" width="10.42578125" style="27" bestFit="1" customWidth="1"/>
    <col min="94" max="94" width="28.42578125" style="27" bestFit="1" customWidth="1"/>
    <col min="95" max="95" width="18.42578125" style="27" bestFit="1" customWidth="1"/>
    <col min="96" max="96" width="23.42578125" style="27" bestFit="1" customWidth="1"/>
    <col min="97" max="97" width="24.42578125" style="27" bestFit="1" customWidth="1"/>
    <col min="98" max="98" width="29.42578125" style="27" bestFit="1" customWidth="1"/>
    <col min="99" max="99" width="27.42578125" style="27" bestFit="1" customWidth="1"/>
    <col min="100" max="100" width="10.42578125" style="27" bestFit="1" customWidth="1"/>
    <col min="101" max="101" width="32.42578125" style="27" bestFit="1" customWidth="1"/>
    <col min="102" max="102" width="23.42578125" style="27" bestFit="1" customWidth="1"/>
    <col min="103" max="103" width="29" style="27" bestFit="1" customWidth="1"/>
    <col min="104" max="104" width="33.42578125" style="27" bestFit="1" customWidth="1"/>
    <col min="105" max="110" width="10.42578125" style="27" bestFit="1" customWidth="1"/>
    <col min="111" max="111" width="39.42578125" style="27" bestFit="1" customWidth="1"/>
    <col min="112" max="112" width="24" style="27" bestFit="1" customWidth="1"/>
    <col min="113" max="113" width="10.42578125" style="27" bestFit="1" customWidth="1"/>
    <col min="114" max="114" width="28.42578125" style="27" bestFit="1" customWidth="1"/>
    <col min="115" max="115" width="24.42578125" style="27" bestFit="1" customWidth="1"/>
    <col min="116" max="116" width="10.42578125" style="27" bestFit="1" customWidth="1"/>
    <col min="117" max="117" width="29.42578125" style="27" bestFit="1" customWidth="1"/>
    <col min="118" max="118" width="14.42578125" style="27" bestFit="1" customWidth="1"/>
    <col min="119" max="136" width="10.42578125" style="27" bestFit="1" customWidth="1"/>
    <col min="137" max="137" width="19.42578125" style="27" bestFit="1" customWidth="1"/>
    <col min="138" max="138" width="14.42578125" style="27" bestFit="1" customWidth="1"/>
    <col min="139" max="139" width="10.42578125" style="27" bestFit="1" customWidth="1"/>
    <col min="140" max="140" width="19.42578125" style="27" bestFit="1" customWidth="1"/>
    <col min="141" max="141" width="10.42578125" style="27" bestFit="1" customWidth="1"/>
    <col min="142" max="142" width="14" style="27" bestFit="1" customWidth="1"/>
    <col min="143" max="143" width="21.42578125" style="27" bestFit="1" customWidth="1"/>
    <col min="144" max="145" width="10.42578125" style="27" bestFit="1" customWidth="1"/>
    <col min="146" max="146" width="27" style="27" bestFit="1" customWidth="1"/>
    <col min="147" max="147" width="16.42578125" style="27" bestFit="1" customWidth="1"/>
    <col min="148" max="148" width="20.42578125" style="27" bestFit="1" customWidth="1"/>
    <col min="149" max="149" width="10.42578125" style="27" bestFit="1" customWidth="1"/>
    <col min="150" max="150" width="15.42578125" style="27" bestFit="1" customWidth="1"/>
    <col min="151" max="151" width="40.42578125" style="27" bestFit="1" customWidth="1"/>
    <col min="152" max="156" width="10.42578125" style="27" bestFit="1" customWidth="1"/>
    <col min="157" max="157" width="45" style="27" bestFit="1" customWidth="1"/>
    <col min="158" max="158" width="30.42578125" style="27" bestFit="1" customWidth="1"/>
    <col min="159" max="159" width="35.42578125" style="27" bestFit="1" customWidth="1"/>
    <col min="160" max="160" width="28.42578125" style="27" bestFit="1" customWidth="1"/>
    <col min="161" max="161" width="33.42578125" style="27" bestFit="1" customWidth="1"/>
    <col min="162" max="162" width="26.42578125" style="27" bestFit="1" customWidth="1"/>
    <col min="163" max="164" width="10.42578125" style="27" bestFit="1" customWidth="1"/>
    <col min="165" max="165" width="32" style="27" bestFit="1" customWidth="1"/>
    <col min="166" max="166" width="27.42578125" style="27" bestFit="1" customWidth="1"/>
    <col min="167" max="185" width="10.42578125" style="27" bestFit="1" customWidth="1"/>
    <col min="186" max="186" width="32.42578125" style="27" bestFit="1" customWidth="1"/>
    <col min="187" max="187" width="33.42578125" style="27" bestFit="1" customWidth="1"/>
    <col min="188" max="188" width="39.42578125" style="27" bestFit="1" customWidth="1"/>
    <col min="189" max="189" width="29.42578125" style="27" bestFit="1" customWidth="1"/>
    <col min="190" max="191" width="10.42578125" style="27" bestFit="1" customWidth="1"/>
    <col min="192" max="192" width="33.42578125" style="27" bestFit="1" customWidth="1"/>
    <col min="193" max="193" width="21" style="27" bestFit="1" customWidth="1"/>
    <col min="194" max="196" width="10.42578125" style="27" bestFit="1" customWidth="1"/>
    <col min="197" max="197" width="26" style="27" bestFit="1" customWidth="1"/>
    <col min="198" max="198" width="16" style="27" bestFit="1" customWidth="1"/>
    <col min="199" max="199" width="10.42578125" style="27" bestFit="1" customWidth="1"/>
    <col min="200" max="200" width="21.42578125" style="27" bestFit="1" customWidth="1"/>
    <col min="201" max="201" width="27.42578125" style="27" bestFit="1" customWidth="1"/>
    <col min="202" max="202" width="32.42578125" style="27" bestFit="1" customWidth="1"/>
    <col min="203" max="203" width="41.42578125" style="27" bestFit="1" customWidth="1"/>
    <col min="204" max="207" width="10.42578125" style="27" bestFit="1" customWidth="1"/>
    <col min="208" max="208" width="46.42578125" style="27" bestFit="1" customWidth="1"/>
    <col min="209" max="209" width="46" style="27" bestFit="1" customWidth="1"/>
    <col min="210" max="210" width="50.42578125" style="27" bestFit="1" customWidth="1"/>
    <col min="211" max="211" width="13.42578125" style="27" bestFit="1" customWidth="1"/>
    <col min="212" max="213" width="10.42578125" style="27" bestFit="1" customWidth="1"/>
    <col min="214" max="214" width="18.42578125" style="27" bestFit="1" customWidth="1"/>
    <col min="215" max="215" width="38.42578125" style="27" bestFit="1" customWidth="1"/>
    <col min="216" max="235" width="10.42578125" style="27" bestFit="1" customWidth="1"/>
    <col min="236" max="236" width="43.42578125" style="27" bestFit="1" customWidth="1"/>
    <col min="237" max="237" width="26.42578125" style="27" bestFit="1" customWidth="1"/>
    <col min="238" max="242" width="10.42578125" style="27" bestFit="1" customWidth="1"/>
    <col min="243" max="243" width="32" style="27" bestFit="1" customWidth="1"/>
    <col min="244" max="244" width="17.42578125" style="27" bestFit="1" customWidth="1"/>
    <col min="245" max="245" width="10.42578125" style="27" bestFit="1" customWidth="1"/>
    <col min="246" max="246" width="22.42578125" style="27" bestFit="1" customWidth="1"/>
    <col min="247" max="247" width="19.42578125" style="27" bestFit="1" customWidth="1"/>
    <col min="248" max="248" width="10.42578125" style="27" bestFit="1" customWidth="1"/>
    <col min="249" max="249" width="25" style="27" bestFit="1" customWidth="1"/>
    <col min="250" max="250" width="12.42578125" style="27" bestFit="1" customWidth="1"/>
    <col min="251" max="251" width="16.42578125" style="27" bestFit="1" customWidth="1"/>
    <col min="252" max="252" width="10" style="27" bestFit="1" customWidth="1"/>
    <col min="253" max="16384" width="8.42578125" style="27"/>
  </cols>
  <sheetData>
    <row r="2" spans="1:34">
      <c r="B2" s="132"/>
      <c r="C2" s="132"/>
      <c r="D2" s="132"/>
      <c r="E2" s="132"/>
      <c r="F2" s="132"/>
      <c r="G2" s="132"/>
      <c r="H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</row>
    <row r="3" spans="1:34">
      <c r="B3" s="132"/>
      <c r="C3" s="132"/>
      <c r="D3" s="132"/>
      <c r="E3" s="132"/>
      <c r="F3" s="132"/>
      <c r="G3" s="132"/>
      <c r="H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AE3" s="30">
        <v>10000</v>
      </c>
    </row>
    <row r="4" spans="1:34"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AE4" s="30"/>
    </row>
    <row r="5" spans="1:34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AB5" s="206"/>
      <c r="AE5" s="30"/>
    </row>
    <row r="6" spans="1:34">
      <c r="B6" s="30"/>
      <c r="C6" s="30"/>
      <c r="D6" s="30"/>
      <c r="E6" s="30"/>
      <c r="F6" s="30"/>
      <c r="G6" s="30"/>
      <c r="R6" s="30"/>
      <c r="AD6" s="30"/>
      <c r="AE6" s="30">
        <f>AF6-AF7</f>
        <v>40000</v>
      </c>
      <c r="AF6" s="30">
        <v>160000</v>
      </c>
      <c r="AH6" s="145"/>
    </row>
    <row r="7" spans="1:34">
      <c r="A7" s="31"/>
      <c r="B7" s="32">
        <v>45628</v>
      </c>
      <c r="C7" s="32">
        <v>45629</v>
      </c>
      <c r="D7" s="32">
        <v>45630</v>
      </c>
      <c r="E7" s="32">
        <v>45631</v>
      </c>
      <c r="F7" s="32">
        <v>45632</v>
      </c>
      <c r="G7" s="32">
        <v>45635</v>
      </c>
      <c r="H7" s="32">
        <v>45636</v>
      </c>
      <c r="I7" s="32">
        <v>45637</v>
      </c>
      <c r="J7" s="32">
        <v>45638</v>
      </c>
      <c r="K7" s="32">
        <v>45639</v>
      </c>
      <c r="L7" s="32">
        <v>45642</v>
      </c>
      <c r="M7" s="32">
        <v>45643</v>
      </c>
      <c r="N7" s="32">
        <v>45644</v>
      </c>
      <c r="O7" s="32">
        <v>45645</v>
      </c>
      <c r="P7" s="32">
        <v>45646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109"/>
      <c r="AC7" s="109"/>
      <c r="AF7" s="27">
        <v>120000</v>
      </c>
      <c r="AH7" s="145"/>
    </row>
    <row r="8" spans="1:34">
      <c r="A8" s="33" t="s">
        <v>211</v>
      </c>
      <c r="B8" s="36">
        <v>305520.89</v>
      </c>
      <c r="C8" s="493">
        <f>279836+7391</f>
        <v>287227</v>
      </c>
      <c r="D8" s="36">
        <v>284385</v>
      </c>
      <c r="E8" s="36"/>
      <c r="F8" s="36"/>
      <c r="G8" s="256"/>
      <c r="H8" s="34"/>
      <c r="I8" s="34"/>
      <c r="J8" s="34"/>
      <c r="K8" s="34"/>
      <c r="L8" s="256"/>
      <c r="M8" s="256"/>
      <c r="N8" s="34"/>
      <c r="O8" s="34"/>
      <c r="P8" s="34"/>
      <c r="Q8" s="34"/>
      <c r="R8" s="256"/>
      <c r="S8" s="256"/>
      <c r="T8" s="34"/>
      <c r="U8" s="34"/>
      <c r="V8" s="34"/>
      <c r="W8" s="34"/>
      <c r="X8" s="34"/>
      <c r="Y8" s="34"/>
      <c r="Z8" s="34"/>
      <c r="AA8" s="34"/>
      <c r="AB8" s="34" t="s">
        <v>212</v>
      </c>
      <c r="AC8" s="34"/>
      <c r="AH8" s="145"/>
    </row>
    <row r="9" spans="1:34">
      <c r="A9" s="35" t="s">
        <v>213</v>
      </c>
      <c r="B9" s="36">
        <v>292030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36"/>
      <c r="Z9" s="36"/>
      <c r="AA9" s="36"/>
      <c r="AB9" s="36" t="s">
        <v>214</v>
      </c>
      <c r="AC9" s="37">
        <f>B9+C3</f>
        <v>292030</v>
      </c>
      <c r="AD9" s="30"/>
      <c r="AE9" s="30"/>
      <c r="AF9" s="30"/>
      <c r="AH9" s="145"/>
    </row>
    <row r="10" spans="1:34" ht="15" customHeight="1">
      <c r="A10" s="35" t="s">
        <v>215</v>
      </c>
      <c r="B10" s="37">
        <v>6604.8040000000001</v>
      </c>
      <c r="C10" s="37">
        <v>8756</v>
      </c>
      <c r="D10" s="37">
        <v>36319.14</v>
      </c>
      <c r="E10" s="37">
        <v>0</v>
      </c>
      <c r="F10" s="37">
        <v>22047.599999999999</v>
      </c>
      <c r="G10" s="37">
        <v>0</v>
      </c>
      <c r="H10" s="37">
        <v>0</v>
      </c>
      <c r="I10" s="37">
        <v>14570.1304</v>
      </c>
      <c r="J10" s="37">
        <v>23681.3</v>
      </c>
      <c r="K10" s="37">
        <v>0</v>
      </c>
      <c r="L10" s="37">
        <v>14858</v>
      </c>
      <c r="M10" s="37">
        <v>6644.22</v>
      </c>
      <c r="N10" s="37">
        <v>81129.64</v>
      </c>
      <c r="O10" s="37">
        <v>44108.7</v>
      </c>
      <c r="P10" s="37">
        <v>27513.54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 t="s">
        <v>216</v>
      </c>
      <c r="AC10" s="37">
        <f>SUM(B10:AB10)</f>
        <v>286233.07439999998</v>
      </c>
      <c r="AE10" s="30">
        <v>128000</v>
      </c>
      <c r="AF10" s="30"/>
      <c r="AH10" s="145"/>
    </row>
    <row r="11" spans="1:34">
      <c r="A11" s="35" t="s">
        <v>217</v>
      </c>
      <c r="B11" s="38">
        <f>B10-B9</f>
        <v>-285425.196</v>
      </c>
      <c r="C11" s="38">
        <f>B11+C10</f>
        <v>-276669.196</v>
      </c>
      <c r="D11" s="38">
        <f t="shared" ref="D11:T11" si="0">C11+D10-D9</f>
        <v>-240350.05599999998</v>
      </c>
      <c r="E11" s="38">
        <f t="shared" si="0"/>
        <v>-240350.05599999998</v>
      </c>
      <c r="F11" s="38">
        <f t="shared" si="0"/>
        <v>-218302.45599999998</v>
      </c>
      <c r="G11" s="38">
        <f t="shared" si="0"/>
        <v>-218302.45599999998</v>
      </c>
      <c r="H11" s="38">
        <f t="shared" si="0"/>
        <v>-218302.45599999998</v>
      </c>
      <c r="I11" s="38">
        <f t="shared" si="0"/>
        <v>-203732.32559999998</v>
      </c>
      <c r="J11" s="38">
        <f t="shared" si="0"/>
        <v>-180051.02559999999</v>
      </c>
      <c r="K11" s="38">
        <f t="shared" si="0"/>
        <v>-180051.02559999999</v>
      </c>
      <c r="L11" s="38">
        <f t="shared" si="0"/>
        <v>-165193.02559999999</v>
      </c>
      <c r="M11" s="38">
        <f t="shared" si="0"/>
        <v>-158548.80559999999</v>
      </c>
      <c r="N11" s="38">
        <f t="shared" si="0"/>
        <v>-77419.165599999993</v>
      </c>
      <c r="O11" s="38">
        <f>N11+O10-O9</f>
        <v>-33310.465599999996</v>
      </c>
      <c r="P11" s="38">
        <f>O11+P10-P9</f>
        <v>-5796.925599999995</v>
      </c>
      <c r="Q11" s="38">
        <f t="shared" si="0"/>
        <v>-5796.925599999995</v>
      </c>
      <c r="R11" s="38">
        <f t="shared" si="0"/>
        <v>-5796.925599999995</v>
      </c>
      <c r="S11" s="38">
        <f t="shared" si="0"/>
        <v>-5796.925599999995</v>
      </c>
      <c r="T11" s="38">
        <f t="shared" si="0"/>
        <v>-5796.925599999995</v>
      </c>
      <c r="U11" s="38">
        <f t="shared" ref="U11:AA11" si="1">T11+U10-U9</f>
        <v>-5796.925599999995</v>
      </c>
      <c r="V11" s="38">
        <f t="shared" si="1"/>
        <v>-5796.925599999995</v>
      </c>
      <c r="W11" s="38">
        <f t="shared" si="1"/>
        <v>-5796.925599999995</v>
      </c>
      <c r="X11" s="38">
        <f t="shared" si="1"/>
        <v>-5796.925599999995</v>
      </c>
      <c r="Y11" s="38">
        <f t="shared" si="1"/>
        <v>-5796.925599999995</v>
      </c>
      <c r="Z11" s="38">
        <f t="shared" si="1"/>
        <v>-5796.925599999995</v>
      </c>
      <c r="AA11" s="38">
        <f t="shared" si="1"/>
        <v>-5796.925599999995</v>
      </c>
      <c r="AB11" s="38" t="s">
        <v>218</v>
      </c>
      <c r="AC11" s="38">
        <f>AC9-AC10</f>
        <v>5796.9256000000169</v>
      </c>
      <c r="AE11" s="30"/>
      <c r="AH11" s="145"/>
    </row>
    <row r="12" spans="1:34">
      <c r="A12" s="35" t="s">
        <v>219</v>
      </c>
      <c r="B12" s="37">
        <v>194932.87999999998</v>
      </c>
      <c r="C12" s="37">
        <v>186176.87999999998</v>
      </c>
      <c r="D12" s="37">
        <v>171650.88</v>
      </c>
      <c r="E12" s="37">
        <v>187282.88</v>
      </c>
      <c r="F12" s="37">
        <v>163459.25999999998</v>
      </c>
      <c r="G12" s="37">
        <v>164209.8904</v>
      </c>
      <c r="H12" s="37">
        <v>164209.8904</v>
      </c>
      <c r="I12" s="37">
        <v>148760.75999999998</v>
      </c>
      <c r="J12" s="37">
        <v>132143.26</v>
      </c>
      <c r="K12" s="37">
        <v>149472.95999999999</v>
      </c>
      <c r="L12" s="37">
        <v>141546.56</v>
      </c>
      <c r="M12" s="37">
        <v>138822.31</v>
      </c>
      <c r="N12" s="37">
        <v>98309.67</v>
      </c>
      <c r="O12" s="37">
        <v>54066.9</v>
      </c>
      <c r="P12" s="37">
        <v>42296.9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 t="s">
        <v>220</v>
      </c>
      <c r="AC12" s="37"/>
      <c r="AE12" s="30"/>
      <c r="AH12" s="145"/>
    </row>
    <row r="13" spans="1:34">
      <c r="A13" s="35" t="s">
        <v>221</v>
      </c>
      <c r="B13" s="38">
        <f t="shared" ref="B13:G13" si="2">B11+B12</f>
        <v>-90492.316000000021</v>
      </c>
      <c r="C13" s="38">
        <f t="shared" si="2"/>
        <v>-90492.316000000021</v>
      </c>
      <c r="D13" s="38">
        <f t="shared" si="2"/>
        <v>-68699.175999999978</v>
      </c>
      <c r="E13" s="38">
        <f t="shared" si="2"/>
        <v>-53067.175999999978</v>
      </c>
      <c r="F13" s="38">
        <f t="shared" si="2"/>
        <v>-54843.195999999996</v>
      </c>
      <c r="G13" s="38">
        <f t="shared" si="2"/>
        <v>-54092.565599999973</v>
      </c>
      <c r="H13" s="38">
        <f t="shared" ref="H13:P13" si="3">H11+H12</f>
        <v>-54092.565599999973</v>
      </c>
      <c r="I13" s="38">
        <f t="shared" si="3"/>
        <v>-54971.565600000002</v>
      </c>
      <c r="J13" s="38">
        <f t="shared" si="3"/>
        <v>-47907.765599999984</v>
      </c>
      <c r="K13" s="38">
        <f t="shared" si="3"/>
        <v>-30578.065600000002</v>
      </c>
      <c r="L13" s="38">
        <f t="shared" si="3"/>
        <v>-23646.465599999996</v>
      </c>
      <c r="M13" s="38">
        <f t="shared" si="3"/>
        <v>-19726.495599999995</v>
      </c>
      <c r="N13" s="38">
        <f t="shared" si="3"/>
        <v>20890.504400000005</v>
      </c>
      <c r="O13" s="38">
        <f t="shared" si="3"/>
        <v>20756.434400000006</v>
      </c>
      <c r="P13" s="38">
        <f t="shared" si="3"/>
        <v>36499.974400000006</v>
      </c>
      <c r="Q13" s="38">
        <f t="shared" ref="Q13:AA13" si="4">Q11+Q12</f>
        <v>-5796.925599999995</v>
      </c>
      <c r="R13" s="38">
        <f t="shared" si="4"/>
        <v>-5796.925599999995</v>
      </c>
      <c r="S13" s="38">
        <f t="shared" si="4"/>
        <v>-5796.925599999995</v>
      </c>
      <c r="T13" s="38">
        <f t="shared" si="4"/>
        <v>-5796.925599999995</v>
      </c>
      <c r="U13" s="38">
        <f t="shared" si="4"/>
        <v>-5796.925599999995</v>
      </c>
      <c r="V13" s="38">
        <f t="shared" si="4"/>
        <v>-5796.925599999995</v>
      </c>
      <c r="W13" s="38">
        <f t="shared" si="4"/>
        <v>-5796.925599999995</v>
      </c>
      <c r="X13" s="38">
        <f t="shared" si="4"/>
        <v>-5796.925599999995</v>
      </c>
      <c r="Y13" s="38">
        <f t="shared" si="4"/>
        <v>-5796.925599999995</v>
      </c>
      <c r="Z13" s="38">
        <f t="shared" si="4"/>
        <v>-5796.925599999995</v>
      </c>
      <c r="AA13" s="38">
        <f t="shared" si="4"/>
        <v>-5796.925599999995</v>
      </c>
      <c r="AB13" s="38" t="s">
        <v>222</v>
      </c>
      <c r="AC13" s="38">
        <f>X14-B16</f>
        <v>0</v>
      </c>
      <c r="AE13" s="30"/>
      <c r="AH13" s="145"/>
    </row>
    <row r="14" spans="1:34">
      <c r="A14" s="27" t="s">
        <v>223</v>
      </c>
      <c r="B14" s="38">
        <v>359554.72060000006</v>
      </c>
      <c r="C14" s="38">
        <v>353773.72060000006</v>
      </c>
      <c r="D14" s="38">
        <v>349760.76060000004</v>
      </c>
      <c r="E14" s="38">
        <v>358061.56060000003</v>
      </c>
      <c r="F14" s="38">
        <v>349591.46060000005</v>
      </c>
      <c r="G14" s="38">
        <v>415291.47100000008</v>
      </c>
      <c r="H14" s="38">
        <v>416241.47100000008</v>
      </c>
      <c r="I14" s="38">
        <v>410192.34060000005</v>
      </c>
      <c r="J14" s="38">
        <v>402401.94060000003</v>
      </c>
      <c r="K14" s="38">
        <v>411487.55960000004</v>
      </c>
      <c r="L14" s="38">
        <v>421781.30160000001</v>
      </c>
      <c r="M14" s="38">
        <v>436581.06160000007</v>
      </c>
      <c r="N14" s="38">
        <v>366633.18859999999</v>
      </c>
      <c r="O14" s="38">
        <v>338817.17859999998</v>
      </c>
      <c r="P14" s="38">
        <v>318261.6066</v>
      </c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 t="s">
        <v>224</v>
      </c>
      <c r="AC14" s="38">
        <f>AC12+B16</f>
        <v>0</v>
      </c>
      <c r="AE14" s="113"/>
      <c r="AH14" s="145"/>
    </row>
    <row r="15" spans="1:34">
      <c r="A15" s="27" t="s">
        <v>225</v>
      </c>
      <c r="B15" s="38">
        <v>36709.18</v>
      </c>
      <c r="C15" s="38">
        <v>35804.18</v>
      </c>
      <c r="D15" s="38">
        <v>27792.080000000002</v>
      </c>
      <c r="E15" s="38">
        <v>29502.080000000002</v>
      </c>
      <c r="F15" s="38">
        <v>28805.48</v>
      </c>
      <c r="G15" s="38">
        <v>29752.04</v>
      </c>
      <c r="H15" s="38">
        <v>29752.04</v>
      </c>
      <c r="I15" s="38">
        <v>27590.54</v>
      </c>
      <c r="J15" s="38">
        <v>27335.54</v>
      </c>
      <c r="K15" s="38">
        <v>27335.54</v>
      </c>
      <c r="L15" s="38">
        <v>28694.54</v>
      </c>
      <c r="M15" s="38">
        <v>31144.54</v>
      </c>
      <c r="N15" s="38">
        <v>22824.9</v>
      </c>
      <c r="O15" s="38">
        <v>24714.9</v>
      </c>
      <c r="P15" s="38">
        <v>24868.180000000004</v>
      </c>
      <c r="Q15" s="38"/>
      <c r="R15" s="38"/>
      <c r="S15" s="38"/>
      <c r="T15" s="38"/>
      <c r="U15" s="38"/>
      <c r="V15" s="38"/>
      <c r="W15" s="38"/>
      <c r="X15" s="474"/>
      <c r="Y15" s="38"/>
      <c r="Z15" s="38"/>
      <c r="AA15" s="38"/>
      <c r="AB15" s="38" t="s">
        <v>226</v>
      </c>
      <c r="AC15" s="38">
        <f>AC13+AC10</f>
        <v>286233.07439999998</v>
      </c>
      <c r="AH15" s="145"/>
    </row>
    <row r="16" spans="1:34">
      <c r="A16" s="27" t="s">
        <v>227</v>
      </c>
      <c r="B16" s="38"/>
      <c r="C16" s="30"/>
      <c r="D16" s="30"/>
      <c r="E16" s="30"/>
      <c r="F16" s="112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9"/>
      <c r="AH16" s="145"/>
    </row>
    <row r="17" spans="1:34">
      <c r="A17" s="27" t="s">
        <v>228</v>
      </c>
      <c r="B17" s="38"/>
      <c r="D17" s="30"/>
      <c r="E17" s="30"/>
      <c r="F17" s="112"/>
      <c r="H17" s="30"/>
      <c r="AA17" s="30"/>
      <c r="AB17" s="39"/>
      <c r="AH17" s="145"/>
    </row>
    <row r="18" spans="1:34">
      <c r="AF18" s="27">
        <f>8*805</f>
        <v>6440</v>
      </c>
      <c r="AH18" s="145"/>
    </row>
    <row r="19" spans="1:34">
      <c r="AH19" s="145"/>
    </row>
    <row r="20" spans="1:34">
      <c r="AH20" s="145"/>
    </row>
    <row r="21" spans="1:34">
      <c r="AH21" s="145"/>
    </row>
    <row r="22" spans="1:34">
      <c r="AH22" s="145"/>
    </row>
    <row r="24" spans="1:34">
      <c r="T24" s="30"/>
      <c r="U24" s="30"/>
    </row>
    <row r="49" spans="17:27">
      <c r="X49" s="27" t="s">
        <v>229</v>
      </c>
      <c r="AA49" s="30">
        <f>X10-1152</f>
        <v>-1152</v>
      </c>
    </row>
    <row r="50" spans="17:27">
      <c r="X50" s="27" t="s">
        <v>230</v>
      </c>
      <c r="AA50" s="30">
        <f>Y10-4432</f>
        <v>-4432</v>
      </c>
    </row>
    <row r="51" spans="17:27">
      <c r="Q51" s="27" t="s">
        <v>231</v>
      </c>
      <c r="X51" s="27" t="s">
        <v>232</v>
      </c>
      <c r="AA51" s="30">
        <f>AA10-1610</f>
        <v>-1610</v>
      </c>
    </row>
    <row r="52" spans="17:27">
      <c r="Q52" s="27" t="s">
        <v>233</v>
      </c>
    </row>
  </sheetData>
  <pageMargins left="0.7" right="0.7" top="0.75" bottom="0.75" header="0.3" footer="0.3"/>
  <pageSetup paperSize="25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Munka23"/>
  <dimension ref="A1:I8"/>
  <sheetViews>
    <sheetView workbookViewId="0">
      <selection activeCell="I6" sqref="I6"/>
    </sheetView>
  </sheetViews>
  <sheetFormatPr defaultRowHeight="15"/>
  <cols>
    <col min="1" max="1" width="23.42578125" bestFit="1" customWidth="1"/>
    <col min="2" max="2" width="12.42578125" bestFit="1" customWidth="1"/>
    <col min="3" max="4" width="11.42578125" bestFit="1" customWidth="1"/>
    <col min="5" max="5" width="12.42578125" bestFit="1" customWidth="1"/>
    <col min="6" max="9" width="10.42578125" bestFit="1" customWidth="1"/>
  </cols>
  <sheetData>
    <row r="1" spans="1:9">
      <c r="B1" s="1">
        <v>43160</v>
      </c>
      <c r="C1" s="1">
        <v>43161</v>
      </c>
      <c r="D1" s="1">
        <v>43164</v>
      </c>
      <c r="E1" s="1">
        <v>43165</v>
      </c>
      <c r="F1" s="1">
        <v>43166</v>
      </c>
      <c r="G1" s="1">
        <v>43167</v>
      </c>
      <c r="H1" s="1">
        <v>43168</v>
      </c>
      <c r="I1" s="1">
        <v>43169</v>
      </c>
    </row>
    <row r="2" spans="1:9">
      <c r="A2" t="s">
        <v>234</v>
      </c>
      <c r="B2" s="3">
        <v>69000</v>
      </c>
      <c r="C2" s="3">
        <v>15505</v>
      </c>
      <c r="D2" s="3">
        <v>53586</v>
      </c>
      <c r="E2" s="3">
        <v>16571</v>
      </c>
    </row>
    <row r="3" spans="1:9">
      <c r="A3" t="s">
        <v>235</v>
      </c>
      <c r="B3">
        <v>79</v>
      </c>
      <c r="C3">
        <v>107</v>
      </c>
      <c r="D3">
        <v>105</v>
      </c>
      <c r="E3">
        <v>61</v>
      </c>
      <c r="F3">
        <v>64</v>
      </c>
      <c r="G3">
        <v>97</v>
      </c>
      <c r="H3">
        <v>72</v>
      </c>
      <c r="I3">
        <v>101</v>
      </c>
    </row>
    <row r="4" spans="1:9">
      <c r="A4" t="s">
        <v>236</v>
      </c>
      <c r="B4">
        <v>93</v>
      </c>
      <c r="C4">
        <v>109</v>
      </c>
      <c r="D4">
        <v>77</v>
      </c>
      <c r="E4">
        <v>76</v>
      </c>
      <c r="F4">
        <v>60</v>
      </c>
      <c r="G4">
        <v>139</v>
      </c>
      <c r="H4">
        <v>81</v>
      </c>
      <c r="I4">
        <v>74</v>
      </c>
    </row>
    <row r="5" spans="1:9">
      <c r="A5" t="s">
        <v>237</v>
      </c>
      <c r="B5" s="2">
        <v>0.91</v>
      </c>
      <c r="C5" s="19">
        <v>0.84899999999999998</v>
      </c>
      <c r="D5" s="4">
        <v>0.76</v>
      </c>
      <c r="E5" s="4">
        <v>0.85</v>
      </c>
      <c r="F5" s="4">
        <v>0.79</v>
      </c>
      <c r="G5" s="4">
        <v>0.64</v>
      </c>
      <c r="H5" s="4">
        <v>0.74</v>
      </c>
      <c r="I5" s="4">
        <v>0.81</v>
      </c>
    </row>
    <row r="8" spans="1:9">
      <c r="A8" s="5"/>
    </row>
  </sheetData>
  <phoneticPr fontId="16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Munka24">
    <pageSetUpPr fitToPage="1"/>
  </sheetPr>
  <dimension ref="A1:AX30"/>
  <sheetViews>
    <sheetView topLeftCell="A7" zoomScale="80" zoomScaleNormal="80" workbookViewId="0">
      <pane xSplit="1" topLeftCell="L1" activePane="topRight" state="frozen"/>
      <selection pane="topRight" activeCell="AA30" sqref="AA30"/>
    </sheetView>
  </sheetViews>
  <sheetFormatPr defaultRowHeight="15"/>
  <cols>
    <col min="1" max="1" width="15" bestFit="1" customWidth="1"/>
    <col min="2" max="2" width="10.42578125" bestFit="1" customWidth="1"/>
    <col min="3" max="4" width="10.42578125" customWidth="1"/>
    <col min="5" max="5" width="10.42578125" bestFit="1" customWidth="1"/>
    <col min="6" max="7" width="10.42578125" customWidth="1"/>
    <col min="8" max="8" width="10.42578125" bestFit="1" customWidth="1"/>
    <col min="9" max="10" width="10.42578125" customWidth="1"/>
    <col min="11" max="11" width="10.42578125" bestFit="1" customWidth="1"/>
    <col min="12" max="13" width="10.42578125" customWidth="1"/>
    <col min="14" max="14" width="10.42578125" bestFit="1" customWidth="1"/>
    <col min="15" max="16" width="10.42578125" customWidth="1"/>
    <col min="17" max="17" width="10.42578125" bestFit="1" customWidth="1"/>
    <col min="18" max="19" width="10.42578125" customWidth="1"/>
    <col min="20" max="20" width="10.42578125" bestFit="1" customWidth="1"/>
    <col min="21" max="22" width="10.42578125" customWidth="1"/>
    <col min="23" max="23" width="10.42578125" bestFit="1" customWidth="1"/>
    <col min="24" max="25" width="10.42578125" customWidth="1"/>
    <col min="26" max="26" width="10.42578125" bestFit="1" customWidth="1"/>
    <col min="27" max="28" width="10.42578125" customWidth="1"/>
    <col min="29" max="29" width="10.42578125" bestFit="1" customWidth="1"/>
    <col min="30" max="30" width="10.42578125" customWidth="1"/>
    <col min="31" max="31" width="10.42578125" bestFit="1" customWidth="1"/>
    <col min="32" max="32" width="10.42578125" customWidth="1"/>
    <col min="33" max="33" width="10.42578125" bestFit="1" customWidth="1"/>
    <col min="34" max="34" width="10.42578125" customWidth="1"/>
    <col min="35" max="35" width="10.42578125" bestFit="1" customWidth="1"/>
    <col min="36" max="36" width="10.42578125" customWidth="1"/>
    <col min="37" max="37" width="10.42578125" bestFit="1" customWidth="1"/>
    <col min="38" max="38" width="10.42578125" customWidth="1"/>
    <col min="39" max="39" width="10.42578125" bestFit="1" customWidth="1"/>
    <col min="40" max="40" width="10.42578125" customWidth="1"/>
    <col min="41" max="41" width="10.42578125" bestFit="1" customWidth="1"/>
    <col min="42" max="42" width="10.42578125" customWidth="1"/>
    <col min="43" max="43" width="10.42578125" bestFit="1" customWidth="1"/>
    <col min="44" max="44" width="10.42578125" customWidth="1"/>
    <col min="45" max="45" width="10.42578125" bestFit="1" customWidth="1"/>
    <col min="46" max="46" width="10.42578125" customWidth="1"/>
    <col min="47" max="47" width="10.42578125" bestFit="1" customWidth="1"/>
    <col min="48" max="48" width="10.42578125" customWidth="1"/>
    <col min="49" max="49" width="10.42578125" bestFit="1" customWidth="1"/>
  </cols>
  <sheetData>
    <row r="1" spans="1:50" s="1" customFormat="1">
      <c r="A1" s="8"/>
      <c r="B1" s="548">
        <v>43160</v>
      </c>
      <c r="C1" s="549"/>
      <c r="D1" s="550"/>
      <c r="E1" s="551">
        <v>43161</v>
      </c>
      <c r="F1" s="552"/>
      <c r="G1" s="553"/>
      <c r="H1" s="557">
        <v>43164</v>
      </c>
      <c r="I1" s="558"/>
      <c r="J1" s="559"/>
      <c r="K1" s="557">
        <v>43165</v>
      </c>
      <c r="L1" s="558"/>
      <c r="M1" s="559"/>
      <c r="N1" s="557">
        <v>43166</v>
      </c>
      <c r="O1" s="558"/>
      <c r="P1" s="559"/>
      <c r="Q1" s="556">
        <v>43167</v>
      </c>
      <c r="R1" s="554"/>
      <c r="S1" s="21"/>
      <c r="T1" s="554">
        <v>43168</v>
      </c>
      <c r="U1" s="554"/>
      <c r="V1" s="21"/>
      <c r="W1" s="554">
        <v>43169</v>
      </c>
      <c r="X1" s="554"/>
      <c r="Y1" s="21"/>
      <c r="Z1" s="554">
        <v>43171</v>
      </c>
      <c r="AA1" s="554"/>
      <c r="AB1" s="21"/>
      <c r="AC1" s="554">
        <v>43172</v>
      </c>
      <c r="AD1" s="554"/>
      <c r="AE1" s="554">
        <v>43173</v>
      </c>
      <c r="AF1" s="554"/>
      <c r="AG1" s="554">
        <v>43178</v>
      </c>
      <c r="AH1" s="554"/>
      <c r="AI1" s="554">
        <v>43179</v>
      </c>
      <c r="AJ1" s="554"/>
      <c r="AK1" s="554">
        <v>43180</v>
      </c>
      <c r="AL1" s="554"/>
      <c r="AM1" s="555">
        <v>43181</v>
      </c>
      <c r="AN1" s="555"/>
      <c r="AO1" s="554">
        <v>43182</v>
      </c>
      <c r="AP1" s="554"/>
      <c r="AQ1" s="554">
        <v>43185</v>
      </c>
      <c r="AR1" s="554"/>
      <c r="AS1" s="554">
        <v>43186</v>
      </c>
      <c r="AT1" s="554"/>
      <c r="AU1" s="554">
        <v>43187</v>
      </c>
      <c r="AV1" s="554"/>
      <c r="AW1" s="554">
        <v>43188</v>
      </c>
      <c r="AX1" s="554"/>
    </row>
    <row r="2" spans="1:50" s="1" customFormat="1">
      <c r="A2" s="8"/>
      <c r="B2" s="12" t="s">
        <v>178</v>
      </c>
      <c r="C2" s="6" t="s">
        <v>238</v>
      </c>
      <c r="D2" s="13" t="s">
        <v>239</v>
      </c>
      <c r="E2" s="12" t="s">
        <v>178</v>
      </c>
      <c r="F2" s="6" t="s">
        <v>238</v>
      </c>
      <c r="G2" s="13" t="s">
        <v>120</v>
      </c>
      <c r="H2" s="12" t="s">
        <v>178</v>
      </c>
      <c r="I2" s="6" t="s">
        <v>238</v>
      </c>
      <c r="J2" s="13" t="s">
        <v>239</v>
      </c>
      <c r="K2" s="12" t="s">
        <v>178</v>
      </c>
      <c r="L2" s="6" t="s">
        <v>238</v>
      </c>
      <c r="M2" s="13" t="s">
        <v>120</v>
      </c>
      <c r="N2" s="12" t="s">
        <v>178</v>
      </c>
      <c r="O2" s="6" t="s">
        <v>238</v>
      </c>
      <c r="P2" s="13" t="s">
        <v>120</v>
      </c>
      <c r="Q2" s="10" t="s">
        <v>178</v>
      </c>
      <c r="R2" s="6" t="s">
        <v>238</v>
      </c>
      <c r="S2" s="13" t="s">
        <v>120</v>
      </c>
      <c r="T2" s="6" t="s">
        <v>178</v>
      </c>
      <c r="U2" s="6" t="s">
        <v>238</v>
      </c>
      <c r="V2" s="13" t="s">
        <v>120</v>
      </c>
      <c r="W2" s="6" t="s">
        <v>178</v>
      </c>
      <c r="X2" s="6" t="s">
        <v>238</v>
      </c>
      <c r="Y2" s="13" t="s">
        <v>120</v>
      </c>
      <c r="Z2" s="6" t="s">
        <v>178</v>
      </c>
      <c r="AA2" s="6" t="s">
        <v>238</v>
      </c>
      <c r="AB2" s="13" t="s">
        <v>120</v>
      </c>
      <c r="AC2" s="6" t="s">
        <v>178</v>
      </c>
      <c r="AD2" s="6" t="s">
        <v>238</v>
      </c>
      <c r="AE2" s="6" t="s">
        <v>178</v>
      </c>
      <c r="AF2" s="6" t="s">
        <v>238</v>
      </c>
      <c r="AG2" s="6" t="s">
        <v>178</v>
      </c>
      <c r="AH2" s="6" t="s">
        <v>238</v>
      </c>
      <c r="AI2" s="6" t="s">
        <v>178</v>
      </c>
      <c r="AJ2" s="6" t="s">
        <v>238</v>
      </c>
      <c r="AK2" s="6" t="s">
        <v>178</v>
      </c>
      <c r="AL2" s="6" t="s">
        <v>238</v>
      </c>
      <c r="AM2" s="6" t="s">
        <v>178</v>
      </c>
      <c r="AN2" s="6" t="s">
        <v>238</v>
      </c>
      <c r="AO2" s="6" t="s">
        <v>178</v>
      </c>
      <c r="AP2" s="6" t="s">
        <v>238</v>
      </c>
      <c r="AQ2" s="6" t="s">
        <v>178</v>
      </c>
      <c r="AR2" s="6" t="s">
        <v>238</v>
      </c>
      <c r="AS2" s="6" t="s">
        <v>178</v>
      </c>
      <c r="AT2" s="6" t="s">
        <v>238</v>
      </c>
      <c r="AU2" s="6" t="s">
        <v>178</v>
      </c>
      <c r="AV2" s="6" t="s">
        <v>238</v>
      </c>
      <c r="AW2" s="6" t="s">
        <v>178</v>
      </c>
      <c r="AX2" s="6" t="s">
        <v>238</v>
      </c>
    </row>
    <row r="3" spans="1:50">
      <c r="A3" s="9" t="s">
        <v>240</v>
      </c>
      <c r="B3" s="14">
        <v>1.5</v>
      </c>
      <c r="C3" s="7">
        <v>1.5</v>
      </c>
      <c r="D3" s="15">
        <f>C3-B3</f>
        <v>0</v>
      </c>
      <c r="E3" s="14">
        <v>1.5</v>
      </c>
      <c r="F3" s="7">
        <v>1.5</v>
      </c>
      <c r="G3" s="15">
        <f>F3-E3</f>
        <v>0</v>
      </c>
      <c r="H3" s="14">
        <v>1.5</v>
      </c>
      <c r="I3" s="7">
        <v>0</v>
      </c>
      <c r="J3" s="15">
        <f>I3-H3</f>
        <v>-1.5</v>
      </c>
      <c r="K3" s="14">
        <v>1.5</v>
      </c>
      <c r="L3" s="7">
        <v>0</v>
      </c>
      <c r="M3" s="15">
        <f>L3-K3</f>
        <v>-1.5</v>
      </c>
      <c r="N3" s="14">
        <v>1.5</v>
      </c>
      <c r="O3" s="7">
        <v>1.5</v>
      </c>
      <c r="P3" s="15">
        <f t="shared" ref="P3:P30" si="0">O3-N3</f>
        <v>0</v>
      </c>
      <c r="Q3" s="11">
        <v>1.5</v>
      </c>
      <c r="R3" s="7">
        <v>0.5</v>
      </c>
      <c r="S3" s="15">
        <f t="shared" ref="S3:S30" si="1">R3-Q3</f>
        <v>-1</v>
      </c>
      <c r="T3" s="7">
        <v>1.5</v>
      </c>
      <c r="U3" s="7">
        <v>0</v>
      </c>
      <c r="V3" s="15">
        <f t="shared" ref="V3:V30" si="2">U3-T3</f>
        <v>-1.5</v>
      </c>
      <c r="W3" s="7">
        <v>1.5</v>
      </c>
      <c r="X3" s="7">
        <v>0</v>
      </c>
      <c r="Y3" s="15">
        <f t="shared" ref="Y3:Y30" si="3">X3-W3</f>
        <v>-1.5</v>
      </c>
      <c r="Z3" s="7">
        <v>1.5</v>
      </c>
      <c r="AA3" s="7">
        <v>0</v>
      </c>
      <c r="AB3" s="15">
        <f t="shared" ref="AB3:AB30" si="4">AA3-Z3</f>
        <v>-1.5</v>
      </c>
      <c r="AC3" s="7">
        <v>1.5</v>
      </c>
      <c r="AD3" s="7"/>
      <c r="AE3" s="7">
        <v>1.5</v>
      </c>
      <c r="AF3" s="7"/>
      <c r="AG3" s="7">
        <v>1.5</v>
      </c>
      <c r="AH3" s="7"/>
      <c r="AI3" s="7">
        <v>1.5</v>
      </c>
      <c r="AJ3" s="7"/>
      <c r="AK3" s="7">
        <v>1.5</v>
      </c>
      <c r="AL3" s="7"/>
      <c r="AM3" s="7">
        <v>1.5</v>
      </c>
      <c r="AN3" s="7"/>
      <c r="AO3" s="7">
        <v>1.5</v>
      </c>
      <c r="AP3" s="7"/>
      <c r="AQ3" s="7">
        <v>1.5</v>
      </c>
      <c r="AR3" s="7"/>
      <c r="AS3" s="7">
        <v>1.5</v>
      </c>
      <c r="AT3" s="7"/>
      <c r="AU3" s="7">
        <v>1.5</v>
      </c>
      <c r="AV3" s="7"/>
      <c r="AW3" s="7"/>
      <c r="AX3" s="7"/>
    </row>
    <row r="4" spans="1:50">
      <c r="A4" s="9" t="s">
        <v>241</v>
      </c>
      <c r="B4" s="14">
        <v>0</v>
      </c>
      <c r="C4" s="7">
        <v>0</v>
      </c>
      <c r="D4" s="15">
        <f t="shared" ref="D4:D30" si="5">C4-B4</f>
        <v>0</v>
      </c>
      <c r="E4" s="14">
        <v>0</v>
      </c>
      <c r="F4" s="7"/>
      <c r="G4" s="15">
        <f t="shared" ref="G4:G30" si="6">F4-E4</f>
        <v>0</v>
      </c>
      <c r="H4" s="14">
        <v>1</v>
      </c>
      <c r="I4" s="7">
        <v>1</v>
      </c>
      <c r="J4" s="15">
        <f t="shared" ref="J4:J30" si="7">I4-H4</f>
        <v>0</v>
      </c>
      <c r="K4" s="14">
        <v>2</v>
      </c>
      <c r="L4" s="7">
        <v>2</v>
      </c>
      <c r="M4" s="15">
        <f t="shared" ref="M4:M30" si="8">L4-K4</f>
        <v>0</v>
      </c>
      <c r="N4" s="14">
        <v>2</v>
      </c>
      <c r="O4" s="7">
        <v>1.7</v>
      </c>
      <c r="P4" s="15">
        <f t="shared" si="0"/>
        <v>-0.30000000000000004</v>
      </c>
      <c r="Q4" s="11">
        <v>2</v>
      </c>
      <c r="R4" s="7">
        <v>0</v>
      </c>
      <c r="S4" s="15">
        <f t="shared" si="1"/>
        <v>-2</v>
      </c>
      <c r="T4" s="7">
        <v>2</v>
      </c>
      <c r="U4" s="7">
        <v>1.3</v>
      </c>
      <c r="V4" s="15">
        <f t="shared" si="2"/>
        <v>-0.7</v>
      </c>
      <c r="W4" s="7">
        <v>2</v>
      </c>
      <c r="X4" s="7">
        <v>0</v>
      </c>
      <c r="Y4" s="15">
        <f t="shared" si="3"/>
        <v>-2</v>
      </c>
      <c r="Z4" s="7">
        <v>2</v>
      </c>
      <c r="AA4" s="7">
        <v>2</v>
      </c>
      <c r="AB4" s="15">
        <f t="shared" si="4"/>
        <v>0</v>
      </c>
      <c r="AC4" s="7">
        <v>2</v>
      </c>
      <c r="AD4" s="7">
        <v>2</v>
      </c>
      <c r="AE4" s="7">
        <v>2</v>
      </c>
      <c r="AF4" s="7">
        <v>1</v>
      </c>
      <c r="AG4" s="7">
        <v>4</v>
      </c>
      <c r="AH4" s="7"/>
      <c r="AI4" s="7">
        <v>2</v>
      </c>
      <c r="AJ4" s="7"/>
      <c r="AK4" s="7">
        <v>2</v>
      </c>
      <c r="AL4" s="7"/>
      <c r="AM4" s="7">
        <v>2</v>
      </c>
      <c r="AN4" s="7"/>
      <c r="AO4" s="7">
        <v>2</v>
      </c>
      <c r="AP4" s="7"/>
      <c r="AQ4" s="7">
        <v>2</v>
      </c>
      <c r="AR4" s="7"/>
      <c r="AS4" s="7">
        <v>2</v>
      </c>
      <c r="AT4" s="7"/>
      <c r="AU4" s="7">
        <v>2</v>
      </c>
      <c r="AV4" s="7"/>
      <c r="AW4" s="7"/>
      <c r="AX4" s="7"/>
    </row>
    <row r="5" spans="1:50">
      <c r="A5" s="9" t="s">
        <v>242</v>
      </c>
      <c r="B5" s="14">
        <v>0</v>
      </c>
      <c r="C5" s="7">
        <v>0</v>
      </c>
      <c r="D5" s="15">
        <f t="shared" si="5"/>
        <v>0</v>
      </c>
      <c r="E5" s="14">
        <v>0</v>
      </c>
      <c r="F5" s="7"/>
      <c r="G5" s="15">
        <f t="shared" si="6"/>
        <v>0</v>
      </c>
      <c r="H5" s="14">
        <v>4</v>
      </c>
      <c r="I5" s="7">
        <v>1.85</v>
      </c>
      <c r="J5" s="15">
        <f t="shared" si="7"/>
        <v>-2.15</v>
      </c>
      <c r="K5" s="14">
        <v>4</v>
      </c>
      <c r="L5" s="7">
        <v>2.5</v>
      </c>
      <c r="M5" s="15">
        <f t="shared" si="8"/>
        <v>-1.5</v>
      </c>
      <c r="N5" s="14">
        <v>4</v>
      </c>
      <c r="O5" s="7">
        <v>2.5</v>
      </c>
      <c r="P5" s="15">
        <f t="shared" si="0"/>
        <v>-1.5</v>
      </c>
      <c r="Q5" s="11">
        <v>4</v>
      </c>
      <c r="R5" s="7">
        <v>0.5</v>
      </c>
      <c r="S5" s="15">
        <f t="shared" si="1"/>
        <v>-3.5</v>
      </c>
      <c r="T5" s="7">
        <v>2</v>
      </c>
      <c r="U5" s="7">
        <v>1.5</v>
      </c>
      <c r="V5" s="15">
        <f t="shared" si="2"/>
        <v>-0.5</v>
      </c>
      <c r="W5" s="7">
        <v>2</v>
      </c>
      <c r="X5" s="7">
        <v>2</v>
      </c>
      <c r="Y5" s="15">
        <f t="shared" si="3"/>
        <v>0</v>
      </c>
      <c r="Z5" s="7">
        <v>2</v>
      </c>
      <c r="AA5" s="7">
        <v>2</v>
      </c>
      <c r="AB5" s="15">
        <f t="shared" si="4"/>
        <v>0</v>
      </c>
      <c r="AC5" s="7">
        <v>2</v>
      </c>
      <c r="AD5" s="7">
        <v>2</v>
      </c>
      <c r="AE5" s="7">
        <v>2</v>
      </c>
      <c r="AF5" s="7">
        <v>2</v>
      </c>
      <c r="AG5" s="7">
        <v>2</v>
      </c>
      <c r="AH5" s="7">
        <v>1</v>
      </c>
      <c r="AI5" s="7">
        <v>2</v>
      </c>
      <c r="AJ5" s="7"/>
      <c r="AK5" s="7">
        <v>2</v>
      </c>
      <c r="AL5" s="7"/>
      <c r="AM5" s="7">
        <v>2</v>
      </c>
      <c r="AN5" s="7"/>
      <c r="AO5" s="7">
        <v>2</v>
      </c>
      <c r="AP5" s="7"/>
      <c r="AQ5" s="7">
        <v>2</v>
      </c>
      <c r="AR5" s="7"/>
      <c r="AS5" s="7">
        <v>2</v>
      </c>
      <c r="AT5" s="7"/>
      <c r="AU5" s="7">
        <v>2</v>
      </c>
      <c r="AV5" s="7"/>
      <c r="AW5" s="7">
        <v>2</v>
      </c>
      <c r="AX5" s="7"/>
    </row>
    <row r="6" spans="1:50">
      <c r="A6" s="9" t="s">
        <v>243</v>
      </c>
      <c r="B6" s="14">
        <v>0</v>
      </c>
      <c r="C6" s="7">
        <v>0</v>
      </c>
      <c r="D6" s="15">
        <f t="shared" si="5"/>
        <v>0</v>
      </c>
      <c r="E6" s="14">
        <v>0</v>
      </c>
      <c r="F6" s="7"/>
      <c r="G6" s="15">
        <f t="shared" si="6"/>
        <v>0</v>
      </c>
      <c r="H6" s="14">
        <v>0</v>
      </c>
      <c r="I6" s="7">
        <v>0</v>
      </c>
      <c r="J6" s="15">
        <f t="shared" si="7"/>
        <v>0</v>
      </c>
      <c r="K6" s="14">
        <v>0</v>
      </c>
      <c r="L6" s="7">
        <v>0</v>
      </c>
      <c r="M6" s="15">
        <f t="shared" si="8"/>
        <v>0</v>
      </c>
      <c r="N6" s="14">
        <v>0</v>
      </c>
      <c r="O6" s="7">
        <v>0</v>
      </c>
      <c r="P6" s="15">
        <f t="shared" si="0"/>
        <v>0</v>
      </c>
      <c r="Q6" s="11">
        <v>2.4</v>
      </c>
      <c r="R6" s="7">
        <v>1.9</v>
      </c>
      <c r="S6" s="15">
        <f t="shared" si="1"/>
        <v>-0.5</v>
      </c>
      <c r="T6" s="7">
        <v>2.4</v>
      </c>
      <c r="U6" s="7">
        <v>0</v>
      </c>
      <c r="V6" s="15">
        <f t="shared" si="2"/>
        <v>-2.4</v>
      </c>
      <c r="W6" s="7">
        <v>2.4</v>
      </c>
      <c r="X6" s="7">
        <v>0</v>
      </c>
      <c r="Y6" s="15">
        <f t="shared" si="3"/>
        <v>-2.4</v>
      </c>
      <c r="Z6" s="7">
        <v>1.2</v>
      </c>
      <c r="AA6" s="7">
        <v>1.2</v>
      </c>
      <c r="AB6" s="15">
        <f t="shared" si="4"/>
        <v>0</v>
      </c>
      <c r="AC6" s="7">
        <v>1.2</v>
      </c>
      <c r="AD6" s="7">
        <v>1.2</v>
      </c>
      <c r="AE6" s="7">
        <v>1.2</v>
      </c>
      <c r="AF6" s="7">
        <v>1.2</v>
      </c>
      <c r="AG6" s="7">
        <v>1.2</v>
      </c>
      <c r="AH6" s="7">
        <v>1.2</v>
      </c>
      <c r="AI6" s="7">
        <v>1.2</v>
      </c>
      <c r="AJ6" s="7">
        <v>0.1</v>
      </c>
      <c r="AK6" s="7">
        <v>1.2</v>
      </c>
      <c r="AL6" s="7"/>
      <c r="AM6" s="7">
        <v>1.2</v>
      </c>
      <c r="AN6" s="7"/>
      <c r="AO6" s="7">
        <v>1.2</v>
      </c>
      <c r="AP6" s="7"/>
      <c r="AQ6" s="7">
        <v>1.2</v>
      </c>
      <c r="AR6" s="7"/>
      <c r="AS6" s="7">
        <v>1.2</v>
      </c>
      <c r="AT6" s="7"/>
      <c r="AU6" s="7">
        <v>1.2</v>
      </c>
      <c r="AV6" s="7"/>
      <c r="AW6" s="7">
        <v>1.2</v>
      </c>
      <c r="AX6" s="7"/>
    </row>
    <row r="7" spans="1:50">
      <c r="A7" s="9" t="s">
        <v>244</v>
      </c>
      <c r="B7" s="14">
        <v>0</v>
      </c>
      <c r="C7" s="7">
        <v>0</v>
      </c>
      <c r="D7" s="15">
        <f t="shared" si="5"/>
        <v>0</v>
      </c>
      <c r="E7" s="14">
        <v>0</v>
      </c>
      <c r="F7" s="7"/>
      <c r="G7" s="15">
        <f t="shared" si="6"/>
        <v>0</v>
      </c>
      <c r="H7" s="14">
        <v>3.4</v>
      </c>
      <c r="I7" s="7">
        <v>3.4</v>
      </c>
      <c r="J7" s="15">
        <f t="shared" si="7"/>
        <v>0</v>
      </c>
      <c r="K7" s="14">
        <v>3.4</v>
      </c>
      <c r="L7" s="7">
        <v>2.6</v>
      </c>
      <c r="M7" s="15">
        <f t="shared" si="8"/>
        <v>-0.79999999999999982</v>
      </c>
      <c r="N7" s="14">
        <v>1.7</v>
      </c>
      <c r="O7" s="7">
        <v>0</v>
      </c>
      <c r="P7" s="15">
        <f t="shared" si="0"/>
        <v>-1.7</v>
      </c>
      <c r="Q7" s="11">
        <v>1.7</v>
      </c>
      <c r="R7" s="7">
        <v>1.7</v>
      </c>
      <c r="S7" s="15">
        <f t="shared" si="1"/>
        <v>0</v>
      </c>
      <c r="T7" s="7">
        <v>1.7</v>
      </c>
      <c r="U7" s="7">
        <v>1.7</v>
      </c>
      <c r="V7" s="15">
        <f t="shared" si="2"/>
        <v>0</v>
      </c>
      <c r="W7" s="7">
        <v>1.7</v>
      </c>
      <c r="X7" s="7">
        <v>1.7</v>
      </c>
      <c r="Y7" s="15">
        <f t="shared" si="3"/>
        <v>0</v>
      </c>
      <c r="Z7" s="7">
        <v>1.7</v>
      </c>
      <c r="AA7" s="7">
        <v>1.7</v>
      </c>
      <c r="AB7" s="15">
        <f t="shared" si="4"/>
        <v>0</v>
      </c>
      <c r="AC7" s="7">
        <v>1.7</v>
      </c>
      <c r="AD7" s="7">
        <v>1.2</v>
      </c>
      <c r="AE7" s="7">
        <v>1.7</v>
      </c>
      <c r="AF7" s="7"/>
      <c r="AG7" s="7">
        <v>1.7</v>
      </c>
      <c r="AH7" s="7"/>
      <c r="AI7" s="7">
        <v>1.7</v>
      </c>
      <c r="AJ7" s="7"/>
      <c r="AK7" s="7">
        <v>1.7</v>
      </c>
      <c r="AL7" s="7"/>
      <c r="AM7" s="7">
        <v>1.7</v>
      </c>
      <c r="AN7" s="7"/>
      <c r="AO7" s="7">
        <v>1.7</v>
      </c>
      <c r="AP7" s="7"/>
      <c r="AQ7" s="7">
        <v>1.7</v>
      </c>
      <c r="AR7" s="7"/>
      <c r="AS7" s="7">
        <v>1.7</v>
      </c>
      <c r="AT7" s="7"/>
      <c r="AU7" s="7">
        <v>1.7</v>
      </c>
      <c r="AV7" s="7"/>
      <c r="AW7" s="7">
        <v>1.7</v>
      </c>
      <c r="AX7" s="7"/>
    </row>
    <row r="8" spans="1:50">
      <c r="A8" s="9" t="s">
        <v>245</v>
      </c>
      <c r="B8" s="14">
        <v>2</v>
      </c>
      <c r="C8" s="7">
        <v>2</v>
      </c>
      <c r="D8" s="15">
        <f t="shared" si="5"/>
        <v>0</v>
      </c>
      <c r="E8" s="14">
        <v>2</v>
      </c>
      <c r="F8" s="7">
        <v>2</v>
      </c>
      <c r="G8" s="15">
        <f t="shared" si="6"/>
        <v>0</v>
      </c>
      <c r="H8" s="14">
        <v>2</v>
      </c>
      <c r="I8" s="7">
        <v>2</v>
      </c>
      <c r="J8" s="15">
        <f t="shared" si="7"/>
        <v>0</v>
      </c>
      <c r="K8" s="14">
        <v>2</v>
      </c>
      <c r="L8" s="7">
        <v>2</v>
      </c>
      <c r="M8" s="15">
        <f t="shared" si="8"/>
        <v>0</v>
      </c>
      <c r="N8" s="14">
        <v>2</v>
      </c>
      <c r="O8" s="7">
        <v>2</v>
      </c>
      <c r="P8" s="15">
        <f t="shared" si="0"/>
        <v>0</v>
      </c>
      <c r="Q8" s="11">
        <v>2</v>
      </c>
      <c r="R8" s="7">
        <v>2</v>
      </c>
      <c r="S8" s="15">
        <f t="shared" si="1"/>
        <v>0</v>
      </c>
      <c r="T8" s="7">
        <v>2</v>
      </c>
      <c r="U8" s="7">
        <v>2</v>
      </c>
      <c r="V8" s="15">
        <f t="shared" si="2"/>
        <v>0</v>
      </c>
      <c r="W8" s="7">
        <v>2</v>
      </c>
      <c r="X8" s="7">
        <v>2</v>
      </c>
      <c r="Y8" s="15">
        <f t="shared" si="3"/>
        <v>0</v>
      </c>
      <c r="Z8" s="7">
        <v>2</v>
      </c>
      <c r="AA8" s="7">
        <v>2</v>
      </c>
      <c r="AB8" s="15">
        <f t="shared" si="4"/>
        <v>0</v>
      </c>
      <c r="AC8" s="7">
        <v>2</v>
      </c>
      <c r="AD8" s="7">
        <v>2</v>
      </c>
      <c r="AE8" s="7">
        <v>2</v>
      </c>
      <c r="AF8" s="7">
        <v>2</v>
      </c>
      <c r="AG8" s="7">
        <v>2</v>
      </c>
      <c r="AH8" s="7">
        <v>2</v>
      </c>
      <c r="AI8" s="7">
        <v>2</v>
      </c>
      <c r="AJ8" s="7">
        <v>1.2</v>
      </c>
      <c r="AK8" s="7">
        <v>2</v>
      </c>
      <c r="AL8" s="7"/>
      <c r="AM8" s="7">
        <v>2</v>
      </c>
      <c r="AN8" s="7"/>
      <c r="AO8" s="7">
        <v>2</v>
      </c>
      <c r="AP8" s="7"/>
      <c r="AQ8" s="7">
        <v>2</v>
      </c>
      <c r="AR8" s="7"/>
      <c r="AS8" s="7">
        <v>2</v>
      </c>
      <c r="AT8" s="7"/>
      <c r="AU8" s="7">
        <v>2</v>
      </c>
      <c r="AV8" s="7"/>
      <c r="AW8" s="7">
        <v>2</v>
      </c>
      <c r="AX8" s="7"/>
    </row>
    <row r="9" spans="1:50">
      <c r="A9" s="9" t="s">
        <v>246</v>
      </c>
      <c r="B9" s="14">
        <v>2</v>
      </c>
      <c r="C9" s="7">
        <v>2</v>
      </c>
      <c r="D9" s="15">
        <f t="shared" si="5"/>
        <v>0</v>
      </c>
      <c r="E9" s="14">
        <v>2</v>
      </c>
      <c r="F9" s="7">
        <v>2</v>
      </c>
      <c r="G9" s="15">
        <f t="shared" si="6"/>
        <v>0</v>
      </c>
      <c r="H9" s="14">
        <v>2</v>
      </c>
      <c r="I9" s="7">
        <v>2</v>
      </c>
      <c r="J9" s="15">
        <f t="shared" si="7"/>
        <v>0</v>
      </c>
      <c r="K9" s="14">
        <v>2</v>
      </c>
      <c r="L9" s="7">
        <v>2</v>
      </c>
      <c r="M9" s="15">
        <f t="shared" si="8"/>
        <v>0</v>
      </c>
      <c r="N9" s="14">
        <v>2</v>
      </c>
      <c r="O9" s="7">
        <v>2</v>
      </c>
      <c r="P9" s="15">
        <f t="shared" si="0"/>
        <v>0</v>
      </c>
      <c r="Q9" s="11">
        <v>2</v>
      </c>
      <c r="R9" s="7">
        <v>2</v>
      </c>
      <c r="S9" s="15">
        <f t="shared" si="1"/>
        <v>0</v>
      </c>
      <c r="T9" s="7">
        <v>2</v>
      </c>
      <c r="U9" s="7">
        <v>2</v>
      </c>
      <c r="V9" s="15">
        <f t="shared" si="2"/>
        <v>0</v>
      </c>
      <c r="W9" s="7">
        <v>2</v>
      </c>
      <c r="X9" s="7">
        <v>2</v>
      </c>
      <c r="Y9" s="15">
        <f t="shared" si="3"/>
        <v>0</v>
      </c>
      <c r="Z9" s="7">
        <v>2</v>
      </c>
      <c r="AA9" s="7">
        <v>2</v>
      </c>
      <c r="AB9" s="15">
        <f t="shared" si="4"/>
        <v>0</v>
      </c>
      <c r="AC9" s="7">
        <v>2</v>
      </c>
      <c r="AD9" s="7">
        <v>2</v>
      </c>
      <c r="AE9" s="7">
        <v>2</v>
      </c>
      <c r="AF9" s="7">
        <v>2</v>
      </c>
      <c r="AG9" s="7">
        <v>2</v>
      </c>
      <c r="AH9" s="7">
        <v>1.5</v>
      </c>
      <c r="AI9" s="7">
        <v>2</v>
      </c>
      <c r="AJ9" s="7"/>
      <c r="AK9" s="7">
        <v>2</v>
      </c>
      <c r="AL9" s="7"/>
      <c r="AM9" s="7">
        <v>2</v>
      </c>
      <c r="AN9" s="7"/>
      <c r="AO9" s="7">
        <v>2</v>
      </c>
      <c r="AP9" s="7"/>
      <c r="AQ9" s="7">
        <v>2</v>
      </c>
      <c r="AR9" s="7"/>
      <c r="AS9" s="7">
        <v>2</v>
      </c>
      <c r="AT9" s="7"/>
      <c r="AU9" s="7">
        <v>2</v>
      </c>
      <c r="AV9" s="7"/>
      <c r="AW9" s="7">
        <v>2</v>
      </c>
      <c r="AX9" s="7"/>
    </row>
    <row r="10" spans="1:50">
      <c r="A10" s="9" t="s">
        <v>247</v>
      </c>
      <c r="B10" s="14">
        <v>2</v>
      </c>
      <c r="C10" s="7">
        <v>2</v>
      </c>
      <c r="D10" s="15">
        <f t="shared" si="5"/>
        <v>0</v>
      </c>
      <c r="E10" s="14">
        <v>2</v>
      </c>
      <c r="F10" s="7">
        <v>2</v>
      </c>
      <c r="G10" s="15">
        <f t="shared" si="6"/>
        <v>0</v>
      </c>
      <c r="H10" s="14">
        <v>2</v>
      </c>
      <c r="I10" s="7">
        <v>2</v>
      </c>
      <c r="J10" s="15">
        <f t="shared" si="7"/>
        <v>0</v>
      </c>
      <c r="K10" s="14">
        <v>1</v>
      </c>
      <c r="L10" s="7">
        <v>1</v>
      </c>
      <c r="M10" s="15">
        <f t="shared" si="8"/>
        <v>0</v>
      </c>
      <c r="N10" s="14">
        <v>1</v>
      </c>
      <c r="O10" s="7">
        <v>1</v>
      </c>
      <c r="P10" s="15">
        <f t="shared" si="0"/>
        <v>0</v>
      </c>
      <c r="Q10" s="11">
        <v>1</v>
      </c>
      <c r="R10" s="7">
        <v>1</v>
      </c>
      <c r="S10" s="15">
        <f t="shared" si="1"/>
        <v>0</v>
      </c>
      <c r="T10" s="7">
        <v>1</v>
      </c>
      <c r="U10" s="7">
        <v>1</v>
      </c>
      <c r="V10" s="15">
        <f t="shared" si="2"/>
        <v>0</v>
      </c>
      <c r="W10" s="7">
        <v>1</v>
      </c>
      <c r="X10" s="7">
        <v>1</v>
      </c>
      <c r="Y10" s="15">
        <f t="shared" si="3"/>
        <v>0</v>
      </c>
      <c r="Z10" s="7">
        <v>1</v>
      </c>
      <c r="AA10" s="7">
        <v>1</v>
      </c>
      <c r="AB10" s="15">
        <f t="shared" si="4"/>
        <v>0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2</v>
      </c>
      <c r="AN10" s="7">
        <v>2</v>
      </c>
      <c r="AO10" s="7">
        <v>2</v>
      </c>
      <c r="AP10" s="7">
        <v>1.8</v>
      </c>
      <c r="AQ10" s="7">
        <v>2</v>
      </c>
      <c r="AR10" s="7"/>
      <c r="AS10" s="7">
        <v>2</v>
      </c>
      <c r="AT10" s="7"/>
      <c r="AU10" s="7">
        <v>2</v>
      </c>
      <c r="AV10" s="7"/>
      <c r="AW10" s="7">
        <v>2</v>
      </c>
      <c r="AX10" s="7"/>
    </row>
    <row r="11" spans="1:50">
      <c r="A11" s="9" t="s">
        <v>248</v>
      </c>
      <c r="B11" s="14">
        <v>2</v>
      </c>
      <c r="C11" s="7">
        <v>2</v>
      </c>
      <c r="D11" s="15">
        <f t="shared" si="5"/>
        <v>0</v>
      </c>
      <c r="E11" s="14">
        <v>2</v>
      </c>
      <c r="F11" s="7">
        <v>2</v>
      </c>
      <c r="G11" s="15">
        <f t="shared" si="6"/>
        <v>0</v>
      </c>
      <c r="H11" s="14">
        <v>2</v>
      </c>
      <c r="I11" s="7">
        <v>0</v>
      </c>
      <c r="J11" s="15">
        <f t="shared" si="7"/>
        <v>-2</v>
      </c>
      <c r="K11" s="14">
        <v>2</v>
      </c>
      <c r="L11" s="7">
        <v>0</v>
      </c>
      <c r="M11" s="15">
        <f t="shared" si="8"/>
        <v>-2</v>
      </c>
      <c r="N11" s="14">
        <v>2</v>
      </c>
      <c r="O11" s="7">
        <v>0</v>
      </c>
      <c r="P11" s="15">
        <f t="shared" si="0"/>
        <v>-2</v>
      </c>
      <c r="Q11" s="11">
        <v>2</v>
      </c>
      <c r="R11" s="7">
        <v>0</v>
      </c>
      <c r="S11" s="15">
        <f t="shared" si="1"/>
        <v>-2</v>
      </c>
      <c r="T11" s="7">
        <v>2</v>
      </c>
      <c r="U11" s="7">
        <v>0</v>
      </c>
      <c r="V11" s="15">
        <f t="shared" si="2"/>
        <v>-2</v>
      </c>
      <c r="W11" s="7">
        <v>2</v>
      </c>
      <c r="X11" s="7">
        <v>0</v>
      </c>
      <c r="Y11" s="15">
        <f t="shared" si="3"/>
        <v>-2</v>
      </c>
      <c r="Z11" s="7">
        <v>2</v>
      </c>
      <c r="AA11" s="7"/>
      <c r="AB11" s="15">
        <f t="shared" si="4"/>
        <v>-2</v>
      </c>
      <c r="AC11" s="7">
        <v>2</v>
      </c>
      <c r="AD11" s="7"/>
      <c r="AE11" s="7">
        <v>2</v>
      </c>
      <c r="AF11" s="7"/>
      <c r="AG11" s="7">
        <v>2</v>
      </c>
      <c r="AH11" s="7"/>
      <c r="AI11" s="7">
        <v>2</v>
      </c>
      <c r="AJ11" s="7"/>
      <c r="AK11" s="7">
        <v>2</v>
      </c>
      <c r="AL11" s="7"/>
      <c r="AM11" s="7">
        <v>2</v>
      </c>
      <c r="AN11" s="7"/>
      <c r="AO11" s="7">
        <v>2</v>
      </c>
      <c r="AP11" s="7"/>
      <c r="AQ11" s="7">
        <v>2</v>
      </c>
      <c r="AR11" s="7"/>
      <c r="AS11" s="7">
        <v>2</v>
      </c>
      <c r="AT11" s="7"/>
      <c r="AU11" s="7">
        <v>2</v>
      </c>
      <c r="AV11" s="7"/>
      <c r="AW11" s="7">
        <v>2</v>
      </c>
      <c r="AX11" s="7"/>
    </row>
    <row r="12" spans="1:50">
      <c r="A12" s="9" t="s">
        <v>249</v>
      </c>
      <c r="B12" s="14">
        <v>1</v>
      </c>
      <c r="C12" s="7">
        <v>1</v>
      </c>
      <c r="D12" s="15">
        <f t="shared" si="5"/>
        <v>0</v>
      </c>
      <c r="E12" s="14">
        <v>1.5</v>
      </c>
      <c r="F12" s="7">
        <v>1.5</v>
      </c>
      <c r="G12" s="15">
        <f t="shared" si="6"/>
        <v>0</v>
      </c>
      <c r="H12" s="14">
        <v>1</v>
      </c>
      <c r="I12" s="7">
        <v>1</v>
      </c>
      <c r="J12" s="15">
        <f t="shared" si="7"/>
        <v>0</v>
      </c>
      <c r="K12" s="14">
        <v>0</v>
      </c>
      <c r="L12" s="7">
        <v>0</v>
      </c>
      <c r="M12" s="15">
        <f t="shared" si="8"/>
        <v>0</v>
      </c>
      <c r="N12" s="14">
        <v>0</v>
      </c>
      <c r="O12" s="7">
        <v>0</v>
      </c>
      <c r="P12" s="15">
        <f t="shared" si="0"/>
        <v>0</v>
      </c>
      <c r="Q12" s="11">
        <v>0</v>
      </c>
      <c r="R12" s="7">
        <v>3.5</v>
      </c>
      <c r="S12" s="15">
        <f t="shared" si="1"/>
        <v>3.5</v>
      </c>
      <c r="T12" s="7">
        <v>0</v>
      </c>
      <c r="U12" s="7">
        <v>1</v>
      </c>
      <c r="V12" s="15">
        <f t="shared" si="2"/>
        <v>1</v>
      </c>
      <c r="W12" s="7">
        <v>0</v>
      </c>
      <c r="X12" s="7">
        <v>1</v>
      </c>
      <c r="Y12" s="15">
        <f t="shared" si="3"/>
        <v>1</v>
      </c>
      <c r="Z12" s="7">
        <v>0</v>
      </c>
      <c r="AA12" s="7"/>
      <c r="AB12" s="15">
        <f t="shared" si="4"/>
        <v>0</v>
      </c>
      <c r="AC12" s="7">
        <v>0</v>
      </c>
      <c r="AD12" s="7"/>
      <c r="AE12" s="7">
        <v>1</v>
      </c>
      <c r="AF12" s="7"/>
      <c r="AG12" s="7">
        <v>1</v>
      </c>
      <c r="AH12" s="7"/>
      <c r="AI12" s="7">
        <v>1</v>
      </c>
      <c r="AJ12" s="7"/>
      <c r="AK12" s="7">
        <v>1</v>
      </c>
      <c r="AL12" s="7"/>
      <c r="AM12" s="7">
        <v>1</v>
      </c>
      <c r="AN12" s="7"/>
      <c r="AO12" s="7">
        <v>1</v>
      </c>
      <c r="AP12" s="7"/>
      <c r="AQ12" s="7">
        <v>1</v>
      </c>
      <c r="AR12" s="7"/>
      <c r="AS12" s="7">
        <v>1</v>
      </c>
      <c r="AT12" s="7"/>
      <c r="AU12" s="7">
        <v>1</v>
      </c>
      <c r="AV12" s="7"/>
      <c r="AW12" s="7">
        <v>1</v>
      </c>
      <c r="AX12" s="7"/>
    </row>
    <row r="13" spans="1:50">
      <c r="A13" s="9" t="s">
        <v>250</v>
      </c>
      <c r="B13" s="14">
        <v>1.25</v>
      </c>
      <c r="C13" s="7">
        <v>1.25</v>
      </c>
      <c r="D13" s="15">
        <f t="shared" si="5"/>
        <v>0</v>
      </c>
      <c r="E13" s="14">
        <v>1.25</v>
      </c>
      <c r="F13" s="7">
        <v>1.25</v>
      </c>
      <c r="G13" s="15">
        <f t="shared" si="6"/>
        <v>0</v>
      </c>
      <c r="H13" s="14">
        <v>1.25</v>
      </c>
      <c r="I13" s="7">
        <v>1.25</v>
      </c>
      <c r="J13" s="15">
        <f t="shared" si="7"/>
        <v>0</v>
      </c>
      <c r="K13" s="14">
        <v>1.25</v>
      </c>
      <c r="L13" s="7">
        <v>1.25</v>
      </c>
      <c r="M13" s="15">
        <f t="shared" si="8"/>
        <v>0</v>
      </c>
      <c r="N13" s="14">
        <v>1.25</v>
      </c>
      <c r="O13" s="7">
        <v>1.25</v>
      </c>
      <c r="P13" s="15">
        <f t="shared" si="0"/>
        <v>0</v>
      </c>
      <c r="Q13" s="11">
        <v>1.25</v>
      </c>
      <c r="R13" s="7">
        <v>1.25</v>
      </c>
      <c r="S13" s="15">
        <f t="shared" si="1"/>
        <v>0</v>
      </c>
      <c r="T13" s="7">
        <v>1.25</v>
      </c>
      <c r="U13" s="7">
        <v>1.25</v>
      </c>
      <c r="V13" s="15">
        <f t="shared" si="2"/>
        <v>0</v>
      </c>
      <c r="W13" s="7">
        <v>1.25</v>
      </c>
      <c r="X13" s="7">
        <v>1.25</v>
      </c>
      <c r="Y13" s="15">
        <f t="shared" si="3"/>
        <v>0</v>
      </c>
      <c r="Z13" s="7">
        <v>1.25</v>
      </c>
      <c r="AA13" s="7">
        <v>1.25</v>
      </c>
      <c r="AB13" s="15">
        <f t="shared" si="4"/>
        <v>0</v>
      </c>
      <c r="AC13" s="7">
        <v>1.25</v>
      </c>
      <c r="AD13" s="7">
        <v>1.1499999999999999</v>
      </c>
      <c r="AE13" s="7">
        <v>1.25</v>
      </c>
      <c r="AF13" s="7"/>
      <c r="AG13" s="7">
        <v>1.25</v>
      </c>
      <c r="AH13" s="7"/>
      <c r="AI13" s="7">
        <v>1.25</v>
      </c>
      <c r="AJ13" s="7"/>
      <c r="AK13" s="7">
        <v>1.25</v>
      </c>
      <c r="AL13" s="7"/>
      <c r="AM13" s="7">
        <v>1.25</v>
      </c>
      <c r="AN13" s="7"/>
      <c r="AO13" s="7">
        <v>1.25</v>
      </c>
      <c r="AP13" s="7"/>
      <c r="AQ13" s="7">
        <v>1.25</v>
      </c>
      <c r="AR13" s="7"/>
      <c r="AS13" s="7">
        <v>1.25</v>
      </c>
      <c r="AT13" s="7"/>
      <c r="AU13" s="7">
        <v>1.25</v>
      </c>
      <c r="AV13" s="7"/>
      <c r="AW13" s="7">
        <v>1.25</v>
      </c>
      <c r="AX13" s="7"/>
    </row>
    <row r="14" spans="1:50">
      <c r="A14" s="9" t="s">
        <v>251</v>
      </c>
      <c r="B14" s="14">
        <v>6</v>
      </c>
      <c r="C14" s="7">
        <v>6</v>
      </c>
      <c r="D14" s="15">
        <f t="shared" si="5"/>
        <v>0</v>
      </c>
      <c r="E14" s="14">
        <v>6</v>
      </c>
      <c r="F14" s="7">
        <v>6</v>
      </c>
      <c r="G14" s="15">
        <f t="shared" si="6"/>
        <v>0</v>
      </c>
      <c r="H14" s="14">
        <v>6.5</v>
      </c>
      <c r="I14" s="7">
        <v>6.5</v>
      </c>
      <c r="J14" s="15">
        <f t="shared" si="7"/>
        <v>0</v>
      </c>
      <c r="K14" s="14">
        <v>6.5</v>
      </c>
      <c r="L14" s="7">
        <v>6.5</v>
      </c>
      <c r="M14" s="15">
        <f t="shared" si="8"/>
        <v>0</v>
      </c>
      <c r="N14" s="14">
        <v>6.5</v>
      </c>
      <c r="O14" s="7">
        <v>6.5</v>
      </c>
      <c r="P14" s="15">
        <f t="shared" si="0"/>
        <v>0</v>
      </c>
      <c r="Q14" s="11">
        <v>6.5</v>
      </c>
      <c r="R14" s="7">
        <v>6.5</v>
      </c>
      <c r="S14" s="15">
        <f t="shared" si="1"/>
        <v>0</v>
      </c>
      <c r="T14" s="7">
        <v>6.5</v>
      </c>
      <c r="U14" s="7">
        <v>6.5</v>
      </c>
      <c r="V14" s="15">
        <f t="shared" si="2"/>
        <v>0</v>
      </c>
      <c r="W14" s="7">
        <v>6.5</v>
      </c>
      <c r="X14" s="7">
        <v>6.5</v>
      </c>
      <c r="Y14" s="15">
        <f t="shared" si="3"/>
        <v>0</v>
      </c>
      <c r="Z14" s="7">
        <v>6.5</v>
      </c>
      <c r="AA14" s="7">
        <v>6.28</v>
      </c>
      <c r="AB14" s="15">
        <f t="shared" si="4"/>
        <v>-0.21999999999999975</v>
      </c>
      <c r="AC14" s="7">
        <v>6.5</v>
      </c>
      <c r="AD14" s="7"/>
      <c r="AE14" s="7">
        <v>6.5</v>
      </c>
      <c r="AF14" s="7"/>
      <c r="AG14" s="7">
        <v>6.5</v>
      </c>
      <c r="AH14" s="7"/>
      <c r="AI14" s="7">
        <v>6.5</v>
      </c>
      <c r="AJ14" s="7"/>
      <c r="AK14" s="7">
        <v>6.5</v>
      </c>
      <c r="AL14" s="7"/>
      <c r="AM14" s="7">
        <v>6.5</v>
      </c>
      <c r="AN14" s="7"/>
      <c r="AO14" s="7">
        <v>6.5</v>
      </c>
      <c r="AP14" s="7"/>
      <c r="AQ14" s="7">
        <v>6.5</v>
      </c>
      <c r="AR14" s="7"/>
      <c r="AS14" s="7">
        <v>6.5</v>
      </c>
      <c r="AT14" s="7"/>
      <c r="AU14" s="7">
        <v>6.5</v>
      </c>
      <c r="AV14" s="7"/>
      <c r="AW14" s="7"/>
      <c r="AX14" s="7"/>
    </row>
    <row r="15" spans="1:50">
      <c r="A15" s="9" t="s">
        <v>252</v>
      </c>
      <c r="B15" s="14">
        <v>0.75</v>
      </c>
      <c r="C15" s="7">
        <v>0.75</v>
      </c>
      <c r="D15" s="15">
        <f t="shared" si="5"/>
        <v>0</v>
      </c>
      <c r="E15" s="14">
        <v>0.75</v>
      </c>
      <c r="F15" s="7">
        <v>0.75</v>
      </c>
      <c r="G15" s="15">
        <f t="shared" si="6"/>
        <v>0</v>
      </c>
      <c r="H15" s="14">
        <v>0.75</v>
      </c>
      <c r="I15" s="7">
        <v>0.75</v>
      </c>
      <c r="J15" s="15">
        <f t="shared" si="7"/>
        <v>0</v>
      </c>
      <c r="K15" s="14">
        <v>0.75</v>
      </c>
      <c r="L15" s="7">
        <v>0.75</v>
      </c>
      <c r="M15" s="15">
        <f t="shared" si="8"/>
        <v>0</v>
      </c>
      <c r="N15" s="14">
        <v>0.75</v>
      </c>
      <c r="O15" s="7">
        <v>0.75</v>
      </c>
      <c r="P15" s="15">
        <f t="shared" si="0"/>
        <v>0</v>
      </c>
      <c r="Q15" s="11">
        <v>0.75</v>
      </c>
      <c r="R15" s="7">
        <v>0.75</v>
      </c>
      <c r="S15" s="15">
        <f t="shared" si="1"/>
        <v>0</v>
      </c>
      <c r="T15" s="7">
        <v>0.75</v>
      </c>
      <c r="U15" s="7">
        <v>0.75</v>
      </c>
      <c r="V15" s="15">
        <f t="shared" si="2"/>
        <v>0</v>
      </c>
      <c r="W15" s="7">
        <v>0.75</v>
      </c>
      <c r="X15" s="7">
        <v>0.75</v>
      </c>
      <c r="Y15" s="15">
        <f t="shared" si="3"/>
        <v>0</v>
      </c>
      <c r="Z15" s="7">
        <v>1</v>
      </c>
      <c r="AA15" s="7">
        <v>1</v>
      </c>
      <c r="AB15" s="15">
        <f t="shared" si="4"/>
        <v>0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7">
        <v>1</v>
      </c>
      <c r="AN15" s="7"/>
      <c r="AO15" s="7">
        <v>1</v>
      </c>
      <c r="AP15" s="7"/>
      <c r="AQ15" s="7">
        <v>1</v>
      </c>
      <c r="AR15" s="7"/>
      <c r="AS15" s="7">
        <v>1</v>
      </c>
      <c r="AT15" s="7"/>
      <c r="AU15" s="7">
        <v>1</v>
      </c>
      <c r="AV15" s="7"/>
      <c r="AW15" s="7">
        <v>1</v>
      </c>
      <c r="AX15" s="7"/>
    </row>
    <row r="16" spans="1:50">
      <c r="A16" s="9" t="s">
        <v>253</v>
      </c>
      <c r="B16" s="14">
        <v>1.65</v>
      </c>
      <c r="C16" s="7">
        <v>1.65</v>
      </c>
      <c r="D16" s="15">
        <f t="shared" si="5"/>
        <v>0</v>
      </c>
      <c r="E16" s="14">
        <v>1.65</v>
      </c>
      <c r="F16" s="7">
        <v>1.65</v>
      </c>
      <c r="G16" s="15">
        <f t="shared" si="6"/>
        <v>0</v>
      </c>
      <c r="H16" s="14">
        <v>1.65</v>
      </c>
      <c r="I16" s="7">
        <v>1.2</v>
      </c>
      <c r="J16" s="15">
        <f t="shared" si="7"/>
        <v>-0.44999999999999996</v>
      </c>
      <c r="K16" s="14">
        <v>1.65</v>
      </c>
      <c r="L16" s="7">
        <v>0</v>
      </c>
      <c r="M16" s="15">
        <f t="shared" si="8"/>
        <v>-1.65</v>
      </c>
      <c r="N16" s="14">
        <v>1.65</v>
      </c>
      <c r="O16" s="7">
        <v>0.6</v>
      </c>
      <c r="P16" s="15">
        <f t="shared" si="0"/>
        <v>-1.0499999999999998</v>
      </c>
      <c r="Q16" s="11">
        <v>1.65</v>
      </c>
      <c r="R16" s="7">
        <v>0.9</v>
      </c>
      <c r="S16" s="15">
        <f t="shared" si="1"/>
        <v>-0.74999999999999989</v>
      </c>
      <c r="T16" s="7">
        <v>1.65</v>
      </c>
      <c r="U16" s="7">
        <v>0.9</v>
      </c>
      <c r="V16" s="15">
        <f t="shared" si="2"/>
        <v>-0.74999999999999989</v>
      </c>
      <c r="W16" s="7">
        <v>1.65</v>
      </c>
      <c r="X16" s="7">
        <v>0</v>
      </c>
      <c r="Y16" s="15">
        <f t="shared" si="3"/>
        <v>-1.65</v>
      </c>
      <c r="Z16" s="7">
        <v>1.65</v>
      </c>
      <c r="AA16" s="7">
        <v>0</v>
      </c>
      <c r="AB16" s="15">
        <f t="shared" si="4"/>
        <v>-1.65</v>
      </c>
      <c r="AC16" s="7">
        <v>1.65</v>
      </c>
      <c r="AD16" s="7"/>
      <c r="AE16" s="7">
        <v>1.65</v>
      </c>
      <c r="AF16" s="7"/>
      <c r="AG16" s="7">
        <v>1.65</v>
      </c>
      <c r="AH16" s="7"/>
      <c r="AI16" s="7">
        <v>1.65</v>
      </c>
      <c r="AJ16" s="7"/>
      <c r="AK16" s="7">
        <v>1.65</v>
      </c>
      <c r="AL16" s="7"/>
      <c r="AM16" s="7">
        <v>1.65</v>
      </c>
      <c r="AN16" s="7"/>
      <c r="AO16" s="7">
        <v>1.65</v>
      </c>
      <c r="AP16" s="7"/>
      <c r="AQ16" s="7">
        <v>1.65</v>
      </c>
      <c r="AR16" s="7"/>
      <c r="AS16" s="7">
        <v>1.65</v>
      </c>
      <c r="AT16" s="7"/>
      <c r="AU16" s="7">
        <v>3.3</v>
      </c>
      <c r="AV16" s="7"/>
      <c r="AW16" s="7"/>
      <c r="AX16" s="7"/>
    </row>
    <row r="17" spans="1:50">
      <c r="A17" s="9" t="s">
        <v>254</v>
      </c>
      <c r="B17" s="14">
        <v>0</v>
      </c>
      <c r="C17" s="7">
        <v>0</v>
      </c>
      <c r="D17" s="15">
        <f t="shared" si="5"/>
        <v>0</v>
      </c>
      <c r="E17" s="14">
        <v>0</v>
      </c>
      <c r="F17" s="7"/>
      <c r="G17" s="15">
        <f t="shared" si="6"/>
        <v>0</v>
      </c>
      <c r="H17" s="14">
        <v>0</v>
      </c>
      <c r="I17" s="7">
        <v>0</v>
      </c>
      <c r="J17" s="15">
        <f t="shared" si="7"/>
        <v>0</v>
      </c>
      <c r="K17" s="14">
        <v>0</v>
      </c>
      <c r="L17" s="7">
        <v>0</v>
      </c>
      <c r="M17" s="15">
        <f t="shared" si="8"/>
        <v>0</v>
      </c>
      <c r="N17" s="14">
        <v>4</v>
      </c>
      <c r="O17" s="7">
        <v>2.2000000000000002</v>
      </c>
      <c r="P17" s="15">
        <f t="shared" si="0"/>
        <v>-1.7999999999999998</v>
      </c>
      <c r="Q17" s="11">
        <v>4</v>
      </c>
      <c r="R17" s="7">
        <v>0</v>
      </c>
      <c r="S17" s="15">
        <f t="shared" si="1"/>
        <v>-4</v>
      </c>
      <c r="T17" s="7">
        <v>4</v>
      </c>
      <c r="U17" s="7">
        <v>1</v>
      </c>
      <c r="V17" s="15">
        <f t="shared" si="2"/>
        <v>-3</v>
      </c>
      <c r="W17" s="7">
        <v>4</v>
      </c>
      <c r="X17" s="7">
        <v>0</v>
      </c>
      <c r="Y17" s="15">
        <f t="shared" si="3"/>
        <v>-4</v>
      </c>
      <c r="Z17" s="7">
        <v>2</v>
      </c>
      <c r="AA17" s="7">
        <v>0</v>
      </c>
      <c r="AB17" s="15">
        <f t="shared" si="4"/>
        <v>-2</v>
      </c>
      <c r="AC17" s="7">
        <v>2</v>
      </c>
      <c r="AD17" s="7"/>
      <c r="AE17" s="7">
        <v>2</v>
      </c>
      <c r="AF17" s="7"/>
      <c r="AG17" s="7">
        <v>2</v>
      </c>
      <c r="AH17" s="7"/>
      <c r="AI17" s="7">
        <v>2</v>
      </c>
      <c r="AJ17" s="7"/>
      <c r="AK17" s="7">
        <v>2</v>
      </c>
      <c r="AL17" s="7"/>
      <c r="AM17" s="7">
        <v>2</v>
      </c>
      <c r="AN17" s="7"/>
      <c r="AO17" s="7">
        <v>2</v>
      </c>
      <c r="AP17" s="7"/>
      <c r="AQ17" s="7">
        <v>2</v>
      </c>
      <c r="AR17" s="7"/>
      <c r="AS17" s="7">
        <v>2</v>
      </c>
      <c r="AT17" s="7"/>
      <c r="AU17" s="7">
        <v>2</v>
      </c>
      <c r="AV17" s="7"/>
      <c r="AW17" s="7">
        <v>2</v>
      </c>
      <c r="AX17" s="7"/>
    </row>
    <row r="18" spans="1:50">
      <c r="A18" s="9" t="s">
        <v>255</v>
      </c>
      <c r="B18" s="14">
        <v>2</v>
      </c>
      <c r="C18" s="7">
        <v>2</v>
      </c>
      <c r="D18" s="15">
        <f t="shared" si="5"/>
        <v>0</v>
      </c>
      <c r="E18" s="14">
        <v>2</v>
      </c>
      <c r="F18" s="7">
        <v>2</v>
      </c>
      <c r="G18" s="15">
        <f t="shared" si="6"/>
        <v>0</v>
      </c>
      <c r="H18" s="14">
        <v>2</v>
      </c>
      <c r="I18" s="7">
        <v>2</v>
      </c>
      <c r="J18" s="15">
        <f t="shared" si="7"/>
        <v>0</v>
      </c>
      <c r="K18" s="14">
        <v>2</v>
      </c>
      <c r="L18" s="7">
        <v>2</v>
      </c>
      <c r="M18" s="15">
        <f t="shared" si="8"/>
        <v>0</v>
      </c>
      <c r="N18" s="14">
        <v>2</v>
      </c>
      <c r="O18" s="7">
        <v>2</v>
      </c>
      <c r="P18" s="15">
        <f t="shared" si="0"/>
        <v>0</v>
      </c>
      <c r="Q18" s="11">
        <v>2</v>
      </c>
      <c r="R18" s="7">
        <v>2</v>
      </c>
      <c r="S18" s="15">
        <f t="shared" si="1"/>
        <v>0</v>
      </c>
      <c r="T18" s="7">
        <v>2</v>
      </c>
      <c r="U18" s="7">
        <v>2</v>
      </c>
      <c r="V18" s="15">
        <f t="shared" si="2"/>
        <v>0</v>
      </c>
      <c r="W18" s="7">
        <v>2</v>
      </c>
      <c r="X18" s="7">
        <v>2</v>
      </c>
      <c r="Y18" s="15">
        <f t="shared" si="3"/>
        <v>0</v>
      </c>
      <c r="Z18" s="7">
        <v>2</v>
      </c>
      <c r="AA18" s="7">
        <v>2</v>
      </c>
      <c r="AB18" s="15">
        <f t="shared" si="4"/>
        <v>0</v>
      </c>
      <c r="AC18" s="7">
        <v>2</v>
      </c>
      <c r="AD18" s="7">
        <v>2</v>
      </c>
      <c r="AE18" s="7">
        <v>2</v>
      </c>
      <c r="AF18" s="7">
        <v>2</v>
      </c>
      <c r="AG18" s="7">
        <v>2</v>
      </c>
      <c r="AH18" s="7">
        <v>2</v>
      </c>
      <c r="AI18" s="7">
        <v>2</v>
      </c>
      <c r="AJ18" s="7">
        <v>2</v>
      </c>
      <c r="AK18" s="7">
        <v>2</v>
      </c>
      <c r="AL18" s="7">
        <v>1</v>
      </c>
      <c r="AM18" s="7">
        <v>2</v>
      </c>
      <c r="AN18" s="7"/>
      <c r="AO18" s="7">
        <v>2</v>
      </c>
      <c r="AP18" s="7"/>
      <c r="AQ18" s="7">
        <v>2</v>
      </c>
      <c r="AR18" s="7"/>
      <c r="AS18" s="7">
        <v>2</v>
      </c>
      <c r="AT18" s="7"/>
      <c r="AU18" s="7">
        <v>2</v>
      </c>
      <c r="AV18" s="7"/>
      <c r="AW18" s="7">
        <v>2</v>
      </c>
      <c r="AX18" s="7"/>
    </row>
    <row r="19" spans="1:50">
      <c r="A19" s="9" t="s">
        <v>256</v>
      </c>
      <c r="B19" s="14">
        <v>0</v>
      </c>
      <c r="C19" s="7">
        <v>0</v>
      </c>
      <c r="D19" s="15">
        <f t="shared" si="5"/>
        <v>0</v>
      </c>
      <c r="E19" s="14">
        <v>0</v>
      </c>
      <c r="F19" s="7"/>
      <c r="G19" s="15">
        <f t="shared" si="6"/>
        <v>0</v>
      </c>
      <c r="H19" s="14">
        <v>1.4</v>
      </c>
      <c r="I19" s="7">
        <v>0</v>
      </c>
      <c r="J19" s="15">
        <f t="shared" si="7"/>
        <v>-1.4</v>
      </c>
      <c r="K19" s="14">
        <v>1.4</v>
      </c>
      <c r="L19" s="7">
        <v>0</v>
      </c>
      <c r="M19" s="15">
        <f t="shared" si="8"/>
        <v>-1.4</v>
      </c>
      <c r="N19" s="14">
        <v>0.7</v>
      </c>
      <c r="O19" s="7">
        <v>0</v>
      </c>
      <c r="P19" s="15">
        <f t="shared" si="0"/>
        <v>-0.7</v>
      </c>
      <c r="Q19" s="11">
        <v>0.7</v>
      </c>
      <c r="R19" s="7">
        <v>0</v>
      </c>
      <c r="S19" s="15">
        <f t="shared" si="1"/>
        <v>-0.7</v>
      </c>
      <c r="T19" s="7">
        <v>0.7</v>
      </c>
      <c r="U19" s="7">
        <v>0</v>
      </c>
      <c r="V19" s="15">
        <f t="shared" si="2"/>
        <v>-0.7</v>
      </c>
      <c r="W19" s="7">
        <v>0.7</v>
      </c>
      <c r="X19" s="7">
        <v>0.7</v>
      </c>
      <c r="Y19" s="15">
        <f t="shared" si="3"/>
        <v>0</v>
      </c>
      <c r="Z19" s="7">
        <v>0.7</v>
      </c>
      <c r="AA19" s="7">
        <v>0.7</v>
      </c>
      <c r="AB19" s="15">
        <f t="shared" si="4"/>
        <v>0</v>
      </c>
      <c r="AC19" s="7">
        <v>0.7</v>
      </c>
      <c r="AD19" s="7">
        <v>0.6</v>
      </c>
      <c r="AE19" s="7">
        <v>0.7</v>
      </c>
      <c r="AF19" s="7"/>
      <c r="AG19" s="7">
        <v>0.7</v>
      </c>
      <c r="AH19" s="7"/>
      <c r="AI19" s="7">
        <v>0.7</v>
      </c>
      <c r="AJ19" s="7"/>
      <c r="AK19" s="7">
        <v>0.7</v>
      </c>
      <c r="AL19" s="7"/>
      <c r="AM19" s="7">
        <v>0.7</v>
      </c>
      <c r="AN19" s="7"/>
      <c r="AO19" s="7">
        <v>0.7</v>
      </c>
      <c r="AP19" s="7"/>
      <c r="AQ19" s="7">
        <v>0.7</v>
      </c>
      <c r="AR19" s="7"/>
      <c r="AS19" s="7">
        <v>0.7</v>
      </c>
      <c r="AT19" s="7"/>
      <c r="AU19" s="7">
        <v>0.7</v>
      </c>
      <c r="AV19" s="7"/>
      <c r="AW19" s="7">
        <v>0.7</v>
      </c>
      <c r="AX19" s="7"/>
    </row>
    <row r="20" spans="1:50">
      <c r="A20" s="9" t="s">
        <v>257</v>
      </c>
      <c r="B20" s="14">
        <v>0.75</v>
      </c>
      <c r="C20" s="7">
        <v>0.75</v>
      </c>
      <c r="D20" s="15">
        <f t="shared" si="5"/>
        <v>0</v>
      </c>
      <c r="E20" s="14">
        <v>0.75</v>
      </c>
      <c r="F20" s="7">
        <v>0.75</v>
      </c>
      <c r="G20" s="15">
        <f t="shared" si="6"/>
        <v>0</v>
      </c>
      <c r="H20" s="14">
        <v>0.75</v>
      </c>
      <c r="I20" s="7">
        <v>0.75</v>
      </c>
      <c r="J20" s="15">
        <f t="shared" si="7"/>
        <v>0</v>
      </c>
      <c r="K20" s="14">
        <v>0.75</v>
      </c>
      <c r="L20" s="7">
        <v>0.75</v>
      </c>
      <c r="M20" s="15">
        <f t="shared" si="8"/>
        <v>0</v>
      </c>
      <c r="N20" s="14">
        <v>0.75</v>
      </c>
      <c r="O20" s="7">
        <v>0.15</v>
      </c>
      <c r="P20" s="15">
        <f t="shared" si="0"/>
        <v>-0.6</v>
      </c>
      <c r="Q20" s="11">
        <v>0.75</v>
      </c>
      <c r="R20" s="7">
        <v>0</v>
      </c>
      <c r="S20" s="15">
        <f t="shared" si="1"/>
        <v>-0.75</v>
      </c>
      <c r="T20" s="7">
        <v>0.75</v>
      </c>
      <c r="U20" s="7">
        <v>0</v>
      </c>
      <c r="V20" s="15">
        <f t="shared" si="2"/>
        <v>-0.75</v>
      </c>
      <c r="W20" s="7">
        <v>0.75</v>
      </c>
      <c r="X20" s="7">
        <v>0.75</v>
      </c>
      <c r="Y20" s="15">
        <f t="shared" si="3"/>
        <v>0</v>
      </c>
      <c r="Z20" s="7">
        <v>0.75</v>
      </c>
      <c r="AA20" s="7">
        <v>0.75</v>
      </c>
      <c r="AB20" s="15">
        <f t="shared" si="4"/>
        <v>0</v>
      </c>
      <c r="AC20" s="7">
        <v>0.75</v>
      </c>
      <c r="AD20" s="7">
        <v>0.75</v>
      </c>
      <c r="AE20" s="7">
        <v>0.75</v>
      </c>
      <c r="AF20" s="7">
        <v>0.75</v>
      </c>
      <c r="AG20" s="7">
        <v>0.75</v>
      </c>
      <c r="AH20" s="7"/>
      <c r="AI20" s="7">
        <v>0.75</v>
      </c>
      <c r="AJ20" s="7"/>
      <c r="AK20" s="7">
        <v>0.75</v>
      </c>
      <c r="AL20" s="7"/>
      <c r="AM20" s="7">
        <v>0.75</v>
      </c>
      <c r="AN20" s="7"/>
      <c r="AO20" s="7">
        <v>0.75</v>
      </c>
      <c r="AP20" s="7"/>
      <c r="AQ20" s="7">
        <v>0.75</v>
      </c>
      <c r="AR20" s="7"/>
      <c r="AS20" s="7">
        <v>0.75</v>
      </c>
      <c r="AT20" s="7"/>
      <c r="AU20" s="7">
        <v>0.75</v>
      </c>
      <c r="AV20" s="7"/>
      <c r="AW20" s="7">
        <v>0.75</v>
      </c>
      <c r="AX20" s="7"/>
    </row>
    <row r="21" spans="1:50">
      <c r="A21" s="9" t="s">
        <v>258</v>
      </c>
      <c r="B21" s="14">
        <v>0.6</v>
      </c>
      <c r="C21" s="7">
        <v>0.6</v>
      </c>
      <c r="D21" s="15">
        <f t="shared" si="5"/>
        <v>0</v>
      </c>
      <c r="E21" s="14">
        <v>0.6</v>
      </c>
      <c r="F21" s="7">
        <v>0.6</v>
      </c>
      <c r="G21" s="15">
        <f t="shared" si="6"/>
        <v>0</v>
      </c>
      <c r="H21" s="14">
        <v>0.6</v>
      </c>
      <c r="I21" s="7">
        <v>0.6</v>
      </c>
      <c r="J21" s="15">
        <f t="shared" si="7"/>
        <v>0</v>
      </c>
      <c r="K21" s="14">
        <v>0.6</v>
      </c>
      <c r="L21" s="7">
        <v>0.6</v>
      </c>
      <c r="M21" s="15">
        <f t="shared" si="8"/>
        <v>0</v>
      </c>
      <c r="N21" s="14">
        <v>0.6</v>
      </c>
      <c r="O21" s="7">
        <v>0.17</v>
      </c>
      <c r="P21" s="15">
        <f t="shared" si="0"/>
        <v>-0.42999999999999994</v>
      </c>
      <c r="Q21" s="11">
        <v>0.6</v>
      </c>
      <c r="R21" s="7">
        <v>0.6</v>
      </c>
      <c r="S21" s="15">
        <f t="shared" si="1"/>
        <v>0</v>
      </c>
      <c r="T21" s="7">
        <v>0.6</v>
      </c>
      <c r="U21" s="7">
        <v>0.6</v>
      </c>
      <c r="V21" s="15">
        <f t="shared" si="2"/>
        <v>0</v>
      </c>
      <c r="W21" s="7">
        <v>0.6</v>
      </c>
      <c r="X21" s="7">
        <v>0</v>
      </c>
      <c r="Y21" s="15">
        <f t="shared" si="3"/>
        <v>-0.6</v>
      </c>
      <c r="Z21" s="7">
        <v>0.6</v>
      </c>
      <c r="AA21" s="7">
        <v>0.6</v>
      </c>
      <c r="AB21" s="15">
        <f t="shared" si="4"/>
        <v>0</v>
      </c>
      <c r="AC21" s="7">
        <v>0.6</v>
      </c>
      <c r="AD21" s="7"/>
      <c r="AE21" s="7">
        <v>0.6</v>
      </c>
      <c r="AF21" s="7"/>
      <c r="AG21" s="7">
        <v>0.6</v>
      </c>
      <c r="AH21" s="7"/>
      <c r="AI21" s="7">
        <v>0.6</v>
      </c>
      <c r="AJ21" s="7"/>
      <c r="AK21" s="7">
        <v>0.6</v>
      </c>
      <c r="AL21" s="7"/>
      <c r="AM21" s="7">
        <v>0.6</v>
      </c>
      <c r="AN21" s="7"/>
      <c r="AO21" s="7">
        <v>0.6</v>
      </c>
      <c r="AP21" s="7"/>
      <c r="AQ21" s="7">
        <v>0.6</v>
      </c>
      <c r="AR21" s="7"/>
      <c r="AS21" s="7">
        <v>0.6</v>
      </c>
      <c r="AT21" s="7"/>
      <c r="AU21" s="7">
        <v>0.6</v>
      </c>
      <c r="AV21" s="7"/>
      <c r="AW21" s="7">
        <v>0.6</v>
      </c>
      <c r="AX21" s="7"/>
    </row>
    <row r="22" spans="1:50">
      <c r="A22" s="9" t="s">
        <v>259</v>
      </c>
      <c r="B22" s="14">
        <v>0</v>
      </c>
      <c r="C22" s="7">
        <v>0</v>
      </c>
      <c r="D22" s="15">
        <f t="shared" si="5"/>
        <v>0</v>
      </c>
      <c r="E22" s="14">
        <v>0</v>
      </c>
      <c r="F22" s="7"/>
      <c r="G22" s="15">
        <f t="shared" si="6"/>
        <v>0</v>
      </c>
      <c r="H22" s="14">
        <v>0</v>
      </c>
      <c r="I22" s="7">
        <v>0</v>
      </c>
      <c r="J22" s="15">
        <f t="shared" si="7"/>
        <v>0</v>
      </c>
      <c r="K22" s="14">
        <v>0</v>
      </c>
      <c r="L22" s="7">
        <v>0</v>
      </c>
      <c r="M22" s="15">
        <f t="shared" si="8"/>
        <v>0</v>
      </c>
      <c r="N22" s="14">
        <v>1</v>
      </c>
      <c r="O22" s="7">
        <v>0</v>
      </c>
      <c r="P22" s="15">
        <f t="shared" si="0"/>
        <v>-1</v>
      </c>
      <c r="Q22" s="11">
        <v>1</v>
      </c>
      <c r="R22" s="7">
        <v>0</v>
      </c>
      <c r="S22" s="15">
        <f t="shared" si="1"/>
        <v>-1</v>
      </c>
      <c r="T22" s="7">
        <v>1</v>
      </c>
      <c r="U22" s="7">
        <v>0</v>
      </c>
      <c r="V22" s="15">
        <f t="shared" si="2"/>
        <v>-1</v>
      </c>
      <c r="W22" s="7">
        <v>1</v>
      </c>
      <c r="X22" s="7">
        <v>0</v>
      </c>
      <c r="Y22" s="15">
        <f t="shared" si="3"/>
        <v>-1</v>
      </c>
      <c r="Z22" s="7">
        <v>1</v>
      </c>
      <c r="AA22" s="7">
        <v>1</v>
      </c>
      <c r="AB22" s="15">
        <f t="shared" si="4"/>
        <v>0</v>
      </c>
      <c r="AC22" s="7">
        <v>1</v>
      </c>
      <c r="AD22" s="7">
        <v>1</v>
      </c>
      <c r="AE22" s="7">
        <v>1</v>
      </c>
      <c r="AF22" s="7"/>
      <c r="AG22" s="7">
        <v>1</v>
      </c>
      <c r="AH22" s="7"/>
      <c r="AI22" s="7">
        <v>1</v>
      </c>
      <c r="AJ22" s="7"/>
      <c r="AK22" s="7">
        <v>1</v>
      </c>
      <c r="AL22" s="7"/>
      <c r="AM22" s="7">
        <v>1</v>
      </c>
      <c r="AN22" s="7"/>
      <c r="AO22" s="7">
        <v>1</v>
      </c>
      <c r="AP22" s="7"/>
      <c r="AQ22" s="7">
        <v>1</v>
      </c>
      <c r="AR22" s="7"/>
      <c r="AS22" s="7">
        <v>1</v>
      </c>
      <c r="AT22" s="7"/>
      <c r="AU22" s="7">
        <v>1</v>
      </c>
      <c r="AV22" s="7"/>
      <c r="AW22" s="7">
        <v>1</v>
      </c>
      <c r="AX22" s="7"/>
    </row>
    <row r="23" spans="1:50">
      <c r="A23" s="9" t="s">
        <v>260</v>
      </c>
      <c r="B23" s="14">
        <v>1.8</v>
      </c>
      <c r="C23" s="7">
        <v>1.8</v>
      </c>
      <c r="D23" s="15">
        <f t="shared" si="5"/>
        <v>0</v>
      </c>
      <c r="E23" s="14"/>
      <c r="F23" s="7"/>
      <c r="G23" s="15">
        <f t="shared" si="6"/>
        <v>0</v>
      </c>
      <c r="H23" s="14"/>
      <c r="I23" s="7"/>
      <c r="J23" s="15">
        <f t="shared" si="7"/>
        <v>0</v>
      </c>
      <c r="K23" s="14"/>
      <c r="L23" s="7">
        <v>0</v>
      </c>
      <c r="M23" s="15">
        <f t="shared" si="8"/>
        <v>0</v>
      </c>
      <c r="N23" s="14"/>
      <c r="O23" s="7">
        <v>0</v>
      </c>
      <c r="P23" s="15">
        <f t="shared" si="0"/>
        <v>0</v>
      </c>
      <c r="Q23" s="11">
        <v>0.6</v>
      </c>
      <c r="R23" s="7">
        <v>0.6</v>
      </c>
      <c r="S23" s="15">
        <f t="shared" si="1"/>
        <v>0</v>
      </c>
      <c r="T23" s="7"/>
      <c r="U23" s="7">
        <v>0</v>
      </c>
      <c r="V23" s="15">
        <f t="shared" si="2"/>
        <v>0</v>
      </c>
      <c r="W23" s="7"/>
      <c r="X23" s="7">
        <v>0</v>
      </c>
      <c r="Y23" s="15">
        <f t="shared" si="3"/>
        <v>0</v>
      </c>
      <c r="Z23" s="7"/>
      <c r="AA23" s="7">
        <v>0</v>
      </c>
      <c r="AB23" s="15">
        <f t="shared" si="4"/>
        <v>0</v>
      </c>
      <c r="AC23" s="7"/>
      <c r="AD23" s="7"/>
      <c r="AE23" s="7">
        <v>0.6</v>
      </c>
      <c r="AF23" s="7"/>
      <c r="AG23" s="7">
        <v>0.6</v>
      </c>
      <c r="AH23" s="7"/>
      <c r="AI23" s="7">
        <v>0.6</v>
      </c>
      <c r="AJ23" s="7"/>
      <c r="AK23" s="7">
        <v>0.6</v>
      </c>
      <c r="AL23" s="7"/>
      <c r="AM23" s="7">
        <v>0.6</v>
      </c>
      <c r="AN23" s="7"/>
      <c r="AO23" s="7">
        <v>0.6</v>
      </c>
      <c r="AP23" s="7"/>
      <c r="AQ23" s="7">
        <v>0.6</v>
      </c>
      <c r="AR23" s="7"/>
      <c r="AS23" s="7"/>
      <c r="AT23" s="7"/>
      <c r="AU23" s="7"/>
      <c r="AV23" s="7"/>
      <c r="AW23" s="7"/>
      <c r="AX23" s="7"/>
    </row>
    <row r="24" spans="1:50">
      <c r="A24" s="9" t="s">
        <v>261</v>
      </c>
      <c r="B24" s="14">
        <v>2</v>
      </c>
      <c r="C24" s="7">
        <v>2</v>
      </c>
      <c r="D24" s="15">
        <f t="shared" si="5"/>
        <v>0</v>
      </c>
      <c r="E24" s="14">
        <v>0</v>
      </c>
      <c r="F24" s="7"/>
      <c r="G24" s="15">
        <f t="shared" si="6"/>
        <v>0</v>
      </c>
      <c r="H24" s="14">
        <v>0</v>
      </c>
      <c r="I24" s="7">
        <v>0</v>
      </c>
      <c r="J24" s="15">
        <f t="shared" si="7"/>
        <v>0</v>
      </c>
      <c r="K24" s="14">
        <v>0</v>
      </c>
      <c r="L24" s="7">
        <v>0</v>
      </c>
      <c r="M24" s="15">
        <f t="shared" si="8"/>
        <v>0</v>
      </c>
      <c r="N24" s="14">
        <v>0</v>
      </c>
      <c r="O24" s="7">
        <v>0</v>
      </c>
      <c r="P24" s="15">
        <f t="shared" si="0"/>
        <v>0</v>
      </c>
      <c r="Q24" s="11">
        <v>2</v>
      </c>
      <c r="R24" s="7">
        <v>2</v>
      </c>
      <c r="S24" s="15">
        <f t="shared" si="1"/>
        <v>0</v>
      </c>
      <c r="T24" s="7">
        <v>2</v>
      </c>
      <c r="U24" s="7">
        <v>0</v>
      </c>
      <c r="V24" s="15">
        <f t="shared" si="2"/>
        <v>-2</v>
      </c>
      <c r="W24" s="7">
        <v>2</v>
      </c>
      <c r="X24" s="7">
        <v>2</v>
      </c>
      <c r="Y24" s="15">
        <f t="shared" si="3"/>
        <v>0</v>
      </c>
      <c r="Z24" s="7">
        <v>2</v>
      </c>
      <c r="AA24" s="7">
        <v>0</v>
      </c>
      <c r="AB24" s="15">
        <f t="shared" si="4"/>
        <v>-2</v>
      </c>
      <c r="AC24" s="7">
        <v>2</v>
      </c>
      <c r="AD24" s="7"/>
      <c r="AE24" s="7">
        <v>0</v>
      </c>
      <c r="AF24" s="7"/>
      <c r="AG24" s="7">
        <v>0</v>
      </c>
      <c r="AH24" s="7"/>
      <c r="AI24" s="7">
        <v>0</v>
      </c>
      <c r="AJ24" s="7"/>
      <c r="AK24" s="7">
        <v>0</v>
      </c>
      <c r="AL24" s="7"/>
      <c r="AM24" s="7">
        <v>0</v>
      </c>
      <c r="AN24" s="7"/>
      <c r="AO24" s="7">
        <v>2</v>
      </c>
      <c r="AP24" s="7"/>
      <c r="AQ24" s="7">
        <v>2</v>
      </c>
      <c r="AR24" s="7"/>
      <c r="AS24" s="7">
        <v>2</v>
      </c>
      <c r="AT24" s="7"/>
      <c r="AU24" s="7">
        <v>2</v>
      </c>
      <c r="AV24" s="7"/>
      <c r="AW24" s="7">
        <v>2</v>
      </c>
      <c r="AX24" s="7"/>
    </row>
    <row r="25" spans="1:50">
      <c r="A25" s="9" t="s">
        <v>262</v>
      </c>
      <c r="B25" s="14">
        <v>2</v>
      </c>
      <c r="C25" s="7">
        <v>2</v>
      </c>
      <c r="D25" s="15">
        <f t="shared" si="5"/>
        <v>0</v>
      </c>
      <c r="E25" s="14">
        <v>0</v>
      </c>
      <c r="F25" s="7"/>
      <c r="G25" s="15">
        <f t="shared" si="6"/>
        <v>0</v>
      </c>
      <c r="H25" s="14">
        <v>0</v>
      </c>
      <c r="I25" s="7">
        <v>0</v>
      </c>
      <c r="J25" s="15">
        <f t="shared" si="7"/>
        <v>0</v>
      </c>
      <c r="K25" s="14">
        <v>0</v>
      </c>
      <c r="L25" s="7">
        <v>0</v>
      </c>
      <c r="M25" s="15">
        <f t="shared" si="8"/>
        <v>0</v>
      </c>
      <c r="N25" s="14">
        <v>2</v>
      </c>
      <c r="O25" s="7">
        <v>2</v>
      </c>
      <c r="P25" s="15">
        <f t="shared" si="0"/>
        <v>0</v>
      </c>
      <c r="Q25" s="11">
        <v>2</v>
      </c>
      <c r="R25" s="7">
        <v>2</v>
      </c>
      <c r="S25" s="15">
        <f t="shared" si="1"/>
        <v>0</v>
      </c>
      <c r="T25" s="7">
        <v>2</v>
      </c>
      <c r="U25" s="7">
        <v>0</v>
      </c>
      <c r="V25" s="15">
        <f t="shared" si="2"/>
        <v>-2</v>
      </c>
      <c r="W25" s="7">
        <v>2</v>
      </c>
      <c r="X25" s="7">
        <v>2</v>
      </c>
      <c r="Y25" s="15">
        <f t="shared" si="3"/>
        <v>0</v>
      </c>
      <c r="Z25" s="7">
        <v>2</v>
      </c>
      <c r="AA25" s="7">
        <v>0</v>
      </c>
      <c r="AB25" s="15">
        <f t="shared" si="4"/>
        <v>-2</v>
      </c>
      <c r="AC25" s="7">
        <v>0</v>
      </c>
      <c r="AD25" s="7"/>
      <c r="AE25" s="7">
        <v>0</v>
      </c>
      <c r="AF25" s="7"/>
      <c r="AG25" s="7">
        <v>0</v>
      </c>
      <c r="AH25" s="7"/>
      <c r="AI25" s="7">
        <v>0</v>
      </c>
      <c r="AJ25" s="7"/>
      <c r="AK25" s="7">
        <v>0</v>
      </c>
      <c r="AL25" s="7"/>
      <c r="AM25" s="7">
        <v>0</v>
      </c>
      <c r="AN25" s="7"/>
      <c r="AO25" s="7">
        <v>2</v>
      </c>
      <c r="AP25" s="7"/>
      <c r="AQ25" s="7">
        <v>2</v>
      </c>
      <c r="AR25" s="7"/>
      <c r="AS25" s="7">
        <v>2</v>
      </c>
      <c r="AT25" s="7"/>
      <c r="AU25" s="7">
        <v>2</v>
      </c>
      <c r="AV25" s="7"/>
      <c r="AW25" s="7">
        <v>2</v>
      </c>
      <c r="AX25" s="7"/>
    </row>
    <row r="26" spans="1:50">
      <c r="A26" s="9" t="s">
        <v>263</v>
      </c>
      <c r="B26" s="14">
        <v>0</v>
      </c>
      <c r="C26" s="7">
        <v>0</v>
      </c>
      <c r="D26" s="15">
        <f t="shared" si="5"/>
        <v>0</v>
      </c>
      <c r="E26" s="14">
        <v>0</v>
      </c>
      <c r="F26" s="7"/>
      <c r="G26" s="15">
        <f t="shared" si="6"/>
        <v>0</v>
      </c>
      <c r="H26" s="14">
        <v>2</v>
      </c>
      <c r="I26" s="7">
        <v>1.982</v>
      </c>
      <c r="J26" s="15">
        <f t="shared" si="7"/>
        <v>-1.8000000000000016E-2</v>
      </c>
      <c r="K26" s="14">
        <v>2</v>
      </c>
      <c r="L26" s="7">
        <v>0</v>
      </c>
      <c r="M26" s="15">
        <f t="shared" si="8"/>
        <v>-2</v>
      </c>
      <c r="N26" s="14">
        <v>1</v>
      </c>
      <c r="O26" s="7">
        <v>1</v>
      </c>
      <c r="P26" s="15">
        <f t="shared" si="0"/>
        <v>0</v>
      </c>
      <c r="Q26" s="11">
        <v>1</v>
      </c>
      <c r="R26" s="7">
        <v>0</v>
      </c>
      <c r="S26" s="15">
        <f t="shared" si="1"/>
        <v>-1</v>
      </c>
      <c r="T26" s="7">
        <v>1</v>
      </c>
      <c r="U26" s="7">
        <v>0</v>
      </c>
      <c r="V26" s="15">
        <f t="shared" si="2"/>
        <v>-1</v>
      </c>
      <c r="W26" s="7">
        <v>1</v>
      </c>
      <c r="X26" s="7">
        <v>0</v>
      </c>
      <c r="Y26" s="15">
        <f t="shared" si="3"/>
        <v>-1</v>
      </c>
      <c r="Z26" s="7">
        <v>1</v>
      </c>
      <c r="AA26" s="7">
        <v>0</v>
      </c>
      <c r="AB26" s="15">
        <f t="shared" si="4"/>
        <v>-1</v>
      </c>
      <c r="AC26" s="7">
        <v>1</v>
      </c>
      <c r="AD26" s="7"/>
      <c r="AE26" s="7">
        <v>1</v>
      </c>
      <c r="AF26" s="7"/>
      <c r="AG26" s="7">
        <v>1</v>
      </c>
      <c r="AH26" s="7"/>
      <c r="AI26" s="7">
        <v>1</v>
      </c>
      <c r="AJ26" s="7"/>
      <c r="AK26" s="7">
        <v>1</v>
      </c>
      <c r="AL26" s="7"/>
      <c r="AM26" s="7">
        <v>1</v>
      </c>
      <c r="AN26" s="7"/>
      <c r="AO26" s="7">
        <v>1</v>
      </c>
      <c r="AP26" s="7"/>
      <c r="AQ26" s="7">
        <v>1</v>
      </c>
      <c r="AR26" s="7"/>
      <c r="AS26" s="7">
        <v>1</v>
      </c>
      <c r="AT26" s="7"/>
      <c r="AU26" s="7">
        <v>1</v>
      </c>
      <c r="AV26" s="7"/>
      <c r="AW26" s="7">
        <v>1</v>
      </c>
      <c r="AX26" s="7"/>
    </row>
    <row r="27" spans="1:50">
      <c r="A27" s="9" t="s">
        <v>264</v>
      </c>
      <c r="B27" s="14">
        <v>0</v>
      </c>
      <c r="C27" s="7">
        <v>0</v>
      </c>
      <c r="D27" s="15">
        <f t="shared" si="5"/>
        <v>0</v>
      </c>
      <c r="E27" s="14">
        <v>0</v>
      </c>
      <c r="F27" s="7"/>
      <c r="G27" s="15">
        <f t="shared" si="6"/>
        <v>0</v>
      </c>
      <c r="H27" s="14">
        <v>2</v>
      </c>
      <c r="I27" s="7">
        <v>0</v>
      </c>
      <c r="J27" s="15">
        <f t="shared" si="7"/>
        <v>-2</v>
      </c>
      <c r="K27" s="14">
        <v>2</v>
      </c>
      <c r="L27" s="7">
        <v>0</v>
      </c>
      <c r="M27" s="15">
        <f t="shared" si="8"/>
        <v>-2</v>
      </c>
      <c r="N27" s="14">
        <v>1</v>
      </c>
      <c r="O27" s="7">
        <v>0</v>
      </c>
      <c r="P27" s="15">
        <f t="shared" si="0"/>
        <v>-1</v>
      </c>
      <c r="Q27" s="11">
        <v>1</v>
      </c>
      <c r="R27" s="7">
        <v>0</v>
      </c>
      <c r="S27" s="15">
        <f t="shared" si="1"/>
        <v>-1</v>
      </c>
      <c r="T27" s="7">
        <v>1</v>
      </c>
      <c r="U27" s="7">
        <v>0</v>
      </c>
      <c r="V27" s="15">
        <f t="shared" si="2"/>
        <v>-1</v>
      </c>
      <c r="W27" s="7">
        <v>1</v>
      </c>
      <c r="X27" s="7">
        <v>0</v>
      </c>
      <c r="Y27" s="15">
        <f t="shared" si="3"/>
        <v>-1</v>
      </c>
      <c r="Z27" s="7">
        <v>1</v>
      </c>
      <c r="AA27" s="7">
        <v>0</v>
      </c>
      <c r="AB27" s="15">
        <f t="shared" si="4"/>
        <v>-1</v>
      </c>
      <c r="AC27" s="7">
        <v>1</v>
      </c>
      <c r="AD27" s="7"/>
      <c r="AE27" s="7">
        <v>1</v>
      </c>
      <c r="AF27" s="7"/>
      <c r="AG27" s="7">
        <v>1</v>
      </c>
      <c r="AH27" s="7"/>
      <c r="AI27" s="7">
        <v>1</v>
      </c>
      <c r="AJ27" s="7"/>
      <c r="AK27" s="7">
        <v>1</v>
      </c>
      <c r="AL27" s="7"/>
      <c r="AM27" s="7">
        <v>1</v>
      </c>
      <c r="AN27" s="7"/>
      <c r="AO27" s="7">
        <v>1.1479999999999999</v>
      </c>
      <c r="AP27" s="7"/>
      <c r="AQ27" s="7"/>
      <c r="AR27" s="7"/>
      <c r="AS27" s="7"/>
      <c r="AT27" s="7"/>
      <c r="AU27" s="7"/>
      <c r="AV27" s="7"/>
      <c r="AW27" s="7"/>
      <c r="AX27" s="7"/>
    </row>
    <row r="28" spans="1:50">
      <c r="A28" s="9" t="s">
        <v>265</v>
      </c>
      <c r="B28" s="14">
        <v>6</v>
      </c>
      <c r="C28" s="7">
        <v>6</v>
      </c>
      <c r="D28" s="15">
        <f t="shared" si="5"/>
        <v>0</v>
      </c>
      <c r="E28" s="14">
        <v>6</v>
      </c>
      <c r="F28" s="7">
        <v>6</v>
      </c>
      <c r="G28" s="15">
        <f t="shared" si="6"/>
        <v>0</v>
      </c>
      <c r="H28" s="14">
        <v>6</v>
      </c>
      <c r="I28" s="7">
        <v>6</v>
      </c>
      <c r="J28" s="15">
        <f t="shared" si="7"/>
        <v>0</v>
      </c>
      <c r="K28" s="14">
        <v>6</v>
      </c>
      <c r="L28" s="7">
        <v>6</v>
      </c>
      <c r="M28" s="15">
        <f t="shared" si="8"/>
        <v>0</v>
      </c>
      <c r="N28" s="14">
        <v>6</v>
      </c>
      <c r="O28" s="7">
        <v>5.12</v>
      </c>
      <c r="P28" s="15">
        <f t="shared" si="0"/>
        <v>-0.87999999999999989</v>
      </c>
      <c r="Q28" s="11">
        <v>6</v>
      </c>
      <c r="R28" s="7">
        <v>6</v>
      </c>
      <c r="S28" s="15">
        <f t="shared" si="1"/>
        <v>0</v>
      </c>
      <c r="T28" s="7">
        <v>6</v>
      </c>
      <c r="U28" s="7">
        <v>6</v>
      </c>
      <c r="V28" s="15">
        <f t="shared" si="2"/>
        <v>0</v>
      </c>
      <c r="W28" s="7">
        <v>6</v>
      </c>
      <c r="X28" s="7">
        <v>4</v>
      </c>
      <c r="Y28" s="15">
        <f t="shared" si="3"/>
        <v>-2</v>
      </c>
      <c r="Z28" s="7">
        <v>6</v>
      </c>
      <c r="AA28" s="7">
        <v>6</v>
      </c>
      <c r="AB28" s="15">
        <f t="shared" si="4"/>
        <v>0</v>
      </c>
      <c r="AC28" s="7">
        <v>6</v>
      </c>
      <c r="AD28" s="7"/>
      <c r="AE28" s="7">
        <v>6</v>
      </c>
      <c r="AF28" s="7"/>
      <c r="AG28" s="7">
        <v>6</v>
      </c>
      <c r="AH28" s="7"/>
      <c r="AI28" s="7">
        <v>6</v>
      </c>
      <c r="AJ28" s="7"/>
      <c r="AK28" s="7">
        <v>6</v>
      </c>
      <c r="AL28" s="7"/>
      <c r="AM28" s="7">
        <v>6</v>
      </c>
      <c r="AN28" s="7"/>
      <c r="AO28" s="7">
        <v>6</v>
      </c>
      <c r="AP28" s="7"/>
      <c r="AQ28" s="7">
        <v>6</v>
      </c>
      <c r="AR28" s="7"/>
      <c r="AS28" s="7">
        <v>6</v>
      </c>
      <c r="AT28" s="7"/>
      <c r="AU28" s="7">
        <v>6</v>
      </c>
      <c r="AV28" s="7"/>
      <c r="AW28" s="7">
        <v>6</v>
      </c>
      <c r="AX28" s="7"/>
    </row>
    <row r="29" spans="1:50">
      <c r="A29" s="9" t="s">
        <v>266</v>
      </c>
      <c r="B29" s="14">
        <v>0</v>
      </c>
      <c r="C29" s="7">
        <v>0</v>
      </c>
      <c r="D29" s="15">
        <f t="shared" si="5"/>
        <v>0</v>
      </c>
      <c r="E29" s="14">
        <v>0</v>
      </c>
      <c r="F29" s="7"/>
      <c r="G29" s="15">
        <f t="shared" si="6"/>
        <v>0</v>
      </c>
      <c r="H29" s="14">
        <v>2</v>
      </c>
      <c r="I29" s="7">
        <v>0</v>
      </c>
      <c r="J29" s="15">
        <f t="shared" si="7"/>
        <v>-2</v>
      </c>
      <c r="K29" s="14">
        <v>2</v>
      </c>
      <c r="L29" s="7">
        <v>0</v>
      </c>
      <c r="M29" s="15">
        <f t="shared" si="8"/>
        <v>-2</v>
      </c>
      <c r="N29" s="14">
        <v>1</v>
      </c>
      <c r="O29" s="7">
        <v>1</v>
      </c>
      <c r="P29" s="15">
        <f t="shared" si="0"/>
        <v>0</v>
      </c>
      <c r="Q29" s="11">
        <v>1</v>
      </c>
      <c r="R29" s="7">
        <v>0</v>
      </c>
      <c r="S29" s="15">
        <f t="shared" si="1"/>
        <v>-1</v>
      </c>
      <c r="T29" s="7">
        <v>1</v>
      </c>
      <c r="U29" s="7">
        <v>0</v>
      </c>
      <c r="V29" s="15">
        <f t="shared" si="2"/>
        <v>-1</v>
      </c>
      <c r="W29" s="7">
        <v>1</v>
      </c>
      <c r="X29" s="7">
        <v>0</v>
      </c>
      <c r="Y29" s="15">
        <f t="shared" si="3"/>
        <v>-1</v>
      </c>
      <c r="Z29" s="7">
        <v>1</v>
      </c>
      <c r="AA29" s="7">
        <v>0</v>
      </c>
      <c r="AB29" s="15">
        <f t="shared" si="4"/>
        <v>-1</v>
      </c>
      <c r="AC29" s="7">
        <v>1</v>
      </c>
      <c r="AD29" s="7"/>
      <c r="AE29" s="7">
        <v>1</v>
      </c>
      <c r="AF29" s="7"/>
      <c r="AG29" s="7">
        <v>1</v>
      </c>
      <c r="AH29" s="7"/>
      <c r="AI29" s="7">
        <v>1</v>
      </c>
      <c r="AJ29" s="7"/>
      <c r="AK29" s="7">
        <v>1</v>
      </c>
      <c r="AL29" s="7"/>
      <c r="AM29" s="7">
        <v>1</v>
      </c>
      <c r="AN29" s="7"/>
      <c r="AO29" s="7">
        <v>1</v>
      </c>
      <c r="AP29" s="7"/>
      <c r="AQ29" s="7">
        <v>1</v>
      </c>
      <c r="AR29" s="7"/>
      <c r="AS29" s="7">
        <v>1</v>
      </c>
      <c r="AT29" s="7"/>
      <c r="AU29" s="7">
        <v>1</v>
      </c>
      <c r="AV29" s="7"/>
      <c r="AW29" s="7">
        <v>1</v>
      </c>
      <c r="AX29" s="7"/>
    </row>
    <row r="30" spans="1:50" ht="15.75" thickBot="1">
      <c r="A30" s="9" t="s">
        <v>267</v>
      </c>
      <c r="B30" s="16">
        <v>3</v>
      </c>
      <c r="C30" s="17">
        <v>3</v>
      </c>
      <c r="D30" s="15">
        <f t="shared" si="5"/>
        <v>0</v>
      </c>
      <c r="E30" s="16">
        <v>1.3</v>
      </c>
      <c r="F30" s="17">
        <v>1.3</v>
      </c>
      <c r="G30" s="18">
        <f t="shared" si="6"/>
        <v>0</v>
      </c>
      <c r="H30" s="16">
        <v>1.3</v>
      </c>
      <c r="I30" s="17">
        <v>1.3</v>
      </c>
      <c r="J30" s="18">
        <f t="shared" si="7"/>
        <v>0</v>
      </c>
      <c r="K30" s="16">
        <v>1.3</v>
      </c>
      <c r="L30" s="17">
        <v>1.3</v>
      </c>
      <c r="M30" s="18">
        <f t="shared" si="8"/>
        <v>0</v>
      </c>
      <c r="N30" s="16">
        <v>1.3</v>
      </c>
      <c r="O30" s="17">
        <v>1.3</v>
      </c>
      <c r="P30" s="18">
        <f t="shared" si="0"/>
        <v>0</v>
      </c>
      <c r="Q30" s="11">
        <v>1.3</v>
      </c>
      <c r="R30" s="7">
        <v>1.3</v>
      </c>
      <c r="S30" s="18">
        <f t="shared" si="1"/>
        <v>0</v>
      </c>
      <c r="T30" s="7">
        <v>1.3</v>
      </c>
      <c r="U30" s="7">
        <v>0.746</v>
      </c>
      <c r="V30" s="18">
        <f t="shared" si="2"/>
        <v>-0.55400000000000005</v>
      </c>
      <c r="W30" s="7">
        <v>1.3</v>
      </c>
      <c r="X30" s="7">
        <v>1.3</v>
      </c>
      <c r="Y30" s="18">
        <f t="shared" si="3"/>
        <v>0</v>
      </c>
      <c r="Z30" s="7">
        <v>1.3</v>
      </c>
      <c r="AA30" s="7">
        <v>1.3</v>
      </c>
      <c r="AB30" s="18">
        <f t="shared" si="4"/>
        <v>0</v>
      </c>
      <c r="AC30" s="7">
        <v>1.3</v>
      </c>
      <c r="AD30" s="7">
        <v>1.3</v>
      </c>
      <c r="AE30" s="7">
        <v>1.3</v>
      </c>
      <c r="AF30" s="7">
        <v>1.3</v>
      </c>
      <c r="AG30" s="7">
        <v>1.3</v>
      </c>
      <c r="AH30" s="7">
        <v>0.2</v>
      </c>
      <c r="AI30" s="7">
        <v>1.3</v>
      </c>
      <c r="AJ30" s="7"/>
      <c r="AK30" s="7">
        <v>1.3</v>
      </c>
      <c r="AL30" s="7"/>
      <c r="AM30" s="7">
        <v>1.3</v>
      </c>
      <c r="AN30" s="7"/>
      <c r="AO30" s="7">
        <v>1.3</v>
      </c>
      <c r="AP30" s="7"/>
      <c r="AQ30" s="7">
        <v>1.3</v>
      </c>
      <c r="AR30" s="7"/>
      <c r="AS30" s="7">
        <v>1.3</v>
      </c>
      <c r="AT30" s="7"/>
      <c r="AU30" s="7">
        <v>1.3</v>
      </c>
      <c r="AV30" s="7"/>
      <c r="AW30" s="7">
        <v>1.3</v>
      </c>
      <c r="AX30" s="7"/>
    </row>
  </sheetData>
  <mergeCells count="20">
    <mergeCell ref="AU1:AV1"/>
    <mergeCell ref="AW1:AX1"/>
    <mergeCell ref="AO1:AP1"/>
    <mergeCell ref="AQ1:AR1"/>
    <mergeCell ref="AS1:AT1"/>
    <mergeCell ref="B1:D1"/>
    <mergeCell ref="E1:G1"/>
    <mergeCell ref="AI1:AJ1"/>
    <mergeCell ref="AK1:AL1"/>
    <mergeCell ref="AM1:AN1"/>
    <mergeCell ref="T1:U1"/>
    <mergeCell ref="W1:X1"/>
    <mergeCell ref="Z1:AA1"/>
    <mergeCell ref="AC1:AD1"/>
    <mergeCell ref="AE1:AF1"/>
    <mergeCell ref="AG1:AH1"/>
    <mergeCell ref="Q1:R1"/>
    <mergeCell ref="H1:J1"/>
    <mergeCell ref="K1:M1"/>
    <mergeCell ref="N1:P1"/>
  </mergeCells>
  <phoneticPr fontId="16"/>
  <conditionalFormatting sqref="C3">
    <cfRule type="cellIs" dxfId="25" priority="29" operator="greaterThan">
      <formula>$B$3</formula>
    </cfRule>
    <cfRule type="cellIs" dxfId="24" priority="30" operator="lessThan">
      <formula>$B$3</formula>
    </cfRule>
  </conditionalFormatting>
  <conditionalFormatting sqref="D3:D30">
    <cfRule type="cellIs" dxfId="23" priority="21" operator="lessThan">
      <formula>0</formula>
    </cfRule>
    <cfRule type="cellIs" dxfId="22" priority="22" operator="greaterThan">
      <formula>0</formula>
    </cfRule>
  </conditionalFormatting>
  <conditionalFormatting sqref="G3:G30">
    <cfRule type="cellIs" dxfId="21" priority="23" operator="lessThan">
      <formula>0</formula>
    </cfRule>
    <cfRule type="cellIs" dxfId="20" priority="24" operator="greaterThan">
      <formula>0</formula>
    </cfRule>
  </conditionalFormatting>
  <conditionalFormatting sqref="J3:J29">
    <cfRule type="cellIs" dxfId="19" priority="13" operator="lessThan">
      <formula>0</formula>
    </cfRule>
    <cfRule type="cellIs" dxfId="18" priority="14" operator="greaterThan">
      <formula>0</formula>
    </cfRule>
  </conditionalFormatting>
  <conditionalFormatting sqref="M3:M30">
    <cfRule type="cellIs" dxfId="17" priority="11" operator="lessThan">
      <formula>0</formula>
    </cfRule>
    <cfRule type="cellIs" dxfId="16" priority="12" operator="greaterThan">
      <formula>0</formula>
    </cfRule>
  </conditionalFormatting>
  <conditionalFormatting sqref="P3:P30">
    <cfRule type="cellIs" dxfId="15" priority="9" operator="lessThan">
      <formula>0</formula>
    </cfRule>
    <cfRule type="cellIs" dxfId="14" priority="10" operator="greaterThan">
      <formula>0</formula>
    </cfRule>
  </conditionalFormatting>
  <conditionalFormatting sqref="S3:S30">
    <cfRule type="cellIs" dxfId="13" priority="7" operator="lessThan">
      <formula>0</formula>
    </cfRule>
    <cfRule type="cellIs" dxfId="12" priority="8" operator="greaterThan">
      <formula>0</formula>
    </cfRule>
  </conditionalFormatting>
  <conditionalFormatting sqref="V3:V30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Y3:Y30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AB3:AB3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scale="24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Munka22">
    <tabColor rgb="FF00B050"/>
  </sheetPr>
  <dimension ref="A1:AF54"/>
  <sheetViews>
    <sheetView zoomScale="90" zoomScaleNormal="90" workbookViewId="0">
      <selection activeCell="P12" sqref="P12"/>
    </sheetView>
  </sheetViews>
  <sheetFormatPr defaultColWidth="8.42578125" defaultRowHeight="15"/>
  <cols>
    <col min="1" max="1" width="20.42578125" style="27" customWidth="1"/>
    <col min="2" max="2" width="14.42578125" style="27" customWidth="1"/>
    <col min="3" max="4" width="13.42578125" style="27" bestFit="1" customWidth="1"/>
    <col min="5" max="5" width="13.42578125" style="27" customWidth="1"/>
    <col min="6" max="6" width="13.42578125" style="27" bestFit="1" customWidth="1"/>
    <col min="7" max="7" width="13.42578125" style="27" customWidth="1"/>
    <col min="8" max="8" width="14.42578125" style="27" customWidth="1"/>
    <col min="9" max="9" width="15.42578125" style="27" customWidth="1"/>
    <col min="10" max="10" width="14.42578125" style="27" customWidth="1"/>
    <col min="11" max="11" width="13.42578125" style="27" customWidth="1"/>
    <col min="12" max="14" width="13.42578125" style="27" bestFit="1" customWidth="1"/>
    <col min="15" max="15" width="13.42578125" style="27" customWidth="1"/>
    <col min="16" max="19" width="13.42578125" style="27" bestFit="1" customWidth="1"/>
    <col min="20" max="21" width="15.42578125" style="27" customWidth="1"/>
    <col min="22" max="23" width="13.42578125" style="27" bestFit="1" customWidth="1"/>
    <col min="24" max="24" width="14" style="27" customWidth="1"/>
    <col min="25" max="25" width="13.42578125" style="27" bestFit="1" customWidth="1"/>
    <col min="26" max="26" width="13.42578125" style="27" customWidth="1"/>
    <col min="27" max="27" width="11.42578125" style="27" customWidth="1"/>
    <col min="28" max="28" width="36.42578125" style="27" bestFit="1" customWidth="1"/>
    <col min="29" max="29" width="14.42578125" style="27" bestFit="1" customWidth="1"/>
    <col min="30" max="30" width="12.42578125" style="27" customWidth="1"/>
    <col min="31" max="31" width="28" style="27" customWidth="1"/>
    <col min="32" max="32" width="25.42578125" style="27" customWidth="1"/>
    <col min="33" max="33" width="31.42578125" style="27" customWidth="1"/>
    <col min="34" max="34" width="38.42578125" style="27" bestFit="1" customWidth="1"/>
    <col min="35" max="39" width="10.42578125" style="27" customWidth="1"/>
    <col min="40" max="40" width="44.42578125" style="27" bestFit="1" customWidth="1"/>
    <col min="41" max="41" width="28.42578125" style="27" customWidth="1"/>
    <col min="42" max="44" width="10.42578125" style="27" customWidth="1"/>
    <col min="45" max="45" width="34" style="27" bestFit="1" customWidth="1"/>
    <col min="46" max="46" width="10.42578125" style="27" bestFit="1" customWidth="1"/>
    <col min="47" max="47" width="10.42578125" style="27" customWidth="1"/>
    <col min="48" max="48" width="47.42578125" style="27" bestFit="1" customWidth="1"/>
    <col min="49" max="68" width="10.42578125" style="27" bestFit="1" customWidth="1"/>
    <col min="69" max="69" width="52.42578125" style="27" bestFit="1" customWidth="1"/>
    <col min="70" max="70" width="37.42578125" style="27" bestFit="1" customWidth="1"/>
    <col min="71" max="73" width="10.42578125" style="27" bestFit="1" customWidth="1"/>
    <col min="74" max="74" width="42.42578125" style="27" bestFit="1" customWidth="1"/>
    <col min="75" max="75" width="37.42578125" style="27" bestFit="1" customWidth="1"/>
    <col min="76" max="76" width="43.42578125" style="27" bestFit="1" customWidth="1"/>
    <col min="77" max="77" width="30" style="27" bestFit="1" customWidth="1"/>
    <col min="78" max="83" width="10.42578125" style="27" bestFit="1" customWidth="1"/>
    <col min="84" max="84" width="35.42578125" style="27" bestFit="1" customWidth="1"/>
    <col min="85" max="85" width="18" style="27" bestFit="1" customWidth="1"/>
    <col min="86" max="89" width="10.42578125" style="27" bestFit="1" customWidth="1"/>
    <col min="90" max="90" width="22.42578125" style="27" bestFit="1" customWidth="1"/>
    <col min="91" max="91" width="23.42578125" style="27" bestFit="1" customWidth="1"/>
    <col min="92" max="93" width="10.42578125" style="27" bestFit="1" customWidth="1"/>
    <col min="94" max="94" width="28.42578125" style="27" bestFit="1" customWidth="1"/>
    <col min="95" max="95" width="18.42578125" style="27" bestFit="1" customWidth="1"/>
    <col min="96" max="96" width="23.42578125" style="27" bestFit="1" customWidth="1"/>
    <col min="97" max="97" width="24.42578125" style="27" bestFit="1" customWidth="1"/>
    <col min="98" max="98" width="29.42578125" style="27" bestFit="1" customWidth="1"/>
    <col min="99" max="99" width="27.42578125" style="27" bestFit="1" customWidth="1"/>
    <col min="100" max="100" width="10.42578125" style="27" bestFit="1" customWidth="1"/>
    <col min="101" max="101" width="32.42578125" style="27" bestFit="1" customWidth="1"/>
    <col min="102" max="102" width="23.42578125" style="27" bestFit="1" customWidth="1"/>
    <col min="103" max="103" width="29" style="27" bestFit="1" customWidth="1"/>
    <col min="104" max="104" width="33.42578125" style="27" bestFit="1" customWidth="1"/>
    <col min="105" max="110" width="10.42578125" style="27" bestFit="1" customWidth="1"/>
    <col min="111" max="111" width="39.42578125" style="27" bestFit="1" customWidth="1"/>
    <col min="112" max="112" width="24" style="27" bestFit="1" customWidth="1"/>
    <col min="113" max="113" width="10.42578125" style="27" bestFit="1" customWidth="1"/>
    <col min="114" max="114" width="28.42578125" style="27" bestFit="1" customWidth="1"/>
    <col min="115" max="115" width="24.42578125" style="27" bestFit="1" customWidth="1"/>
    <col min="116" max="116" width="10.42578125" style="27" bestFit="1" customWidth="1"/>
    <col min="117" max="117" width="29.42578125" style="27" bestFit="1" customWidth="1"/>
    <col min="118" max="118" width="14.42578125" style="27" bestFit="1" customWidth="1"/>
    <col min="119" max="136" width="10.42578125" style="27" bestFit="1" customWidth="1"/>
    <col min="137" max="137" width="19.42578125" style="27" bestFit="1" customWidth="1"/>
    <col min="138" max="138" width="14.42578125" style="27" bestFit="1" customWidth="1"/>
    <col min="139" max="139" width="10.42578125" style="27" bestFit="1" customWidth="1"/>
    <col min="140" max="140" width="19.42578125" style="27" bestFit="1" customWidth="1"/>
    <col min="141" max="141" width="10.42578125" style="27" bestFit="1" customWidth="1"/>
    <col min="142" max="142" width="14" style="27" bestFit="1" customWidth="1"/>
    <col min="143" max="143" width="21.42578125" style="27" bestFit="1" customWidth="1"/>
    <col min="144" max="145" width="10.42578125" style="27" bestFit="1" customWidth="1"/>
    <col min="146" max="146" width="27" style="27" bestFit="1" customWidth="1"/>
    <col min="147" max="147" width="16.42578125" style="27" bestFit="1" customWidth="1"/>
    <col min="148" max="148" width="20.42578125" style="27" bestFit="1" customWidth="1"/>
    <col min="149" max="149" width="10.42578125" style="27" bestFit="1" customWidth="1"/>
    <col min="150" max="150" width="15.42578125" style="27" bestFit="1" customWidth="1"/>
    <col min="151" max="151" width="40.42578125" style="27" bestFit="1" customWidth="1"/>
    <col min="152" max="156" width="10.42578125" style="27" bestFit="1" customWidth="1"/>
    <col min="157" max="157" width="45" style="27" bestFit="1" customWidth="1"/>
    <col min="158" max="158" width="30.42578125" style="27" bestFit="1" customWidth="1"/>
    <col min="159" max="159" width="35.42578125" style="27" bestFit="1" customWidth="1"/>
    <col min="160" max="160" width="28.42578125" style="27" bestFit="1" customWidth="1"/>
    <col min="161" max="161" width="33.42578125" style="27" bestFit="1" customWidth="1"/>
    <col min="162" max="162" width="26.42578125" style="27" bestFit="1" customWidth="1"/>
    <col min="163" max="164" width="10.42578125" style="27" bestFit="1" customWidth="1"/>
    <col min="165" max="165" width="32" style="27" bestFit="1" customWidth="1"/>
    <col min="166" max="166" width="27.42578125" style="27" bestFit="1" customWidth="1"/>
    <col min="167" max="185" width="10.42578125" style="27" bestFit="1" customWidth="1"/>
    <col min="186" max="186" width="32.42578125" style="27" bestFit="1" customWidth="1"/>
    <col min="187" max="187" width="33.42578125" style="27" bestFit="1" customWidth="1"/>
    <col min="188" max="188" width="39.42578125" style="27" bestFit="1" customWidth="1"/>
    <col min="189" max="189" width="29.42578125" style="27" bestFit="1" customWidth="1"/>
    <col min="190" max="191" width="10.42578125" style="27" bestFit="1" customWidth="1"/>
    <col min="192" max="192" width="33.42578125" style="27" bestFit="1" customWidth="1"/>
    <col min="193" max="193" width="21" style="27" bestFit="1" customWidth="1"/>
    <col min="194" max="196" width="10.42578125" style="27" bestFit="1" customWidth="1"/>
    <col min="197" max="197" width="26" style="27" bestFit="1" customWidth="1"/>
    <col min="198" max="198" width="16" style="27" bestFit="1" customWidth="1"/>
    <col min="199" max="199" width="10.42578125" style="27" bestFit="1" customWidth="1"/>
    <col min="200" max="200" width="21.42578125" style="27" bestFit="1" customWidth="1"/>
    <col min="201" max="201" width="27.42578125" style="27" bestFit="1" customWidth="1"/>
    <col min="202" max="202" width="32.42578125" style="27" bestFit="1" customWidth="1"/>
    <col min="203" max="203" width="41.42578125" style="27" bestFit="1" customWidth="1"/>
    <col min="204" max="207" width="10.42578125" style="27" bestFit="1" customWidth="1"/>
    <col min="208" max="208" width="46.42578125" style="27" bestFit="1" customWidth="1"/>
    <col min="209" max="209" width="46" style="27" bestFit="1" customWidth="1"/>
    <col min="210" max="210" width="50.42578125" style="27" bestFit="1" customWidth="1"/>
    <col min="211" max="211" width="13.42578125" style="27" bestFit="1" customWidth="1"/>
    <col min="212" max="213" width="10.42578125" style="27" bestFit="1" customWidth="1"/>
    <col min="214" max="214" width="18.42578125" style="27" bestFit="1" customWidth="1"/>
    <col min="215" max="215" width="38.42578125" style="27" bestFit="1" customWidth="1"/>
    <col min="216" max="235" width="10.42578125" style="27" bestFit="1" customWidth="1"/>
    <col min="236" max="236" width="43.42578125" style="27" bestFit="1" customWidth="1"/>
    <col min="237" max="237" width="26.42578125" style="27" bestFit="1" customWidth="1"/>
    <col min="238" max="242" width="10.42578125" style="27" bestFit="1" customWidth="1"/>
    <col min="243" max="243" width="32" style="27" bestFit="1" customWidth="1"/>
    <col min="244" max="244" width="17.42578125" style="27" bestFit="1" customWidth="1"/>
    <col min="245" max="245" width="10.42578125" style="27" bestFit="1" customWidth="1"/>
    <col min="246" max="246" width="22.42578125" style="27" bestFit="1" customWidth="1"/>
    <col min="247" max="247" width="19.42578125" style="27" bestFit="1" customWidth="1"/>
    <col min="248" max="248" width="10.42578125" style="27" bestFit="1" customWidth="1"/>
    <col min="249" max="249" width="25" style="27" bestFit="1" customWidth="1"/>
    <col min="250" max="250" width="12.42578125" style="27" bestFit="1" customWidth="1"/>
    <col min="251" max="251" width="16.42578125" style="27" bestFit="1" customWidth="1"/>
    <col min="252" max="252" width="10" style="27" bestFit="1" customWidth="1"/>
    <col min="253" max="16384" width="8.42578125" style="27"/>
  </cols>
  <sheetData>
    <row r="1" spans="1:32" ht="15.75" thickBot="1"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28"/>
      <c r="O1" s="28"/>
      <c r="P1" s="80"/>
      <c r="Q1" s="28"/>
      <c r="R1" s="28"/>
      <c r="S1" s="28"/>
      <c r="T1" s="28"/>
      <c r="U1" s="28"/>
      <c r="V1" s="28"/>
      <c r="W1" s="28"/>
      <c r="X1" s="28"/>
      <c r="Y1" s="28"/>
      <c r="Z1" s="28"/>
      <c r="AB1" s="32" t="s">
        <v>64</v>
      </c>
      <c r="AC1" s="108">
        <v>19</v>
      </c>
    </row>
    <row r="2" spans="1:32" ht="15.75" thickBot="1">
      <c r="A2" s="81" t="s">
        <v>268</v>
      </c>
      <c r="B2" s="81"/>
      <c r="C2" s="81"/>
      <c r="D2" s="81"/>
      <c r="E2" s="81"/>
      <c r="F2" s="81"/>
      <c r="H2" s="80"/>
      <c r="N2" s="30"/>
      <c r="O2" s="30"/>
      <c r="AB2" s="32" t="s">
        <v>269</v>
      </c>
      <c r="AC2" s="107">
        <f>AC6/AC1</f>
        <v>0</v>
      </c>
    </row>
    <row r="3" spans="1:32">
      <c r="B3" s="30" t="s">
        <v>270</v>
      </c>
      <c r="I3" s="30"/>
      <c r="K3" s="30"/>
      <c r="L3" s="30"/>
      <c r="M3" s="30"/>
      <c r="N3" s="30"/>
      <c r="O3" s="30"/>
      <c r="P3" s="30"/>
      <c r="Q3" s="30"/>
      <c r="R3" s="30"/>
      <c r="AE3" s="101" t="s">
        <v>271</v>
      </c>
    </row>
    <row r="4" spans="1:32" ht="15.75" thickBot="1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AC4" s="105" t="s">
        <v>238</v>
      </c>
      <c r="AD4" s="82">
        <f>AC7+AC9</f>
        <v>0</v>
      </c>
      <c r="AE4" s="99">
        <f>AC7+AC9</f>
        <v>0</v>
      </c>
    </row>
    <row r="5" spans="1:32" ht="15.75" thickBot="1">
      <c r="A5" s="31"/>
      <c r="B5" s="32">
        <v>45628</v>
      </c>
      <c r="C5" s="32">
        <v>45629</v>
      </c>
      <c r="D5" s="32">
        <v>45630</v>
      </c>
      <c r="E5" s="32">
        <v>45631</v>
      </c>
      <c r="F5" s="32">
        <v>45632</v>
      </c>
      <c r="G5" s="32">
        <v>45635</v>
      </c>
      <c r="H5" s="32">
        <v>45636</v>
      </c>
      <c r="I5" s="32">
        <v>45637</v>
      </c>
      <c r="J5" s="32">
        <v>45638</v>
      </c>
      <c r="K5" s="32">
        <v>45639</v>
      </c>
      <c r="L5" s="32">
        <v>45642</v>
      </c>
      <c r="M5" s="32">
        <v>45643</v>
      </c>
      <c r="N5" s="32">
        <v>45644</v>
      </c>
      <c r="O5" s="32">
        <v>45645</v>
      </c>
      <c r="P5" s="32">
        <v>45646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 t="s">
        <v>272</v>
      </c>
      <c r="AC5" s="107"/>
      <c r="AD5" s="83">
        <f>AC8+AC10</f>
        <v>286233.07439999998</v>
      </c>
      <c r="AE5" s="99">
        <f>AD5</f>
        <v>286233.07439999998</v>
      </c>
    </row>
    <row r="6" spans="1:32" ht="15.75" thickBot="1">
      <c r="A6" s="33" t="s">
        <v>211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106" t="s">
        <v>273</v>
      </c>
      <c r="AC6" s="107"/>
      <c r="AD6" s="84"/>
      <c r="AE6" s="100">
        <f>AE5-AE4</f>
        <v>286233.07439999998</v>
      </c>
    </row>
    <row r="7" spans="1:32">
      <c r="A7" s="85" t="s">
        <v>213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7"/>
      <c r="AC7" s="88">
        <f>SUM(B7:AB7)</f>
        <v>0</v>
      </c>
    </row>
    <row r="8" spans="1:32" ht="18.600000000000001" customHeight="1" thickBot="1">
      <c r="A8" s="89" t="s">
        <v>215</v>
      </c>
      <c r="B8" s="90">
        <v>6604.8040000000001</v>
      </c>
      <c r="C8" s="90">
        <v>8756</v>
      </c>
      <c r="D8" s="90">
        <v>36319.14</v>
      </c>
      <c r="E8" s="90">
        <v>0</v>
      </c>
      <c r="F8" s="90">
        <v>22047.599999999999</v>
      </c>
      <c r="G8" s="90">
        <v>0</v>
      </c>
      <c r="H8" s="90">
        <v>0</v>
      </c>
      <c r="I8" s="90">
        <v>14570.1304</v>
      </c>
      <c r="J8" s="90">
        <v>23681.3</v>
      </c>
      <c r="K8" s="90">
        <v>0</v>
      </c>
      <c r="L8" s="90">
        <v>14858</v>
      </c>
      <c r="M8" s="90">
        <v>6644.22</v>
      </c>
      <c r="N8" s="90">
        <v>81129.64</v>
      </c>
      <c r="O8" s="90">
        <v>44108.7</v>
      </c>
      <c r="P8" s="90">
        <v>27513.54</v>
      </c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1"/>
      <c r="AC8" s="92">
        <f>SUM(B8:AB8)</f>
        <v>286233.07439999998</v>
      </c>
      <c r="AD8" s="98" t="s">
        <v>274</v>
      </c>
      <c r="AE8" s="30"/>
      <c r="AF8" s="30"/>
    </row>
    <row r="9" spans="1:32">
      <c r="A9" s="93" t="s">
        <v>275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7" t="s">
        <v>276</v>
      </c>
      <c r="AC9" s="94">
        <f>X9-B12</f>
        <v>0</v>
      </c>
      <c r="AD9" s="99">
        <f>AC9-B12</f>
        <v>0</v>
      </c>
      <c r="AF9" s="30"/>
    </row>
    <row r="10" spans="1:32" ht="15.75" thickBot="1">
      <c r="A10" s="95" t="s">
        <v>277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7" t="s">
        <v>278</v>
      </c>
      <c r="AC10" s="92">
        <f>(X10-B12)</f>
        <v>0</v>
      </c>
      <c r="AD10" s="99">
        <f>AC10</f>
        <v>0</v>
      </c>
      <c r="AE10" s="30"/>
      <c r="AF10" s="30"/>
    </row>
    <row r="11" spans="1:32" ht="15.75" thickBot="1">
      <c r="A11" s="95" t="s">
        <v>279</v>
      </c>
      <c r="B11" s="102">
        <v>565285</v>
      </c>
      <c r="C11" s="102">
        <v>559285</v>
      </c>
      <c r="D11" s="102">
        <v>540285</v>
      </c>
      <c r="E11" s="102">
        <v>562685</v>
      </c>
      <c r="F11" s="102">
        <v>562685</v>
      </c>
      <c r="G11" s="102">
        <v>643661</v>
      </c>
      <c r="H11" s="102">
        <v>648661</v>
      </c>
      <c r="I11" s="102">
        <v>631885</v>
      </c>
      <c r="J11" s="102">
        <v>638885</v>
      </c>
      <c r="K11" s="102">
        <v>657392</v>
      </c>
      <c r="L11" s="102">
        <v>684520</v>
      </c>
      <c r="M11" s="102">
        <v>706325</v>
      </c>
      <c r="N11" s="102">
        <v>572829</v>
      </c>
      <c r="O11" s="102">
        <v>560032</v>
      </c>
      <c r="P11" s="102">
        <v>518011</v>
      </c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 t="s">
        <v>280</v>
      </c>
      <c r="AC11" s="103">
        <f>X11-B13</f>
        <v>0</v>
      </c>
      <c r="AE11" s="30"/>
    </row>
    <row r="12" spans="1:32">
      <c r="A12" s="27" t="s">
        <v>281</v>
      </c>
      <c r="B12" s="38"/>
      <c r="K12" s="30"/>
      <c r="L12" s="30"/>
      <c r="N12" s="30"/>
      <c r="O12" s="30"/>
      <c r="P12" s="30"/>
      <c r="Q12" s="30"/>
      <c r="V12" s="110"/>
      <c r="Y12" s="30"/>
      <c r="Z12" s="30"/>
      <c r="AA12" s="30">
        <f>AA10-B12</f>
        <v>0</v>
      </c>
      <c r="AB12" s="39"/>
      <c r="AE12" s="27">
        <f>165+292</f>
        <v>457</v>
      </c>
    </row>
    <row r="13" spans="1:32">
      <c r="A13" s="27" t="s">
        <v>282</v>
      </c>
      <c r="B13" s="102"/>
      <c r="G13" s="30"/>
      <c r="J13" s="30"/>
      <c r="M13" s="30"/>
      <c r="R13" s="30"/>
      <c r="AC13" s="30"/>
    </row>
    <row r="51" spans="17:27">
      <c r="X51" s="27" t="s">
        <v>229</v>
      </c>
      <c r="AA51" s="30">
        <f>X8-1152</f>
        <v>-1152</v>
      </c>
    </row>
    <row r="52" spans="17:27">
      <c r="X52" s="27" t="s">
        <v>230</v>
      </c>
      <c r="AA52" s="30">
        <f>Y8-4432</f>
        <v>-4432</v>
      </c>
    </row>
    <row r="53" spans="17:27">
      <c r="Q53" s="27" t="s">
        <v>231</v>
      </c>
      <c r="X53" s="27" t="s">
        <v>232</v>
      </c>
      <c r="AA53" s="30">
        <f>AA8-1610</f>
        <v>-1610</v>
      </c>
    </row>
    <row r="54" spans="17:27">
      <c r="Q54" s="27" t="s">
        <v>233</v>
      </c>
    </row>
  </sheetData>
  <pageMargins left="0.7" right="0.7" top="0.75" bottom="0.75" header="0.3" footer="0.3"/>
  <pageSetup paperSize="256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Munka25">
    <tabColor theme="3"/>
    <pageSetUpPr fitToPage="1"/>
  </sheetPr>
  <dimension ref="A1:U35"/>
  <sheetViews>
    <sheetView showGridLines="0" zoomScaleNormal="100" workbookViewId="0">
      <pane ySplit="2" topLeftCell="A21" activePane="bottomLeft" state="frozen"/>
      <selection pane="bottomLeft" activeCell="C29" sqref="C29"/>
    </sheetView>
  </sheetViews>
  <sheetFormatPr defaultRowHeight="15"/>
  <cols>
    <col min="1" max="1" width="9.42578125" bestFit="1" customWidth="1"/>
    <col min="2" max="2" width="12.42578125" customWidth="1"/>
    <col min="3" max="3" width="16.42578125" customWidth="1"/>
    <col min="4" max="4" width="12.42578125" customWidth="1"/>
    <col min="5" max="5" width="13.42578125" bestFit="1" customWidth="1"/>
    <col min="6" max="6" width="12.42578125" customWidth="1"/>
    <col min="7" max="7" width="9.42578125" bestFit="1" customWidth="1"/>
    <col min="8" max="8" width="16.42578125" customWidth="1"/>
    <col min="21" max="21" width="9.42578125" bestFit="1" customWidth="1"/>
  </cols>
  <sheetData>
    <row r="1" spans="1:21" ht="46.5">
      <c r="A1" s="40" t="s">
        <v>283</v>
      </c>
      <c r="B1" s="41"/>
      <c r="C1" s="52"/>
      <c r="D1" s="41"/>
      <c r="E1" s="41"/>
      <c r="F1" s="560" t="s">
        <v>284</v>
      </c>
      <c r="G1" s="560"/>
      <c r="H1" s="115">
        <f>IF(C34=0,0,C34/B34)</f>
        <v>1</v>
      </c>
      <c r="I1" s="76"/>
      <c r="J1" s="76"/>
      <c r="K1" s="76"/>
    </row>
    <row r="2" spans="1:21" ht="46.5">
      <c r="A2" s="40" t="s">
        <v>285</v>
      </c>
      <c r="B2" s="41"/>
      <c r="C2" s="52"/>
      <c r="D2" s="41"/>
      <c r="E2" s="41"/>
      <c r="F2" s="560" t="s">
        <v>286</v>
      </c>
      <c r="G2" s="560"/>
      <c r="H2" s="115">
        <f>IF(C35=0,0,C35/(B35*C7))</f>
        <v>1</v>
      </c>
      <c r="I2" s="76"/>
      <c r="J2" s="76"/>
      <c r="K2" s="76"/>
    </row>
    <row r="3" spans="1:21">
      <c r="U3" s="114"/>
    </row>
    <row r="4" spans="1:21">
      <c r="U4" s="114"/>
    </row>
    <row r="5" spans="1:21">
      <c r="C5" s="22"/>
      <c r="U5" s="114"/>
    </row>
    <row r="6" spans="1:21">
      <c r="B6" s="23" t="s">
        <v>39</v>
      </c>
      <c r="C6" s="23">
        <f>Headcount!F7</f>
        <v>15</v>
      </c>
      <c r="U6" s="114"/>
    </row>
    <row r="7" spans="1:21">
      <c r="B7" s="23" t="s">
        <v>40</v>
      </c>
      <c r="C7" s="23">
        <f>Headcount!F8</f>
        <v>15</v>
      </c>
      <c r="D7" s="23"/>
      <c r="U7" s="114"/>
    </row>
    <row r="8" spans="1:21" ht="30.75" customHeight="1">
      <c r="A8" s="561" t="s">
        <v>42</v>
      </c>
      <c r="B8" s="561" t="s">
        <v>287</v>
      </c>
      <c r="C8" s="561" t="s">
        <v>288</v>
      </c>
      <c r="D8" s="561" t="s">
        <v>56</v>
      </c>
      <c r="U8" s="114"/>
    </row>
    <row r="9" spans="1:21" ht="30.75" customHeight="1">
      <c r="A9" s="562"/>
      <c r="B9" s="562"/>
      <c r="C9" s="562"/>
      <c r="D9" s="562"/>
    </row>
    <row r="10" spans="1:21">
      <c r="A10" s="451">
        <v>45628</v>
      </c>
      <c r="B10" s="491"/>
      <c r="C10" s="448"/>
      <c r="D10" s="46">
        <f>IF(C10="",0,C10-B10)</f>
        <v>0</v>
      </c>
    </row>
    <row r="11" spans="1:21">
      <c r="A11" s="451">
        <v>45629</v>
      </c>
      <c r="B11" s="491"/>
      <c r="C11" s="448"/>
      <c r="D11" s="46">
        <f t="shared" ref="D11:D28" si="0">IF(C11="",0,C11-B11)</f>
        <v>0</v>
      </c>
    </row>
    <row r="12" spans="1:21">
      <c r="A12" s="451">
        <v>45630</v>
      </c>
      <c r="B12" s="491"/>
      <c r="C12" s="448"/>
      <c r="D12" s="46">
        <f t="shared" si="0"/>
        <v>0</v>
      </c>
    </row>
    <row r="13" spans="1:21">
      <c r="A13" s="451">
        <v>45631</v>
      </c>
      <c r="B13" s="491"/>
      <c r="C13" s="448"/>
      <c r="D13" s="46">
        <f t="shared" si="0"/>
        <v>0</v>
      </c>
    </row>
    <row r="14" spans="1:21">
      <c r="A14" s="451">
        <v>45632</v>
      </c>
      <c r="B14" s="491"/>
      <c r="C14" s="448"/>
      <c r="D14" s="46">
        <f t="shared" si="0"/>
        <v>0</v>
      </c>
    </row>
    <row r="15" spans="1:21">
      <c r="A15" s="451">
        <v>45633</v>
      </c>
      <c r="B15" s="491"/>
      <c r="C15" s="448"/>
      <c r="D15" s="46">
        <f t="shared" si="0"/>
        <v>0</v>
      </c>
    </row>
    <row r="16" spans="1:21">
      <c r="A16" s="451">
        <v>45634</v>
      </c>
      <c r="B16" s="491"/>
      <c r="C16" s="448"/>
      <c r="D16" s="46">
        <f t="shared" si="0"/>
        <v>0</v>
      </c>
    </row>
    <row r="17" spans="1:4">
      <c r="A17" s="451">
        <v>45635</v>
      </c>
      <c r="B17" s="491"/>
      <c r="C17" s="448"/>
      <c r="D17" s="46">
        <f t="shared" si="0"/>
        <v>0</v>
      </c>
    </row>
    <row r="18" spans="1:4">
      <c r="A18" s="451">
        <v>45636</v>
      </c>
      <c r="B18" s="491"/>
      <c r="C18" s="448"/>
      <c r="D18" s="46">
        <f t="shared" si="0"/>
        <v>0</v>
      </c>
    </row>
    <row r="19" spans="1:4">
      <c r="A19" s="451">
        <v>45637</v>
      </c>
      <c r="B19" s="491">
        <v>7.7759999999999998</v>
      </c>
      <c r="C19" s="448">
        <v>7.7759999999999998</v>
      </c>
      <c r="D19" s="46">
        <f t="shared" si="0"/>
        <v>0</v>
      </c>
    </row>
    <row r="20" spans="1:4">
      <c r="A20" s="451">
        <v>45638</v>
      </c>
      <c r="B20" s="491">
        <v>0.02</v>
      </c>
      <c r="C20" s="448">
        <v>0.02</v>
      </c>
      <c r="D20" s="46">
        <f t="shared" si="0"/>
        <v>0</v>
      </c>
    </row>
    <row r="21" spans="1:4">
      <c r="A21" s="451">
        <v>45639</v>
      </c>
      <c r="B21" s="491">
        <v>0.02</v>
      </c>
      <c r="C21" s="448">
        <v>0.02</v>
      </c>
      <c r="D21" s="46">
        <f>IF(C21="",0,C21-B21)</f>
        <v>0</v>
      </c>
    </row>
    <row r="22" spans="1:4">
      <c r="A22" s="451">
        <v>45640</v>
      </c>
      <c r="B22" s="491"/>
      <c r="C22" s="448"/>
      <c r="D22" s="46">
        <f>IF(C22="",0,C22-B22)</f>
        <v>0</v>
      </c>
    </row>
    <row r="23" spans="1:4">
      <c r="A23" s="451">
        <v>45641</v>
      </c>
      <c r="B23" s="491"/>
      <c r="C23" s="448"/>
      <c r="D23" s="46">
        <f t="shared" si="0"/>
        <v>0</v>
      </c>
    </row>
    <row r="24" spans="1:4">
      <c r="A24" s="451">
        <v>45642</v>
      </c>
      <c r="B24" s="491">
        <v>3.125</v>
      </c>
      <c r="C24" s="448">
        <v>3.125</v>
      </c>
      <c r="D24" s="46">
        <f t="shared" si="0"/>
        <v>0</v>
      </c>
    </row>
    <row r="25" spans="1:4">
      <c r="A25" s="451">
        <v>45643</v>
      </c>
      <c r="B25" s="491"/>
      <c r="C25" s="448"/>
      <c r="D25" s="46">
        <f t="shared" si="0"/>
        <v>0</v>
      </c>
    </row>
    <row r="26" spans="1:4">
      <c r="A26" s="451">
        <v>45644</v>
      </c>
      <c r="B26" s="491">
        <v>22.02</v>
      </c>
      <c r="C26" s="448">
        <v>22.02</v>
      </c>
      <c r="D26" s="46">
        <f>IF(C26="",0,C26-B26)</f>
        <v>0</v>
      </c>
    </row>
    <row r="27" spans="1:4">
      <c r="A27" s="451">
        <v>45645</v>
      </c>
      <c r="B27" s="491"/>
      <c r="C27" s="448"/>
      <c r="D27" s="46">
        <f t="shared" si="0"/>
        <v>0</v>
      </c>
    </row>
    <row r="28" spans="1:4">
      <c r="A28" s="451">
        <v>45646</v>
      </c>
      <c r="B28" s="491">
        <v>213.2</v>
      </c>
      <c r="C28" s="448">
        <v>213.2</v>
      </c>
      <c r="D28" s="46">
        <f t="shared" si="0"/>
        <v>0</v>
      </c>
    </row>
    <row r="29" spans="1:4">
      <c r="A29" s="451"/>
      <c r="B29" s="491"/>
      <c r="C29" s="448"/>
      <c r="D29" s="46"/>
    </row>
    <row r="30" spans="1:4">
      <c r="A30" s="451"/>
      <c r="B30" s="421"/>
      <c r="C30" s="448"/>
      <c r="D30" s="46"/>
    </row>
    <row r="31" spans="1:4">
      <c r="A31" s="451"/>
      <c r="B31" s="421"/>
      <c r="C31" s="448"/>
      <c r="D31" s="46"/>
    </row>
    <row r="32" spans="1:4">
      <c r="A32" s="451"/>
      <c r="B32" s="421"/>
      <c r="C32" s="448"/>
      <c r="D32" s="46"/>
    </row>
    <row r="33" spans="1:4" ht="15.75" thickBot="1">
      <c r="A33" s="451"/>
      <c r="B33" s="424"/>
      <c r="C33" s="425"/>
      <c r="D33" s="46"/>
    </row>
    <row r="34" spans="1:4">
      <c r="A34" s="253"/>
      <c r="B34" s="445">
        <f>SUM(B10:B33)</f>
        <v>246.161</v>
      </c>
      <c r="C34" s="446">
        <f>SUM(C10:C33)</f>
        <v>246.161</v>
      </c>
      <c r="D34" s="312">
        <f>SUM(D10:D33)</f>
        <v>0</v>
      </c>
    </row>
    <row r="35" spans="1:4" ht="15.75" thickBot="1">
      <c r="A35" s="254"/>
      <c r="B35" s="255">
        <f>B34/'Prod.Output Summ'!B2</f>
        <v>16.410733333333333</v>
      </c>
      <c r="C35" s="333">
        <f>C34</f>
        <v>246.161</v>
      </c>
      <c r="D35" s="400"/>
    </row>
  </sheetData>
  <autoFilter ref="A7:D32" xr:uid="{00000000-0001-0000-1B00-000000000000}"/>
  <mergeCells count="6">
    <mergeCell ref="F1:G1"/>
    <mergeCell ref="F2:G2"/>
    <mergeCell ref="A8:A9"/>
    <mergeCell ref="C8:C9"/>
    <mergeCell ref="D8:D9"/>
    <mergeCell ref="B8:B9"/>
  </mergeCells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Munka26">
    <tabColor theme="3"/>
    <pageSetUpPr fitToPage="1"/>
  </sheetPr>
  <dimension ref="A1:U37"/>
  <sheetViews>
    <sheetView showGridLines="0" zoomScale="90" zoomScaleNormal="90" workbookViewId="0">
      <pane ySplit="2" topLeftCell="A8" activePane="bottomLeft" state="frozen"/>
      <selection activeCell="B40" sqref="B40"/>
      <selection pane="bottomLeft" activeCell="C21" sqref="C21"/>
    </sheetView>
  </sheetViews>
  <sheetFormatPr defaultRowHeight="15"/>
  <cols>
    <col min="1" max="1" width="9.42578125" bestFit="1" customWidth="1"/>
    <col min="2" max="2" width="12.42578125" customWidth="1"/>
    <col min="3" max="3" width="16.42578125" customWidth="1"/>
    <col min="4" max="4" width="12.42578125" customWidth="1"/>
    <col min="5" max="5" width="13.42578125" bestFit="1" customWidth="1"/>
    <col min="6" max="6" width="12.42578125" customWidth="1"/>
    <col min="7" max="7" width="9.42578125" bestFit="1" customWidth="1"/>
    <col min="8" max="8" width="16.42578125" customWidth="1"/>
    <col min="21" max="21" width="9.42578125" bestFit="1" customWidth="1"/>
  </cols>
  <sheetData>
    <row r="1" spans="1:21" ht="46.5">
      <c r="A1" s="40" t="s">
        <v>283</v>
      </c>
      <c r="B1" s="41"/>
      <c r="C1" s="52"/>
      <c r="D1" s="41"/>
      <c r="E1" s="41"/>
      <c r="F1" s="560" t="s">
        <v>284</v>
      </c>
      <c r="G1" s="560"/>
      <c r="H1" s="115">
        <f>IF(C34=0,0,C34/B34)</f>
        <v>1</v>
      </c>
      <c r="I1" s="76"/>
      <c r="J1" s="76"/>
      <c r="K1" s="76"/>
    </row>
    <row r="2" spans="1:21" ht="46.5">
      <c r="A2" s="40" t="s">
        <v>285</v>
      </c>
      <c r="B2" s="41"/>
      <c r="C2" s="52"/>
      <c r="D2" s="41"/>
      <c r="E2" s="41"/>
      <c r="F2" s="560" t="s">
        <v>286</v>
      </c>
      <c r="G2" s="560"/>
      <c r="H2" s="115">
        <f>IF(C35=0,0,C35/(B35*C7))</f>
        <v>1</v>
      </c>
      <c r="I2" s="76"/>
      <c r="J2" s="76"/>
      <c r="K2" s="76"/>
    </row>
    <row r="3" spans="1:21">
      <c r="U3" s="114"/>
    </row>
    <row r="4" spans="1:21">
      <c r="U4" s="114"/>
    </row>
    <row r="5" spans="1:21">
      <c r="C5" s="22"/>
      <c r="U5" s="114"/>
    </row>
    <row r="6" spans="1:21">
      <c r="B6" s="23" t="s">
        <v>39</v>
      </c>
      <c r="C6" s="23">
        <f>Headcount!F7</f>
        <v>15</v>
      </c>
      <c r="U6" s="114"/>
    </row>
    <row r="7" spans="1:21">
      <c r="B7" s="23" t="s">
        <v>40</v>
      </c>
      <c r="C7" s="23">
        <f>Headcount!F8</f>
        <v>15</v>
      </c>
      <c r="D7" s="23"/>
      <c r="U7" s="114"/>
    </row>
    <row r="8" spans="1:21" ht="30.75" customHeight="1">
      <c r="A8" s="561" t="s">
        <v>42</v>
      </c>
      <c r="B8" s="561" t="s">
        <v>287</v>
      </c>
      <c r="C8" s="561" t="s">
        <v>288</v>
      </c>
      <c r="D8" s="561" t="s">
        <v>56</v>
      </c>
      <c r="U8" s="114"/>
    </row>
    <row r="9" spans="1:21" ht="30.75" customHeight="1">
      <c r="A9" s="562"/>
      <c r="B9" s="562"/>
      <c r="C9" s="562"/>
      <c r="D9" s="562"/>
    </row>
    <row r="10" spans="1:21">
      <c r="A10" s="451">
        <f>'PlanFollow (Factory out)'!A10</f>
        <v>45628</v>
      </c>
      <c r="B10" s="426"/>
      <c r="C10" s="422"/>
      <c r="D10" s="46">
        <f t="shared" ref="D10:D28" si="0">IF(C10="",0,C10-B10)</f>
        <v>0</v>
      </c>
    </row>
    <row r="11" spans="1:21">
      <c r="A11" s="451">
        <f>'PlanFollow (Factory out)'!A11</f>
        <v>45629</v>
      </c>
      <c r="B11" s="426"/>
      <c r="C11" s="422"/>
      <c r="D11" s="46">
        <f t="shared" si="0"/>
        <v>0</v>
      </c>
    </row>
    <row r="12" spans="1:21">
      <c r="A12" s="451">
        <f>'PlanFollow (Factory out)'!A12</f>
        <v>45630</v>
      </c>
      <c r="B12" s="426">
        <v>6.07</v>
      </c>
      <c r="C12" s="422">
        <v>6.07</v>
      </c>
      <c r="D12" s="46">
        <f t="shared" si="0"/>
        <v>0</v>
      </c>
    </row>
    <row r="13" spans="1:21">
      <c r="A13" s="451">
        <f>'PlanFollow (Factory out)'!A13</f>
        <v>45631</v>
      </c>
      <c r="B13" s="426"/>
      <c r="C13" s="422"/>
      <c r="D13" s="46">
        <f t="shared" si="0"/>
        <v>0</v>
      </c>
    </row>
    <row r="14" spans="1:21">
      <c r="A14" s="451">
        <f>'PlanFollow (Factory out)'!A14</f>
        <v>45632</v>
      </c>
      <c r="B14" s="426">
        <v>0.1</v>
      </c>
      <c r="C14" s="422">
        <v>0.1</v>
      </c>
      <c r="D14" s="46">
        <f t="shared" si="0"/>
        <v>0</v>
      </c>
      <c r="U14" s="114"/>
    </row>
    <row r="15" spans="1:21">
      <c r="A15" s="451">
        <f>'PlanFollow (Factory out)'!A15</f>
        <v>45633</v>
      </c>
      <c r="B15" s="426"/>
      <c r="C15" s="422"/>
      <c r="D15" s="46">
        <f t="shared" si="0"/>
        <v>0</v>
      </c>
    </row>
    <row r="16" spans="1:21">
      <c r="A16" s="451">
        <f>'PlanFollow (Factory out)'!A16</f>
        <v>45634</v>
      </c>
      <c r="B16" s="426"/>
      <c r="C16" s="422"/>
      <c r="D16" s="46">
        <f t="shared" si="0"/>
        <v>0</v>
      </c>
    </row>
    <row r="17" spans="1:5">
      <c r="A17" s="451">
        <f>'PlanFollow (Factory out)'!A17</f>
        <v>45635</v>
      </c>
      <c r="B17" s="426">
        <v>6.43</v>
      </c>
      <c r="C17" s="422">
        <v>6.43</v>
      </c>
      <c r="D17" s="46">
        <f t="shared" si="0"/>
        <v>0</v>
      </c>
    </row>
    <row r="18" spans="1:5">
      <c r="A18" s="451">
        <f>'PlanFollow (Factory out)'!A18</f>
        <v>45636</v>
      </c>
      <c r="B18" s="426"/>
      <c r="C18" s="422"/>
      <c r="D18" s="46">
        <f t="shared" si="0"/>
        <v>0</v>
      </c>
    </row>
    <row r="19" spans="1:5">
      <c r="A19" s="451">
        <f>'PlanFollow (Factory out)'!A19</f>
        <v>45637</v>
      </c>
      <c r="B19" s="426">
        <v>17</v>
      </c>
      <c r="C19" s="422">
        <v>17</v>
      </c>
      <c r="D19" s="46">
        <f t="shared" si="0"/>
        <v>0</v>
      </c>
    </row>
    <row r="20" spans="1:5">
      <c r="A20" s="451">
        <f>'PlanFollow (Factory out)'!A20</f>
        <v>45638</v>
      </c>
      <c r="B20" s="426">
        <v>4.75</v>
      </c>
      <c r="C20" s="422">
        <v>4.75</v>
      </c>
      <c r="D20" s="46">
        <f t="shared" si="0"/>
        <v>0</v>
      </c>
    </row>
    <row r="21" spans="1:5">
      <c r="A21" s="451">
        <f>'PlanFollow (Factory out)'!A21</f>
        <v>45639</v>
      </c>
      <c r="B21" s="426"/>
      <c r="C21" s="422"/>
      <c r="D21" s="46">
        <f t="shared" si="0"/>
        <v>0</v>
      </c>
    </row>
    <row r="22" spans="1:5">
      <c r="A22" s="451">
        <f>'PlanFollow (Factory out)'!A22</f>
        <v>45640</v>
      </c>
      <c r="B22" s="426"/>
      <c r="C22" s="422"/>
      <c r="D22" s="46">
        <f t="shared" si="0"/>
        <v>0</v>
      </c>
    </row>
    <row r="23" spans="1:5">
      <c r="A23" s="451">
        <f>'PlanFollow (Factory out)'!A23</f>
        <v>45641</v>
      </c>
      <c r="B23" s="426"/>
      <c r="C23" s="422"/>
      <c r="D23" s="46">
        <f t="shared" si="0"/>
        <v>0</v>
      </c>
    </row>
    <row r="24" spans="1:5">
      <c r="A24" s="451">
        <f>'PlanFollow (Factory out)'!A24</f>
        <v>45642</v>
      </c>
      <c r="B24" s="426">
        <v>3</v>
      </c>
      <c r="C24" s="422">
        <v>3</v>
      </c>
      <c r="D24" s="46">
        <f t="shared" si="0"/>
        <v>0</v>
      </c>
    </row>
    <row r="25" spans="1:5">
      <c r="A25" s="451">
        <f>'PlanFollow (Factory out)'!A25</f>
        <v>45643</v>
      </c>
      <c r="B25" s="426">
        <v>9.16</v>
      </c>
      <c r="C25" s="422">
        <v>9.16</v>
      </c>
      <c r="D25" s="46">
        <f t="shared" si="0"/>
        <v>0</v>
      </c>
    </row>
    <row r="26" spans="1:5">
      <c r="A26" s="451">
        <f>'PlanFollow (Factory out)'!A26</f>
        <v>45644</v>
      </c>
      <c r="B26" s="426">
        <v>14</v>
      </c>
      <c r="C26" s="422">
        <v>14</v>
      </c>
      <c r="D26" s="46">
        <f t="shared" si="0"/>
        <v>0</v>
      </c>
    </row>
    <row r="27" spans="1:5">
      <c r="A27" s="451">
        <f>'PlanFollow (Factory out)'!A27</f>
        <v>45645</v>
      </c>
      <c r="B27" s="426">
        <v>41</v>
      </c>
      <c r="C27" s="422">
        <v>41</v>
      </c>
      <c r="D27" s="46">
        <f t="shared" si="0"/>
        <v>0</v>
      </c>
    </row>
    <row r="28" spans="1:5">
      <c r="A28" s="451">
        <f>'PlanFollow (Factory out)'!A28</f>
        <v>45646</v>
      </c>
      <c r="B28" s="426">
        <v>135.70500000000001</v>
      </c>
      <c r="C28" s="422">
        <v>135.70500000000001</v>
      </c>
      <c r="D28" s="46">
        <f t="shared" si="0"/>
        <v>0</v>
      </c>
    </row>
    <row r="29" spans="1:5">
      <c r="A29" s="451"/>
      <c r="B29" s="426"/>
      <c r="C29" s="422"/>
      <c r="D29" s="46"/>
    </row>
    <row r="30" spans="1:5">
      <c r="A30" s="451"/>
      <c r="B30" s="426"/>
      <c r="C30" s="422"/>
      <c r="D30" s="46"/>
    </row>
    <row r="31" spans="1:5">
      <c r="A31" s="451"/>
      <c r="B31" s="426"/>
      <c r="C31" s="422"/>
      <c r="D31" s="46"/>
    </row>
    <row r="32" spans="1:5">
      <c r="A32" s="451"/>
      <c r="B32" s="426"/>
      <c r="C32" s="422"/>
      <c r="D32" s="46"/>
      <c r="E32" s="65"/>
    </row>
    <row r="33" spans="1:5" ht="15.75" thickBot="1">
      <c r="A33" s="451"/>
      <c r="B33" s="426"/>
      <c r="C33" s="422"/>
      <c r="D33" s="46"/>
      <c r="E33" s="65"/>
    </row>
    <row r="34" spans="1:5">
      <c r="A34" s="253"/>
      <c r="B34" s="445">
        <f>SUM(B10:B33)</f>
        <v>237.21500000000003</v>
      </c>
      <c r="C34" s="469">
        <f>SUM(C10:C33)</f>
        <v>237.21500000000003</v>
      </c>
      <c r="D34" s="401">
        <f>B34-C34</f>
        <v>0</v>
      </c>
    </row>
    <row r="35" spans="1:5" ht="15.75" thickBot="1">
      <c r="A35" s="254"/>
      <c r="B35" s="255">
        <f>B34/C6</f>
        <v>15.814333333333336</v>
      </c>
      <c r="C35" s="313">
        <f>C34</f>
        <v>237.21500000000003</v>
      </c>
      <c r="D35" s="400"/>
    </row>
    <row r="37" spans="1:5">
      <c r="D37" s="65"/>
    </row>
  </sheetData>
  <mergeCells count="6">
    <mergeCell ref="F1:G1"/>
    <mergeCell ref="F2:G2"/>
    <mergeCell ref="A8:A9"/>
    <mergeCell ref="B8:B9"/>
    <mergeCell ref="C8:C9"/>
    <mergeCell ref="D8:D9"/>
  </mergeCells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Munka27">
    <tabColor theme="3"/>
  </sheetPr>
  <dimension ref="A1:AN53"/>
  <sheetViews>
    <sheetView topLeftCell="A31" zoomScale="80" zoomScaleNormal="80" zoomScaleSheetLayoutView="50" zoomScalePageLayoutView="90" workbookViewId="0">
      <selection activeCell="D33" sqref="D33"/>
    </sheetView>
  </sheetViews>
  <sheetFormatPr defaultRowHeight="15"/>
  <cols>
    <col min="1" max="1" width="32" bestFit="1" customWidth="1"/>
    <col min="2" max="2" width="13.42578125" bestFit="1" customWidth="1"/>
    <col min="4" max="4" width="12.42578125" bestFit="1" customWidth="1"/>
    <col min="5" max="8" width="12" bestFit="1" customWidth="1"/>
    <col min="9" max="9" width="13.42578125" bestFit="1" customWidth="1"/>
    <col min="10" max="11" width="10.42578125" customWidth="1"/>
    <col min="12" max="12" width="24" customWidth="1"/>
    <col min="13" max="13" width="18.42578125" customWidth="1"/>
    <col min="14" max="14" width="15.42578125" bestFit="1" customWidth="1"/>
    <col min="15" max="16" width="14.42578125" customWidth="1"/>
    <col min="17" max="17" width="9.42578125" customWidth="1"/>
    <col min="18" max="18" width="25.140625" customWidth="1"/>
    <col min="19" max="19" width="15.42578125" customWidth="1"/>
    <col min="20" max="20" width="16.42578125" customWidth="1"/>
    <col min="21" max="21" width="15" customWidth="1"/>
    <col min="22" max="22" width="8.85546875" customWidth="1"/>
    <col min="23" max="23" width="9.42578125" customWidth="1"/>
    <col min="26" max="26" width="11.42578125" customWidth="1"/>
    <col min="28" max="28" width="10" bestFit="1" customWidth="1"/>
    <col min="29" max="30" width="9.85546875" customWidth="1"/>
    <col min="31" max="36" width="8.85546875" customWidth="1"/>
  </cols>
  <sheetData>
    <row r="1" spans="1:22" ht="15.75" thickBot="1">
      <c r="A1" s="563" t="s">
        <v>289</v>
      </c>
      <c r="B1" s="563"/>
      <c r="C1" s="564" t="s">
        <v>290</v>
      </c>
      <c r="D1" s="563"/>
      <c r="E1" s="563"/>
      <c r="F1" s="563"/>
      <c r="G1" s="563"/>
      <c r="H1" s="563"/>
      <c r="I1" s="563"/>
      <c r="J1" s="563"/>
      <c r="K1" s="563"/>
      <c r="L1" s="565"/>
      <c r="M1" s="564" t="s">
        <v>291</v>
      </c>
      <c r="N1" s="563"/>
      <c r="O1" s="563"/>
      <c r="P1" s="563"/>
      <c r="Q1" s="563"/>
      <c r="R1" s="563"/>
      <c r="S1" s="563"/>
      <c r="T1" s="563"/>
      <c r="U1" s="563"/>
    </row>
    <row r="2" spans="1:22" ht="15.75" thickBot="1">
      <c r="A2" s="66" t="s">
        <v>292</v>
      </c>
      <c r="B2" s="181">
        <f>Headcount!F7</f>
        <v>15</v>
      </c>
      <c r="C2" s="172" t="s">
        <v>293</v>
      </c>
      <c r="D2" s="162" t="s">
        <v>294</v>
      </c>
      <c r="E2" s="184" t="s">
        <v>295</v>
      </c>
      <c r="F2" s="185" t="s">
        <v>296</v>
      </c>
      <c r="G2" s="184" t="s">
        <v>297</v>
      </c>
      <c r="H2" s="185" t="s">
        <v>298</v>
      </c>
      <c r="I2" s="184" t="s">
        <v>299</v>
      </c>
      <c r="J2" s="185" t="s">
        <v>300</v>
      </c>
      <c r="K2" s="590" t="s">
        <v>301</v>
      </c>
      <c r="L2" s="591"/>
      <c r="M2" s="566" t="s">
        <v>302</v>
      </c>
      <c r="N2" s="567"/>
      <c r="O2" s="567"/>
      <c r="P2" s="568"/>
      <c r="R2" s="570" t="s">
        <v>303</v>
      </c>
      <c r="S2" s="570"/>
      <c r="T2" s="570"/>
      <c r="U2" s="186">
        <f>B16+I26-J26</f>
        <v>0</v>
      </c>
      <c r="V2" s="166"/>
    </row>
    <row r="3" spans="1:22">
      <c r="A3" s="66" t="s">
        <v>304</v>
      </c>
      <c r="B3" s="181">
        <f>Headcount!F8</f>
        <v>15</v>
      </c>
      <c r="C3" s="173" t="s">
        <v>305</v>
      </c>
      <c r="D3" s="161">
        <v>45629</v>
      </c>
      <c r="E3" s="171">
        <v>4121.6000000000004</v>
      </c>
      <c r="F3" s="203">
        <v>384</v>
      </c>
      <c r="G3" s="169"/>
      <c r="H3" s="190"/>
      <c r="I3" s="188"/>
      <c r="J3" s="191"/>
      <c r="K3" s="579" t="s">
        <v>306</v>
      </c>
      <c r="L3" s="580"/>
      <c r="M3" s="568" t="s">
        <v>307</v>
      </c>
      <c r="N3" s="574"/>
      <c r="O3" s="146" t="s">
        <v>308</v>
      </c>
      <c r="P3" s="146" t="s">
        <v>309</v>
      </c>
      <c r="R3" s="570" t="s">
        <v>310</v>
      </c>
      <c r="S3" s="570"/>
      <c r="T3" s="570"/>
      <c r="U3" s="186">
        <f>P17</f>
        <v>235627</v>
      </c>
    </row>
    <row r="4" spans="1:22" ht="27" customHeight="1">
      <c r="C4" s="173" t="s">
        <v>311</v>
      </c>
      <c r="D4" s="161">
        <v>45635</v>
      </c>
      <c r="E4" s="171"/>
      <c r="F4" s="203">
        <v>8620.58</v>
      </c>
      <c r="G4" s="169"/>
      <c r="H4" s="190"/>
      <c r="I4" s="188"/>
      <c r="J4" s="191"/>
      <c r="K4" s="581" t="s">
        <v>312</v>
      </c>
      <c r="L4" s="582"/>
      <c r="M4" s="168" t="s">
        <v>313</v>
      </c>
      <c r="N4" s="264">
        <v>484204</v>
      </c>
      <c r="O4" s="211">
        <f>Prod.Output!K2</f>
        <v>482421.99999999994</v>
      </c>
      <c r="P4" s="210">
        <f>O4/N4</f>
        <v>0.99631973300509691</v>
      </c>
      <c r="R4" s="570" t="s">
        <v>314</v>
      </c>
      <c r="S4" s="570"/>
      <c r="T4" s="570"/>
      <c r="U4" s="186">
        <f>P16</f>
        <v>0</v>
      </c>
    </row>
    <row r="5" spans="1:22" ht="55.15" customHeight="1">
      <c r="A5" s="164" t="s">
        <v>315</v>
      </c>
      <c r="B5" s="180">
        <f>Prod.Output!J2</f>
        <v>297320.1210000001</v>
      </c>
      <c r="C5" s="173" t="s">
        <v>316</v>
      </c>
      <c r="D5" s="161">
        <v>45638</v>
      </c>
      <c r="E5" s="171">
        <v>3750</v>
      </c>
      <c r="F5" s="203">
        <v>6869.88</v>
      </c>
      <c r="G5" s="169"/>
      <c r="H5" s="190"/>
      <c r="I5" s="188"/>
      <c r="J5" s="191"/>
      <c r="K5" s="581" t="s">
        <v>5312</v>
      </c>
      <c r="L5" s="582"/>
      <c r="M5" s="168" t="s">
        <v>317</v>
      </c>
      <c r="N5" s="147"/>
      <c r="O5" s="147"/>
      <c r="P5" s="210"/>
      <c r="R5" s="176"/>
      <c r="S5" s="176"/>
      <c r="T5" s="176"/>
      <c r="U5" s="176"/>
    </row>
    <row r="6" spans="1:22" ht="30" customHeight="1">
      <c r="A6" s="174" t="s">
        <v>318</v>
      </c>
      <c r="B6" s="179">
        <f>(B14/B2)*B3</f>
        <v>304159.68</v>
      </c>
      <c r="C6" s="173" t="s">
        <v>319</v>
      </c>
      <c r="D6" s="161">
        <v>45643</v>
      </c>
      <c r="E6" s="171"/>
      <c r="F6" s="203">
        <v>1401.4</v>
      </c>
      <c r="G6" s="169"/>
      <c r="H6" s="190"/>
      <c r="I6" s="188"/>
      <c r="J6" s="191"/>
      <c r="K6" s="579" t="s">
        <v>5351</v>
      </c>
      <c r="L6" s="580"/>
      <c r="M6" s="168" t="s">
        <v>320</v>
      </c>
      <c r="N6" s="212">
        <f>B14</f>
        <v>304159.68</v>
      </c>
      <c r="O6" s="212">
        <f>Prod.Output!J2</f>
        <v>297320.1210000001</v>
      </c>
      <c r="P6" s="210">
        <f>O6/N6</f>
        <v>0.9775132621128485</v>
      </c>
      <c r="R6" s="569" t="s">
        <v>321</v>
      </c>
      <c r="S6" s="569"/>
      <c r="T6" s="569"/>
      <c r="U6" s="187">
        <f>U3-U2</f>
        <v>235627</v>
      </c>
    </row>
    <row r="7" spans="1:22">
      <c r="A7" s="174"/>
      <c r="B7" s="177"/>
      <c r="C7" s="173" t="s">
        <v>322</v>
      </c>
      <c r="D7" s="161">
        <v>45646</v>
      </c>
      <c r="E7" s="171">
        <v>4857.54</v>
      </c>
      <c r="F7" s="203"/>
      <c r="G7" s="169"/>
      <c r="H7" s="190"/>
      <c r="I7" s="188"/>
      <c r="J7" s="191"/>
      <c r="K7" s="579"/>
      <c r="L7" s="580"/>
      <c r="M7" s="575" t="s">
        <v>323</v>
      </c>
      <c r="N7" s="576"/>
      <c r="O7" s="576"/>
      <c r="P7" s="576"/>
    </row>
    <row r="8" spans="1:22">
      <c r="A8" s="182" t="s">
        <v>324</v>
      </c>
      <c r="B8" s="183">
        <f>Prod.Output!L2</f>
        <v>235628.56444077007</v>
      </c>
      <c r="C8" s="173" t="s">
        <v>325</v>
      </c>
      <c r="D8" s="161"/>
      <c r="E8" s="171"/>
      <c r="F8" s="203"/>
      <c r="G8" s="170"/>
      <c r="H8" s="190"/>
      <c r="I8" s="189"/>
      <c r="J8" s="191"/>
      <c r="K8" s="579"/>
      <c r="L8" s="580"/>
      <c r="M8" s="176" t="s">
        <v>326</v>
      </c>
      <c r="P8" s="262"/>
      <c r="Q8" s="213" t="s">
        <v>327</v>
      </c>
    </row>
    <row r="9" spans="1:22">
      <c r="A9" s="174" t="s">
        <v>328</v>
      </c>
      <c r="B9" s="179">
        <f>((P15/B2)*B3)</f>
        <v>235627</v>
      </c>
      <c r="C9" s="173" t="s">
        <v>329</v>
      </c>
      <c r="D9" s="161"/>
      <c r="E9" s="171"/>
      <c r="F9" s="203"/>
      <c r="G9" s="170"/>
      <c r="H9" s="190"/>
      <c r="I9" s="189"/>
      <c r="J9" s="191"/>
      <c r="K9" s="579"/>
      <c r="L9" s="580"/>
      <c r="M9" s="176" t="s">
        <v>330</v>
      </c>
      <c r="P9" s="208">
        <f>P8/O14</f>
        <v>0</v>
      </c>
    </row>
    <row r="10" spans="1:22">
      <c r="C10" s="173" t="s">
        <v>331</v>
      </c>
      <c r="D10" s="161"/>
      <c r="E10" s="171"/>
      <c r="F10" s="203"/>
      <c r="G10" s="170"/>
      <c r="H10" s="190"/>
      <c r="I10" s="189"/>
      <c r="J10" s="191"/>
      <c r="K10" s="579"/>
      <c r="L10" s="580"/>
      <c r="M10" s="176" t="s">
        <v>332</v>
      </c>
      <c r="P10" s="208">
        <f>P8/O15</f>
        <v>0</v>
      </c>
      <c r="R10" s="299" t="s">
        <v>333</v>
      </c>
      <c r="S10" s="299" t="s">
        <v>334</v>
      </c>
    </row>
    <row r="11" spans="1:22" ht="55.15" customHeight="1">
      <c r="A11" s="174" t="s">
        <v>335</v>
      </c>
      <c r="B11" s="175">
        <f>B5/B6</f>
        <v>0.9775132621128485</v>
      </c>
      <c r="C11" s="173" t="s">
        <v>336</v>
      </c>
      <c r="D11" s="161"/>
      <c r="E11" s="171"/>
      <c r="F11" s="203"/>
      <c r="G11" s="170"/>
      <c r="H11" s="190"/>
      <c r="I11" s="189"/>
      <c r="J11" s="191"/>
      <c r="K11" s="583"/>
      <c r="L11" s="584"/>
      <c r="R11" s="301">
        <f>Sales_daily_plan_follow!AC10</f>
        <v>286233.07439999998</v>
      </c>
      <c r="S11" s="216">
        <f>1-(Prod.Output!L2/Prod.Output!J2)</f>
        <v>0.20749203367648972</v>
      </c>
    </row>
    <row r="12" spans="1:22" ht="41.45" customHeight="1">
      <c r="C12" s="173" t="s">
        <v>337</v>
      </c>
      <c r="D12" s="161"/>
      <c r="E12" s="171"/>
      <c r="F12" s="203"/>
      <c r="G12" s="169"/>
      <c r="H12" s="190"/>
      <c r="I12" s="188"/>
      <c r="J12" s="191"/>
      <c r="K12" s="583"/>
      <c r="L12" s="584"/>
      <c r="M12" s="402"/>
      <c r="N12" s="176"/>
      <c r="O12" s="165" t="s">
        <v>338</v>
      </c>
      <c r="P12" s="165" t="s">
        <v>339</v>
      </c>
    </row>
    <row r="13" spans="1:22" ht="27.6" customHeight="1">
      <c r="A13" s="563" t="s">
        <v>340</v>
      </c>
      <c r="B13" s="563"/>
      <c r="C13" s="173" t="s">
        <v>341</v>
      </c>
      <c r="D13" s="161"/>
      <c r="E13" s="171"/>
      <c r="F13" s="203"/>
      <c r="G13" s="169"/>
      <c r="H13" s="190"/>
      <c r="I13" s="188"/>
      <c r="J13" s="191"/>
      <c r="K13" s="585"/>
      <c r="L13" s="586"/>
      <c r="M13" s="176" t="s">
        <v>342</v>
      </c>
      <c r="O13" s="178">
        <v>5805</v>
      </c>
      <c r="P13" s="178"/>
      <c r="R13" t="s">
        <v>343</v>
      </c>
    </row>
    <row r="14" spans="1:22" ht="41.45" customHeight="1">
      <c r="A14" s="66" t="s">
        <v>344</v>
      </c>
      <c r="B14" s="260">
        <v>304159.68</v>
      </c>
      <c r="C14" s="173" t="s">
        <v>345</v>
      </c>
      <c r="D14" s="161"/>
      <c r="E14" s="171"/>
      <c r="F14" s="203"/>
      <c r="G14" s="169"/>
      <c r="H14" s="190"/>
      <c r="I14" s="188"/>
      <c r="J14" s="191"/>
      <c r="K14" s="583"/>
      <c r="L14" s="584"/>
      <c r="M14" s="176" t="s">
        <v>346</v>
      </c>
      <c r="O14" s="178">
        <f>Sales_daily_plan_follow!AC9</f>
        <v>292030</v>
      </c>
      <c r="P14" s="178">
        <v>221401</v>
      </c>
      <c r="R14" s="178">
        <v>206592</v>
      </c>
      <c r="S14" s="300"/>
      <c r="U14" s="4"/>
    </row>
    <row r="15" spans="1:22">
      <c r="A15" s="66" t="s">
        <v>347</v>
      </c>
      <c r="B15" s="260">
        <v>221733.16</v>
      </c>
      <c r="C15" s="173" t="s">
        <v>348</v>
      </c>
      <c r="D15" s="161"/>
      <c r="E15" s="171"/>
      <c r="F15" s="203"/>
      <c r="G15" s="169"/>
      <c r="H15" s="190"/>
      <c r="I15" s="188"/>
      <c r="J15" s="191"/>
      <c r="K15" s="579"/>
      <c r="L15" s="580"/>
      <c r="M15" s="176" t="s">
        <v>349</v>
      </c>
      <c r="O15" s="178">
        <f>(B14+E26)-F26+O13</f>
        <v>305417.96000000002</v>
      </c>
      <c r="P15" s="178">
        <v>235627</v>
      </c>
      <c r="Q15" s="577"/>
      <c r="R15" s="577"/>
      <c r="U15" s="4"/>
    </row>
    <row r="16" spans="1:22">
      <c r="A16" s="66" t="s">
        <v>350</v>
      </c>
      <c r="B16" s="260"/>
      <c r="C16" s="173" t="s">
        <v>351</v>
      </c>
      <c r="D16" s="161"/>
      <c r="E16" s="171"/>
      <c r="F16" s="203"/>
      <c r="G16" s="169"/>
      <c r="H16" s="190"/>
      <c r="I16" s="188"/>
      <c r="J16" s="191"/>
      <c r="K16" s="579"/>
      <c r="L16" s="580"/>
      <c r="M16" s="176" t="s">
        <v>352</v>
      </c>
      <c r="O16" s="263"/>
      <c r="P16" s="263"/>
      <c r="Q16" s="213"/>
    </row>
    <row r="17" spans="1:39">
      <c r="C17" s="173" t="s">
        <v>353</v>
      </c>
      <c r="D17" s="161"/>
      <c r="E17" s="171"/>
      <c r="F17" s="203"/>
      <c r="G17" s="169"/>
      <c r="H17" s="190"/>
      <c r="I17" s="188"/>
      <c r="J17" s="191"/>
      <c r="K17" s="579"/>
      <c r="L17" s="580"/>
      <c r="M17" s="176" t="s">
        <v>354</v>
      </c>
      <c r="O17" s="178">
        <f>O15-O16</f>
        <v>305417.96000000002</v>
      </c>
      <c r="P17" s="178">
        <f>P15-P16</f>
        <v>235627</v>
      </c>
    </row>
    <row r="18" spans="1:39">
      <c r="A18" s="192" t="s">
        <v>355</v>
      </c>
      <c r="C18" s="173" t="s">
        <v>356</v>
      </c>
      <c r="D18" s="161"/>
      <c r="E18" s="171"/>
      <c r="F18" s="203"/>
      <c r="G18" s="169"/>
      <c r="H18" s="190"/>
      <c r="I18" s="188"/>
      <c r="J18" s="191"/>
      <c r="K18" s="579"/>
      <c r="L18" s="580"/>
      <c r="M18" s="176" t="s">
        <v>357</v>
      </c>
      <c r="O18" s="166">
        <f>O17/O15</f>
        <v>1</v>
      </c>
      <c r="P18" s="166">
        <f>P17/P15</f>
        <v>1</v>
      </c>
      <c r="Q18" s="166"/>
    </row>
    <row r="19" spans="1:39">
      <c r="A19" s="261" t="s">
        <v>358</v>
      </c>
      <c r="C19" s="173" t="s">
        <v>359</v>
      </c>
      <c r="E19" s="171"/>
      <c r="F19" s="203"/>
      <c r="G19" s="169"/>
      <c r="H19" s="190"/>
      <c r="I19" s="188"/>
      <c r="J19" s="191"/>
      <c r="K19" s="579"/>
      <c r="L19" s="580"/>
      <c r="M19" s="176" t="s">
        <v>360</v>
      </c>
      <c r="O19" s="166">
        <f>O16/O15</f>
        <v>0</v>
      </c>
      <c r="P19" s="166">
        <f>P16/P15</f>
        <v>0</v>
      </c>
      <c r="Q19" s="66"/>
    </row>
    <row r="20" spans="1:39">
      <c r="C20" s="173" t="s">
        <v>361</v>
      </c>
      <c r="D20" s="161"/>
      <c r="E20" s="171"/>
      <c r="F20" s="203"/>
      <c r="G20" s="169"/>
      <c r="H20" s="190"/>
      <c r="I20" s="188"/>
      <c r="J20" s="191"/>
      <c r="K20" s="579"/>
      <c r="L20" s="580"/>
      <c r="M20" s="214" t="s">
        <v>362</v>
      </c>
      <c r="O20" s="209"/>
      <c r="P20" s="178">
        <f>P15-P14</f>
        <v>14226</v>
      </c>
      <c r="Q20" s="66"/>
    </row>
    <row r="21" spans="1:39">
      <c r="C21" s="173" t="s">
        <v>363</v>
      </c>
      <c r="D21" s="161"/>
      <c r="E21" s="171"/>
      <c r="F21" s="203"/>
      <c r="G21" s="169"/>
      <c r="H21" s="190"/>
      <c r="I21" s="188"/>
      <c r="J21" s="191"/>
      <c r="K21" s="579"/>
      <c r="L21" s="580"/>
      <c r="M21" s="214"/>
      <c r="P21" s="298">
        <f>1-P15/P14</f>
        <v>-6.4254452328580181E-2</v>
      </c>
    </row>
    <row r="22" spans="1:39">
      <c r="C22" s="173" t="s">
        <v>364</v>
      </c>
      <c r="D22" s="161"/>
      <c r="E22" s="171"/>
      <c r="F22" s="204"/>
      <c r="G22" s="169"/>
      <c r="H22" s="196"/>
      <c r="I22" s="188"/>
      <c r="J22" s="198"/>
      <c r="K22" s="588"/>
      <c r="L22" s="589"/>
    </row>
    <row r="23" spans="1:39">
      <c r="C23" s="173" t="s">
        <v>365</v>
      </c>
      <c r="D23" s="161"/>
      <c r="E23" s="193"/>
      <c r="F23" s="204"/>
      <c r="G23" s="195"/>
      <c r="H23" s="196"/>
      <c r="I23" s="188"/>
      <c r="J23" s="198"/>
      <c r="K23" s="588"/>
      <c r="L23" s="589"/>
      <c r="M23" s="572" t="s">
        <v>366</v>
      </c>
      <c r="N23" s="573"/>
      <c r="O23" s="66"/>
      <c r="P23" s="573" t="s">
        <v>367</v>
      </c>
      <c r="Q23" s="573"/>
      <c r="R23" s="573"/>
      <c r="S23" s="573"/>
    </row>
    <row r="24" spans="1:39">
      <c r="C24" s="173" t="s">
        <v>368</v>
      </c>
      <c r="D24" s="161"/>
      <c r="E24" s="193"/>
      <c r="F24" s="204"/>
      <c r="G24" s="195"/>
      <c r="H24" s="196"/>
      <c r="I24" s="197"/>
      <c r="J24" s="198"/>
      <c r="K24" s="588"/>
      <c r="L24" s="589"/>
      <c r="M24" s="66" t="s">
        <v>175</v>
      </c>
      <c r="N24" s="167">
        <f>IF(TYPE(Shielding!M31)=16,0,Shielding!M31)</f>
        <v>1.1751</v>
      </c>
      <c r="O24" s="19"/>
      <c r="P24" s="209" t="s">
        <v>369</v>
      </c>
      <c r="Q24" s="209"/>
      <c r="R24" s="215">
        <f>'PlanFollow (Finished)'!C34*1000</f>
        <v>237215.00000000003</v>
      </c>
      <c r="S24" s="213"/>
    </row>
    <row r="25" spans="1:39" ht="15.75" thickBot="1">
      <c r="C25" s="173" t="s">
        <v>370</v>
      </c>
      <c r="D25" s="160"/>
      <c r="E25" s="194"/>
      <c r="F25" s="205"/>
      <c r="G25" s="199"/>
      <c r="H25" s="200"/>
      <c r="I25" s="201"/>
      <c r="J25" s="202"/>
      <c r="K25" s="588"/>
      <c r="L25" s="589"/>
      <c r="M25" s="66" t="s">
        <v>371</v>
      </c>
      <c r="N25" s="167">
        <f>IF(TYPE(Bending!O31)=16,0,Bending!O31)</f>
        <v>1.0441300000000002</v>
      </c>
      <c r="O25" s="19"/>
      <c r="P25" s="209" t="s">
        <v>372</v>
      </c>
      <c r="Q25" s="209"/>
      <c r="R25" s="317">
        <f>'PlanFollow (Factory out)'!C34*1000</f>
        <v>246161</v>
      </c>
      <c r="S25" s="213"/>
    </row>
    <row r="26" spans="1:39">
      <c r="C26" s="173"/>
      <c r="D26" s="23"/>
      <c r="E26" s="163">
        <f t="shared" ref="E26:J26" si="0">SUM(E3:E25)</f>
        <v>12729.14</v>
      </c>
      <c r="F26" s="163">
        <f t="shared" si="0"/>
        <v>17275.86</v>
      </c>
      <c r="G26" s="163">
        <f t="shared" si="0"/>
        <v>0</v>
      </c>
      <c r="H26" s="163">
        <f t="shared" si="0"/>
        <v>0</v>
      </c>
      <c r="I26" s="163">
        <f t="shared" si="0"/>
        <v>0</v>
      </c>
      <c r="J26" s="163">
        <f t="shared" si="0"/>
        <v>0</v>
      </c>
      <c r="K26" s="592"/>
      <c r="L26" s="593"/>
      <c r="M26" s="66" t="s">
        <v>373</v>
      </c>
      <c r="N26" s="167">
        <f>IF(TYPE('Attach Tape'!O31)=16,0,'Attach Tape'!O31)</f>
        <v>0.95435999999999999</v>
      </c>
      <c r="O26" s="19"/>
      <c r="P26" s="209" t="s">
        <v>374</v>
      </c>
      <c r="Q26" s="209"/>
      <c r="R26" s="215">
        <f>CAOI!O27+ADAMI!N27+'AD Auto PKY'!N33+CYT!N33+'Auto Bending'!N31+APIM!L31+APIM!M31+APIM!N31+USB!O31+'SS Auto Bending'!O32+'Conti Final Insp'!K33</f>
        <v>4020</v>
      </c>
      <c r="S26" s="216">
        <f>R26/R25</f>
        <v>1.6330775386840319E-2</v>
      </c>
    </row>
    <row r="27" spans="1:39">
      <c r="C27" s="173"/>
      <c r="D27" s="23"/>
      <c r="E27" s="23"/>
      <c r="F27" s="23"/>
      <c r="G27" s="23"/>
      <c r="H27" s="23"/>
      <c r="I27" s="23"/>
      <c r="J27" s="23"/>
      <c r="K27" s="506"/>
      <c r="L27" s="594"/>
      <c r="M27" s="66" t="s">
        <v>375</v>
      </c>
      <c r="N27" s="167">
        <f>IF(TYPE('Hand L.mark'!O31)=16,0,'Hand L.mark'!O31)</f>
        <v>1.0074750000000001</v>
      </c>
      <c r="O27" s="19"/>
      <c r="P27" s="209" t="s">
        <v>376</v>
      </c>
      <c r="Q27" s="209"/>
      <c r="R27" s="409">
        <f>CAOI!O27+ADAMI!O27+'AD Auto PKY'!N34+CYT!N34+'Auto Bending'!N31+APIM!L31+APIM!M31+APIM!N31+USB!K34+'Visual Inspection'!K34+MIM!O31+'SS Auto Bending'!O32+'Conti Final Insp'!K34+'Hot Stamp'!M31+Shielding!P31+Bending!M32+'Attach Tape'!M32+'Hand L.mark'!L32+'Bending+ATT(Kombi sablon)'!M32</f>
        <v>2830</v>
      </c>
      <c r="S27" s="216">
        <f>R27/R25</f>
        <v>1.1496540881780624E-2</v>
      </c>
    </row>
    <row r="28" spans="1:39">
      <c r="C28" s="173"/>
      <c r="D28" s="23"/>
      <c r="E28" s="23"/>
      <c r="F28" s="23"/>
      <c r="G28" s="23"/>
      <c r="H28" s="23"/>
      <c r="I28" s="23"/>
      <c r="J28" s="23"/>
      <c r="K28" s="506"/>
      <c r="L28" s="594"/>
      <c r="M28" s="66" t="s">
        <v>377</v>
      </c>
      <c r="N28" s="167">
        <f>IF(TYPE('Bending+ATT(Kombi sablon)'!O31)=16,0,'Bending+ATT(Kombi sablon)'!O31)</f>
        <v>0.96949285714285705</v>
      </c>
      <c r="O28" s="207"/>
      <c r="P28" s="407" t="s">
        <v>378</v>
      </c>
      <c r="Q28">
        <v>138</v>
      </c>
      <c r="R28" s="410">
        <f>R27+Q28</f>
        <v>2968</v>
      </c>
      <c r="AG28" s="22"/>
    </row>
    <row r="29" spans="1:39">
      <c r="K29" s="587"/>
      <c r="L29" s="587"/>
      <c r="N29" s="207">
        <f>AVERAGE(N24:N28)</f>
        <v>1.0301115714285713</v>
      </c>
      <c r="P29" s="578" t="s">
        <v>379</v>
      </c>
      <c r="Q29" s="578"/>
      <c r="R29" s="578"/>
      <c r="S29" s="5">
        <f>S31-129</f>
        <v>-129</v>
      </c>
      <c r="T29">
        <f>T31-129</f>
        <v>-129</v>
      </c>
      <c r="U29">
        <f>U31-129</f>
        <v>566</v>
      </c>
      <c r="V29">
        <f>V31-(129+22+27)</f>
        <v>719</v>
      </c>
      <c r="W29">
        <f>W31-(129+22+27+45+10)</f>
        <v>867</v>
      </c>
      <c r="X29">
        <f t="shared" ref="X29:AF29" si="1">X31-233</f>
        <v>1052</v>
      </c>
      <c r="Y29">
        <f t="shared" si="1"/>
        <v>1212</v>
      </c>
      <c r="Z29">
        <f t="shared" si="1"/>
        <v>1363</v>
      </c>
      <c r="AA29">
        <f t="shared" si="1"/>
        <v>1384</v>
      </c>
      <c r="AB29">
        <f t="shared" si="1"/>
        <v>2007</v>
      </c>
      <c r="AC29">
        <f t="shared" si="1"/>
        <v>2193</v>
      </c>
      <c r="AD29">
        <f t="shared" si="1"/>
        <v>2313</v>
      </c>
      <c r="AE29">
        <f t="shared" si="1"/>
        <v>2524</v>
      </c>
      <c r="AF29">
        <f t="shared" si="1"/>
        <v>2663</v>
      </c>
      <c r="AG29">
        <f>AG31-233</f>
        <v>2735</v>
      </c>
    </row>
    <row r="30" spans="1:39">
      <c r="K30" s="587"/>
      <c r="L30" s="587"/>
      <c r="S30" s="22">
        <v>2</v>
      </c>
      <c r="T30" s="22">
        <v>3</v>
      </c>
      <c r="U30" s="22">
        <v>4</v>
      </c>
      <c r="V30" s="22">
        <v>5</v>
      </c>
      <c r="W30" s="22">
        <v>6</v>
      </c>
      <c r="X30" s="22">
        <v>9</v>
      </c>
      <c r="Y30" s="22">
        <v>10</v>
      </c>
      <c r="Z30" s="22">
        <v>11</v>
      </c>
      <c r="AA30" s="22">
        <v>12</v>
      </c>
      <c r="AB30" s="22">
        <v>13</v>
      </c>
      <c r="AC30" s="22">
        <v>16</v>
      </c>
      <c r="AD30" s="22">
        <v>17</v>
      </c>
      <c r="AE30" s="22">
        <v>18</v>
      </c>
      <c r="AF30" s="22">
        <v>19</v>
      </c>
      <c r="AG30" s="22">
        <v>20</v>
      </c>
      <c r="AH30" s="22"/>
      <c r="AI30" s="22"/>
      <c r="AJ30" s="22"/>
      <c r="AK30" s="22"/>
      <c r="AL30" s="22"/>
      <c r="AM30" s="22"/>
    </row>
    <row r="31" spans="1:39">
      <c r="K31" s="587"/>
      <c r="L31" s="587"/>
      <c r="M31" s="571"/>
      <c r="N31" s="571"/>
      <c r="O31" s="571"/>
      <c r="P31" s="571"/>
      <c r="Q31" s="318" t="str">
        <f>P27</f>
        <v>Reject without AA/TO</v>
      </c>
      <c r="R31" s="318"/>
      <c r="S31" s="316">
        <v>0</v>
      </c>
      <c r="T31" s="316">
        <v>0</v>
      </c>
      <c r="U31" s="316">
        <v>695</v>
      </c>
      <c r="V31" s="316">
        <v>897</v>
      </c>
      <c r="W31" s="316">
        <v>1100</v>
      </c>
      <c r="X31" s="316">
        <v>1285</v>
      </c>
      <c r="Y31" s="316">
        <v>1445</v>
      </c>
      <c r="Z31" s="316">
        <v>1596</v>
      </c>
      <c r="AA31" s="316">
        <v>1617</v>
      </c>
      <c r="AB31" s="316">
        <v>2240</v>
      </c>
      <c r="AC31" s="316">
        <v>2426</v>
      </c>
      <c r="AD31" s="316">
        <v>2546</v>
      </c>
      <c r="AE31" s="316">
        <v>2757</v>
      </c>
      <c r="AF31" s="316">
        <v>2896</v>
      </c>
      <c r="AG31" s="316">
        <v>2968</v>
      </c>
    </row>
    <row r="32" spans="1:39">
      <c r="D32" t="s">
        <v>380</v>
      </c>
      <c r="E32" t="s">
        <v>381</v>
      </c>
      <c r="F32" t="s">
        <v>382</v>
      </c>
      <c r="G32" t="s">
        <v>383</v>
      </c>
      <c r="H32" t="s">
        <v>384</v>
      </c>
      <c r="I32" s="494" t="s">
        <v>371</v>
      </c>
      <c r="J32" t="s">
        <v>385</v>
      </c>
      <c r="K32" t="s">
        <v>386</v>
      </c>
      <c r="L32" t="s">
        <v>387</v>
      </c>
      <c r="M32" t="s">
        <v>388</v>
      </c>
      <c r="N32" t="s">
        <v>389</v>
      </c>
      <c r="O32" t="s">
        <v>390</v>
      </c>
      <c r="Q32" s="316" t="str">
        <f>P25</f>
        <v>KFT prod.</v>
      </c>
      <c r="R32" s="316"/>
      <c r="S32" s="316">
        <v>10800</v>
      </c>
      <c r="T32" s="316">
        <v>11600</v>
      </c>
      <c r="U32" s="316">
        <v>32600</v>
      </c>
      <c r="V32" s="316">
        <v>51000</v>
      </c>
      <c r="W32" s="316">
        <v>61000</v>
      </c>
      <c r="X32" s="316">
        <v>91376</v>
      </c>
      <c r="Y32" s="316">
        <v>104976</v>
      </c>
      <c r="Z32" s="316">
        <v>129976</v>
      </c>
      <c r="AA32" s="316">
        <v>157036</v>
      </c>
      <c r="AB32" s="316">
        <v>185536</v>
      </c>
      <c r="AC32" s="423">
        <v>211161</v>
      </c>
      <c r="AD32" s="423">
        <v>226661</v>
      </c>
      <c r="AE32" s="423">
        <v>231461</v>
      </c>
      <c r="AF32" s="423">
        <v>241161</v>
      </c>
      <c r="AG32" s="423">
        <v>246161</v>
      </c>
      <c r="AH32" s="22"/>
      <c r="AI32" s="22"/>
      <c r="AJ32" s="22"/>
      <c r="AK32" s="22"/>
      <c r="AL32" s="22"/>
      <c r="AM32" s="22"/>
    </row>
    <row r="33" spans="3:40">
      <c r="C33" s="19">
        <f>D33</f>
        <v>1.104205882352941</v>
      </c>
      <c r="D33" s="19">
        <f>G33*Headcount!S10</f>
        <v>1.104205882352941</v>
      </c>
      <c r="E33" s="22">
        <f>Headcount!A10</f>
        <v>2</v>
      </c>
      <c r="F33" s="19">
        <v>1</v>
      </c>
      <c r="G33" s="19">
        <f>AVERAGE(H33:L33)</f>
        <v>0.93857499999999994</v>
      </c>
      <c r="H33" s="19">
        <f>Shielding!M9</f>
        <v>1.0516000000000001</v>
      </c>
      <c r="I33" s="19" t="str">
        <f>Bending!O9</f>
        <v>-</v>
      </c>
      <c r="J33" s="495">
        <f>'Attach Tape'!O9</f>
        <v>0.67589999999999995</v>
      </c>
      <c r="K33" s="495">
        <f>'Bending+ATT(Kombi sablon)'!O9</f>
        <v>1.0228999999999999</v>
      </c>
      <c r="L33" s="495">
        <f>'Hand L.mark'!O9</f>
        <v>1.0039</v>
      </c>
      <c r="M33" s="381">
        <f t="shared" ref="M33" si="2">G33</f>
        <v>0.93857499999999994</v>
      </c>
      <c r="N33" s="381">
        <f t="shared" ref="N33" si="3">D33</f>
        <v>1.104205882352941</v>
      </c>
      <c r="P33" s="4">
        <f>O33/N33</f>
        <v>0</v>
      </c>
      <c r="Q33" t="s">
        <v>391</v>
      </c>
      <c r="S33" s="300">
        <f t="shared" ref="S33" si="4">S31/S32</f>
        <v>0</v>
      </c>
      <c r="T33" s="300">
        <f>T31/T32</f>
        <v>0</v>
      </c>
      <c r="U33" s="300">
        <f>U31/U32</f>
        <v>2.1319018404907974E-2</v>
      </c>
      <c r="V33" s="300">
        <f>V31/V32</f>
        <v>1.7588235294117648E-2</v>
      </c>
      <c r="W33" s="300">
        <f>W31/W32</f>
        <v>1.8032786885245903E-2</v>
      </c>
      <c r="X33" s="300">
        <f t="shared" ref="X33:AF33" si="5">X31/X32</f>
        <v>1.4062773594817019E-2</v>
      </c>
      <c r="Y33" s="300">
        <f t="shared" si="5"/>
        <v>1.3765051059289742E-2</v>
      </c>
      <c r="Z33" s="300">
        <f t="shared" si="5"/>
        <v>1.2279190004308488E-2</v>
      </c>
      <c r="AA33" s="300">
        <f t="shared" si="5"/>
        <v>1.0297001961333707E-2</v>
      </c>
      <c r="AB33" s="300">
        <f t="shared" si="5"/>
        <v>1.2073128665056916E-2</v>
      </c>
      <c r="AC33" s="300">
        <f t="shared" si="5"/>
        <v>1.1488863947414532E-2</v>
      </c>
      <c r="AD33" s="300">
        <f t="shared" si="5"/>
        <v>1.1232633757020397E-2</v>
      </c>
      <c r="AE33" s="300">
        <f t="shared" si="5"/>
        <v>1.1911293911285271E-2</v>
      </c>
      <c r="AF33" s="300">
        <f t="shared" si="5"/>
        <v>1.2008575184213036E-2</v>
      </c>
      <c r="AG33" s="300">
        <f>AG31/AG32</f>
        <v>1.2057149589090066E-2</v>
      </c>
      <c r="AH33" s="300"/>
      <c r="AI33" s="300"/>
      <c r="AJ33" s="300"/>
      <c r="AK33" s="300"/>
      <c r="AL33" s="300"/>
      <c r="AM33" s="300"/>
    </row>
    <row r="34" spans="3:40">
      <c r="C34" s="19">
        <f>AVERAGE($D$33:D34)</f>
        <v>1.206748774509804</v>
      </c>
      <c r="D34" s="19">
        <f>G34*Headcount!S11</f>
        <v>1.3092916666666667</v>
      </c>
      <c r="E34" s="22">
        <f>Headcount!A11</f>
        <v>3</v>
      </c>
      <c r="F34" s="19">
        <v>1</v>
      </c>
      <c r="G34" s="19">
        <f>AVERAGE(H34:L34)</f>
        <v>1.0474333333333334</v>
      </c>
      <c r="H34" s="19" t="str">
        <f>Shielding!M10</f>
        <v>-</v>
      </c>
      <c r="I34" s="19" t="str">
        <f>Bending!O10</f>
        <v>-</v>
      </c>
      <c r="J34" s="495">
        <f>'Attach Tape'!O10</f>
        <v>1.0795999999999999</v>
      </c>
      <c r="K34" s="495">
        <f>'Bending+ATT(Kombi sablon)'!O10</f>
        <v>1.0529999999999999</v>
      </c>
      <c r="L34" s="495">
        <f>'Hand L.mark'!O10</f>
        <v>1.0097</v>
      </c>
      <c r="M34" s="381">
        <f t="shared" ref="M34:M46" si="6">G34</f>
        <v>1.0474333333333334</v>
      </c>
      <c r="N34" s="381">
        <f t="shared" ref="N34:N46" si="7">D34</f>
        <v>1.3092916666666667</v>
      </c>
      <c r="P34" s="4">
        <f t="shared" ref="P34:P47" si="8">O34/N34</f>
        <v>0</v>
      </c>
      <c r="Q34" t="s">
        <v>392</v>
      </c>
      <c r="S34" s="300">
        <f t="shared" ref="S34" si="9">(S31-R31)/(S32-R32)</f>
        <v>0</v>
      </c>
      <c r="T34" s="300">
        <f>(T31-S31)/(T32-S32)</f>
        <v>0</v>
      </c>
      <c r="U34" s="300">
        <f t="shared" ref="U34:AF34" si="10">(U31-T31)/(U32-T32)</f>
        <v>3.3095238095238094E-2</v>
      </c>
      <c r="V34" s="300">
        <f t="shared" si="10"/>
        <v>1.0978260869565217E-2</v>
      </c>
      <c r="W34" s="300">
        <f>(W31-V31)/(W32-V32)</f>
        <v>2.0299999999999999E-2</v>
      </c>
      <c r="X34" s="300">
        <f t="shared" si="10"/>
        <v>6.0903344745851986E-3</v>
      </c>
      <c r="Y34" s="300">
        <f t="shared" si="10"/>
        <v>1.1764705882352941E-2</v>
      </c>
      <c r="Z34" s="300">
        <f t="shared" si="10"/>
        <v>6.0400000000000002E-3</v>
      </c>
      <c r="AA34" s="300">
        <f t="shared" si="10"/>
        <v>7.7605321507760532E-4</v>
      </c>
      <c r="AB34" s="300">
        <f t="shared" si="10"/>
        <v>2.1859649122807016E-2</v>
      </c>
      <c r="AC34" s="300">
        <f t="shared" si="10"/>
        <v>7.2585365853658533E-3</v>
      </c>
      <c r="AD34" s="300">
        <f t="shared" si="10"/>
        <v>7.7419354838709677E-3</v>
      </c>
      <c r="AE34" s="300">
        <f t="shared" si="10"/>
        <v>4.3958333333333335E-2</v>
      </c>
      <c r="AF34" s="300">
        <f t="shared" si="10"/>
        <v>1.4329896907216495E-2</v>
      </c>
      <c r="AG34" s="300">
        <f>(AG31-AF31)/(AG32-AF32)</f>
        <v>1.44E-2</v>
      </c>
      <c r="AH34" s="300"/>
      <c r="AI34" s="300"/>
      <c r="AJ34" s="300"/>
      <c r="AK34" s="300"/>
      <c r="AL34" s="300"/>
      <c r="AM34" s="300"/>
    </row>
    <row r="35" spans="3:40">
      <c r="C35" s="19">
        <f>AVERAGE($D$33:D35)</f>
        <v>1.2211727124183007</v>
      </c>
      <c r="D35" s="19">
        <f>G35*Headcount!S12</f>
        <v>1.2500205882352942</v>
      </c>
      <c r="E35" s="22">
        <f>Headcount!A12</f>
        <v>4</v>
      </c>
      <c r="F35" s="19">
        <v>1</v>
      </c>
      <c r="G35" s="19">
        <f>AVERAGE(H35:L35)</f>
        <v>0.96592500000000003</v>
      </c>
      <c r="H35" s="19" t="str">
        <f>Shielding!M11</f>
        <v>-</v>
      </c>
      <c r="I35" s="19">
        <f>Bending!O11</f>
        <v>0.92169999999999996</v>
      </c>
      <c r="J35" s="495">
        <f>'Attach Tape'!O11</f>
        <v>1.006</v>
      </c>
      <c r="K35" s="495">
        <f>'Bending+ATT(Kombi sablon)'!O11</f>
        <v>0.92630000000000001</v>
      </c>
      <c r="L35" s="495">
        <f>'Hand L.mark'!O11</f>
        <v>1.0097</v>
      </c>
      <c r="M35" s="381">
        <f t="shared" si="6"/>
        <v>0.96592500000000003</v>
      </c>
      <c r="N35" s="381">
        <f t="shared" si="7"/>
        <v>1.2500205882352942</v>
      </c>
      <c r="P35" s="4">
        <f t="shared" si="8"/>
        <v>0</v>
      </c>
      <c r="Q35" t="s">
        <v>393</v>
      </c>
      <c r="S35" s="300">
        <v>1.6500000000000001E-2</v>
      </c>
      <c r="T35" s="300">
        <v>1.6500000000000001E-2</v>
      </c>
      <c r="U35" s="300">
        <v>1.6500000000000001E-2</v>
      </c>
      <c r="V35" s="300">
        <v>1.6500000000000001E-2</v>
      </c>
      <c r="W35" s="300">
        <v>1.6500000000000001E-2</v>
      </c>
      <c r="X35" s="300">
        <v>1.6500000000000001E-2</v>
      </c>
      <c r="Y35" s="300">
        <v>1.6500000000000001E-2</v>
      </c>
      <c r="Z35" s="300">
        <v>1.6500000000000001E-2</v>
      </c>
      <c r="AA35" s="300">
        <v>1.6500000000000001E-2</v>
      </c>
      <c r="AB35" s="300">
        <v>1.6500000000000001E-2</v>
      </c>
      <c r="AC35" s="300">
        <v>1.6500000000000001E-2</v>
      </c>
      <c r="AD35" s="300">
        <v>1.6500000000000001E-2</v>
      </c>
      <c r="AE35" s="300">
        <v>1.6500000000000001E-2</v>
      </c>
      <c r="AF35" s="300">
        <v>1.6500000000000001E-2</v>
      </c>
      <c r="AG35" s="300">
        <v>1.6500000000000001E-2</v>
      </c>
      <c r="AH35" s="300"/>
      <c r="AI35" s="300"/>
      <c r="AJ35" s="300"/>
      <c r="AK35" s="300"/>
      <c r="AL35" s="300"/>
      <c r="AM35" s="300"/>
    </row>
    <row r="36" spans="3:40">
      <c r="C36" s="19">
        <f>AVERAGE($D$33:D36)</f>
        <v>1.2584389460784315</v>
      </c>
      <c r="D36" s="19">
        <f>G36*Headcount!S13</f>
        <v>1.3702376470588238</v>
      </c>
      <c r="E36" s="22">
        <f>Headcount!A13</f>
        <v>5</v>
      </c>
      <c r="F36" s="19">
        <v>1</v>
      </c>
      <c r="G36" s="19">
        <f>AVERAGE(H36:L36)</f>
        <v>1.0588200000000001</v>
      </c>
      <c r="H36" s="19">
        <f>Shielding!M12</f>
        <v>1.2986</v>
      </c>
      <c r="I36" s="19">
        <f>Bending!O12</f>
        <v>0.94740000000000002</v>
      </c>
      <c r="J36" s="495">
        <f>'Attach Tape'!O12</f>
        <v>1.0397000000000001</v>
      </c>
      <c r="K36" s="495">
        <f>'Bending+ATT(Kombi sablon)'!O12</f>
        <v>1.0018</v>
      </c>
      <c r="L36" s="495">
        <f>'Hand L.mark'!O12</f>
        <v>1.0065999999999999</v>
      </c>
      <c r="M36" s="381">
        <f t="shared" si="6"/>
        <v>1.0588200000000001</v>
      </c>
      <c r="N36" s="381">
        <f t="shared" si="7"/>
        <v>1.3702376470588238</v>
      </c>
      <c r="P36" s="4">
        <f t="shared" si="8"/>
        <v>0</v>
      </c>
    </row>
    <row r="37" spans="3:40">
      <c r="C37" s="19">
        <f>AVERAGE($D$33:D37)</f>
        <v>1.303369823529412</v>
      </c>
      <c r="D37" s="19">
        <f>G37*Headcount!S14</f>
        <v>1.4830933333333334</v>
      </c>
      <c r="E37" s="22">
        <f>Headcount!A14</f>
        <v>6</v>
      </c>
      <c r="F37" s="19">
        <v>1</v>
      </c>
      <c r="G37" s="19">
        <f t="shared" ref="G37:G47" si="11">AVERAGE(H37:L37)</f>
        <v>1.0112000000000001</v>
      </c>
      <c r="H37" s="19" t="str">
        <f>Shielding!M13</f>
        <v>-</v>
      </c>
      <c r="I37" s="19">
        <f>Bending!O13</f>
        <v>0.9597</v>
      </c>
      <c r="J37" s="495">
        <f>'Attach Tape'!O13</f>
        <v>1.0661</v>
      </c>
      <c r="K37" s="495">
        <f>'Bending+ATT(Kombi sablon)'!O13</f>
        <v>1.0078</v>
      </c>
      <c r="L37" s="495" t="str">
        <f>'Hand L.mark'!O13</f>
        <v>-</v>
      </c>
      <c r="M37" s="381">
        <f t="shared" si="6"/>
        <v>1.0112000000000001</v>
      </c>
      <c r="N37" s="381">
        <f t="shared" si="7"/>
        <v>1.4830933333333334</v>
      </c>
      <c r="P37" s="4">
        <f t="shared" si="8"/>
        <v>0</v>
      </c>
      <c r="R37" t="s">
        <v>394</v>
      </c>
      <c r="S37">
        <v>10800</v>
      </c>
      <c r="T37">
        <v>800</v>
      </c>
      <c r="U37">
        <v>21000</v>
      </c>
      <c r="V37">
        <v>18400</v>
      </c>
      <c r="W37">
        <v>10000</v>
      </c>
      <c r="X37">
        <v>30376</v>
      </c>
      <c r="Y37">
        <v>13600</v>
      </c>
      <c r="Z37">
        <v>25000</v>
      </c>
      <c r="AA37">
        <v>27000</v>
      </c>
      <c r="AB37">
        <v>28500</v>
      </c>
      <c r="AC37">
        <v>25625</v>
      </c>
      <c r="AD37">
        <v>15500</v>
      </c>
      <c r="AE37">
        <v>4800</v>
      </c>
      <c r="AF37">
        <v>9700</v>
      </c>
      <c r="AG37">
        <v>5000</v>
      </c>
    </row>
    <row r="38" spans="3:40">
      <c r="C38" s="19">
        <f>AVERAGE($D$33:D38)</f>
        <v>1.2826637418300655</v>
      </c>
      <c r="D38" s="19">
        <f>G38*Headcount!S15</f>
        <v>1.1791333333333331</v>
      </c>
      <c r="E38" s="22">
        <f>Headcount!A15</f>
        <v>9</v>
      </c>
      <c r="F38" s="19">
        <v>1</v>
      </c>
      <c r="G38" s="19">
        <f t="shared" si="11"/>
        <v>0.97406666666666653</v>
      </c>
      <c r="H38" s="19" t="str">
        <f>Shielding!M14</f>
        <v>-</v>
      </c>
      <c r="I38" s="19">
        <f>Bending!O14</f>
        <v>0.83789999999999998</v>
      </c>
      <c r="J38" s="495">
        <f>'Attach Tape'!O14</f>
        <v>1.0209999999999999</v>
      </c>
      <c r="K38" s="495">
        <f>'Bending+ATT(Kombi sablon)'!O14</f>
        <v>1.0632999999999999</v>
      </c>
      <c r="L38" s="495" t="str">
        <f>'Hand L.mark'!O14</f>
        <v>-</v>
      </c>
      <c r="M38" s="381">
        <f t="shared" si="6"/>
        <v>0.97406666666666653</v>
      </c>
      <c r="N38" s="381">
        <f t="shared" si="7"/>
        <v>1.1791333333333331</v>
      </c>
      <c r="P38" s="4">
        <f t="shared" si="8"/>
        <v>0</v>
      </c>
      <c r="R38" t="s">
        <v>395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60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N38">
        <f>SUM(S38:AM38)</f>
        <v>60</v>
      </c>
    </row>
    <row r="39" spans="3:40">
      <c r="C39" s="19">
        <f>AVERAGE($D$33:D39)</f>
        <v>1.2560506258292794</v>
      </c>
      <c r="D39" s="19">
        <f>G39*Headcount!S16</f>
        <v>1.0963719298245616</v>
      </c>
      <c r="E39" s="22">
        <f>Headcount!A16</f>
        <v>10</v>
      </c>
      <c r="F39" s="19">
        <v>1</v>
      </c>
      <c r="G39" s="19">
        <f t="shared" si="11"/>
        <v>0.94686666666666675</v>
      </c>
      <c r="H39" s="19" t="str">
        <f>Shielding!M15</f>
        <v>-</v>
      </c>
      <c r="I39" s="19">
        <f>Bending!O15</f>
        <v>0.97919999999999996</v>
      </c>
      <c r="J39" s="495">
        <f>'Attach Tape'!O15</f>
        <v>0.76880000000000004</v>
      </c>
      <c r="K39" s="495">
        <f>'Bending+ATT(Kombi sablon)'!O15</f>
        <v>1.0926</v>
      </c>
      <c r="L39" s="495" t="str">
        <f>'Hand L.mark'!O15</f>
        <v>-</v>
      </c>
      <c r="M39" s="381">
        <f t="shared" si="6"/>
        <v>0.94686666666666675</v>
      </c>
      <c r="N39" s="381">
        <f t="shared" si="7"/>
        <v>1.0963719298245616</v>
      </c>
      <c r="P39" s="4">
        <f t="shared" si="8"/>
        <v>0</v>
      </c>
      <c r="R39" s="449" t="s">
        <v>396</v>
      </c>
      <c r="S39" s="300">
        <f>S31/(S32-AN38)</f>
        <v>0</v>
      </c>
      <c r="T39" s="300" t="e">
        <f>T32/(#REF!-AN38)</f>
        <v>#REF!</v>
      </c>
      <c r="U39" s="300">
        <f t="shared" ref="U39" si="12">U31/(U32-AN38)</f>
        <v>2.1358328211432083E-2</v>
      </c>
      <c r="V39" s="300">
        <f>V31/(V32-AN38)</f>
        <v>1.7608951707891639E-2</v>
      </c>
      <c r="W39" s="300">
        <f>W31/(W32-AN38)</f>
        <v>1.8050541516245487E-2</v>
      </c>
      <c r="X39" s="300">
        <f>X31/(X32-AN38)</f>
        <v>1.407201366682728E-2</v>
      </c>
      <c r="Y39" s="300">
        <f>Y31/(Y32-AN38)</f>
        <v>1.3772923100385069E-2</v>
      </c>
      <c r="Z39" s="300">
        <f>Z31/(Z32-AN38)</f>
        <v>1.2284860987099357E-2</v>
      </c>
      <c r="AA39" s="300">
        <f>AA31/(AA32-AN38)</f>
        <v>1.030093772296402E-2</v>
      </c>
      <c r="AB39" s="300">
        <f>AB31/(AB32-AN38)</f>
        <v>1.207703422545235E-2</v>
      </c>
      <c r="AC39" s="300">
        <f>AC31/(AC32-AN38)</f>
        <v>1.1492129359879867E-2</v>
      </c>
      <c r="AD39" s="300">
        <f>AD31/(AD32-AN38)</f>
        <v>1.1235607962895133E-2</v>
      </c>
      <c r="AE39" s="300">
        <f>AE31/(AE32-AN38)</f>
        <v>1.1914382392470214E-2</v>
      </c>
      <c r="AF39" s="300">
        <f>AF31/(AF32-AN38)</f>
        <v>1.2011563618566493E-2</v>
      </c>
      <c r="AG39" s="300">
        <f>AG31/(AG32-AN38)</f>
        <v>1.2060089150389475E-2</v>
      </c>
      <c r="AH39" s="300"/>
      <c r="AI39" s="300"/>
      <c r="AJ39" s="300"/>
      <c r="AK39" s="300"/>
      <c r="AL39" s="300"/>
      <c r="AM39" s="300"/>
    </row>
    <row r="40" spans="3:40">
      <c r="C40" s="19">
        <f>AVERAGE($D$33:D40)</f>
        <v>1.28654753834136</v>
      </c>
      <c r="D40" s="19">
        <f>G40*Headcount!S17</f>
        <v>1.5000259259259257</v>
      </c>
      <c r="E40" s="22">
        <f>Headcount!A17</f>
        <v>11</v>
      </c>
      <c r="F40" s="19">
        <v>1</v>
      </c>
      <c r="G40" s="19">
        <f t="shared" si="11"/>
        <v>1.1739333333333333</v>
      </c>
      <c r="H40" s="19" t="str">
        <f>Shielding!M16</f>
        <v>-</v>
      </c>
      <c r="I40" s="19">
        <f>Bending!O16</f>
        <v>1.569</v>
      </c>
      <c r="J40" s="495">
        <f>'Attach Tape'!O16</f>
        <v>0.87609999999999999</v>
      </c>
      <c r="K40" s="495">
        <f>'Bending+ATT(Kombi sablon)'!O16</f>
        <v>1.0767</v>
      </c>
      <c r="L40" s="495" t="str">
        <f>'Hand L.mark'!O16</f>
        <v>-</v>
      </c>
      <c r="M40" s="381">
        <f t="shared" si="6"/>
        <v>1.1739333333333333</v>
      </c>
      <c r="N40" s="381">
        <f t="shared" si="7"/>
        <v>1.5000259259259257</v>
      </c>
      <c r="P40" s="4">
        <f t="shared" si="8"/>
        <v>0</v>
      </c>
    </row>
    <row r="41" spans="3:40">
      <c r="C41" s="19">
        <f>AVERAGE($D$33:D41)</f>
        <v>1.2747089229700979</v>
      </c>
      <c r="D41" s="19">
        <f>G41*Headcount!S18</f>
        <v>1.18</v>
      </c>
      <c r="E41" s="22">
        <f>Headcount!A18</f>
        <v>12</v>
      </c>
      <c r="F41" s="19">
        <v>1</v>
      </c>
      <c r="G41" s="19">
        <f t="shared" si="11"/>
        <v>0.9341666666666667</v>
      </c>
      <c r="H41" s="19" t="str">
        <f>Shielding!M17</f>
        <v>-</v>
      </c>
      <c r="I41" s="19">
        <f>Bending!O17</f>
        <v>1.0333000000000001</v>
      </c>
      <c r="J41" s="495">
        <f>'Attach Tape'!O17</f>
        <v>0.90049999999999997</v>
      </c>
      <c r="K41" s="495">
        <f>'Bending+ATT(Kombi sablon)'!O17</f>
        <v>0.86870000000000003</v>
      </c>
      <c r="L41" s="495" t="str">
        <f>'Hand L.mark'!O17</f>
        <v>-</v>
      </c>
      <c r="M41" s="381">
        <f t="shared" si="6"/>
        <v>0.9341666666666667</v>
      </c>
      <c r="N41" s="381">
        <f t="shared" si="7"/>
        <v>1.18</v>
      </c>
      <c r="P41" s="4">
        <f t="shared" si="8"/>
        <v>0</v>
      </c>
    </row>
    <row r="42" spans="3:40">
      <c r="C42" s="19">
        <f>AVERAGE($D$33:D42)</f>
        <v>1.3642395458246033</v>
      </c>
      <c r="D42" s="19">
        <f>G42*Headcount!S19</f>
        <v>2.1700151515151513</v>
      </c>
      <c r="E42" s="22">
        <f>Headcount!A19</f>
        <v>13</v>
      </c>
      <c r="F42" s="19">
        <v>1</v>
      </c>
      <c r="G42" s="19">
        <f t="shared" si="11"/>
        <v>1.0378333333333334</v>
      </c>
      <c r="H42" s="19" t="str">
        <f>Shielding!M18</f>
        <v>-</v>
      </c>
      <c r="I42" s="19">
        <f>Bending!O18</f>
        <v>1.3808</v>
      </c>
      <c r="J42" s="495">
        <f>'Attach Tape'!O18</f>
        <v>0.77729999999999999</v>
      </c>
      <c r="K42" s="495">
        <f>'Bending+ATT(Kombi sablon)'!O18</f>
        <v>0.95540000000000003</v>
      </c>
      <c r="L42" s="495" t="str">
        <f>'Hand L.mark'!O18</f>
        <v>-</v>
      </c>
      <c r="M42" s="381">
        <f t="shared" si="6"/>
        <v>1.0378333333333334</v>
      </c>
      <c r="N42" s="381">
        <f t="shared" si="7"/>
        <v>2.1700151515151513</v>
      </c>
      <c r="P42" s="4">
        <f t="shared" si="8"/>
        <v>0</v>
      </c>
    </row>
    <row r="43" spans="3:40">
      <c r="C43" s="19">
        <f>AVERAGE($D$33:D43)</f>
        <v>1.3960772730636888</v>
      </c>
      <c r="D43" s="19">
        <f>G43*Headcount!S20</f>
        <v>1.7144545454545455</v>
      </c>
      <c r="E43" s="22">
        <f>Headcount!A20</f>
        <v>16</v>
      </c>
      <c r="F43" s="19">
        <v>1</v>
      </c>
      <c r="G43" s="19">
        <f t="shared" si="11"/>
        <v>0.94295000000000007</v>
      </c>
      <c r="H43" s="19" t="str">
        <f>Shielding!M19</f>
        <v>-</v>
      </c>
      <c r="I43" s="19" t="str">
        <f>Bending!O19</f>
        <v>-</v>
      </c>
      <c r="J43" s="495">
        <f>'Attach Tape'!O19</f>
        <v>1.0757000000000001</v>
      </c>
      <c r="K43" s="495">
        <f>'Bending+ATT(Kombi sablon)'!O19</f>
        <v>0.81020000000000003</v>
      </c>
      <c r="L43" s="495" t="str">
        <f>'Hand L.mark'!O19</f>
        <v>-</v>
      </c>
      <c r="M43" s="381">
        <f t="shared" si="6"/>
        <v>0.94295000000000007</v>
      </c>
      <c r="N43" s="381">
        <f t="shared" si="7"/>
        <v>1.7144545454545455</v>
      </c>
      <c r="P43" s="4">
        <f t="shared" si="8"/>
        <v>0</v>
      </c>
    </row>
    <row r="44" spans="3:40">
      <c r="C44" s="19">
        <f>AVERAGE($D$33:D44)</f>
        <v>1.4456056821265635</v>
      </c>
      <c r="D44" s="19">
        <f>G44*Headcount!S21</f>
        <v>1.9904181818181823</v>
      </c>
      <c r="E44" s="22">
        <f>Headcount!A21</f>
        <v>17</v>
      </c>
      <c r="F44" s="19">
        <v>1</v>
      </c>
      <c r="G44" s="19">
        <f t="shared" si="11"/>
        <v>1.0426000000000002</v>
      </c>
      <c r="H44" s="19" t="str">
        <f>Shielding!M20</f>
        <v>-</v>
      </c>
      <c r="I44" s="19" t="str">
        <f>Bending!O20</f>
        <v>-</v>
      </c>
      <c r="J44" s="495">
        <f>'Attach Tape'!O20</f>
        <v>1.1986000000000001</v>
      </c>
      <c r="K44" s="495">
        <f>'Bending+ATT(Kombi sablon)'!O20</f>
        <v>0.88660000000000005</v>
      </c>
      <c r="L44" s="495" t="str">
        <f>'Hand L.mark'!O20</f>
        <v>-</v>
      </c>
      <c r="M44" s="381">
        <f t="shared" si="6"/>
        <v>1.0426000000000002</v>
      </c>
      <c r="N44" s="381">
        <f t="shared" si="7"/>
        <v>1.9904181818181823</v>
      </c>
      <c r="P44" s="4">
        <f t="shared" si="8"/>
        <v>0</v>
      </c>
    </row>
    <row r="45" spans="3:40">
      <c r="C45" s="19">
        <f>AVERAGE($D$33:D45)</f>
        <v>1.4421926576273174</v>
      </c>
      <c r="D45" s="19">
        <f>G45*Headcount!S22</f>
        <v>1.4012363636363638</v>
      </c>
      <c r="E45" s="22">
        <f>Headcount!A22</f>
        <v>18</v>
      </c>
      <c r="F45" s="19">
        <v>1</v>
      </c>
      <c r="G45" s="19">
        <f t="shared" si="11"/>
        <v>0.96335000000000004</v>
      </c>
      <c r="H45" s="19" t="str">
        <f>Shielding!M21</f>
        <v>-</v>
      </c>
      <c r="I45" s="19" t="str">
        <f>Bending!O21</f>
        <v>-</v>
      </c>
      <c r="J45" s="495">
        <f>'Attach Tape'!O21</f>
        <v>1.0376000000000001</v>
      </c>
      <c r="K45" s="495">
        <f>'Bending+ATT(Kombi sablon)'!O21</f>
        <v>0.8891</v>
      </c>
      <c r="L45" s="495" t="str">
        <f>'Hand L.mark'!O21</f>
        <v>-</v>
      </c>
      <c r="M45" s="381">
        <f t="shared" si="6"/>
        <v>0.96335000000000004</v>
      </c>
      <c r="N45" s="381">
        <f t="shared" si="7"/>
        <v>1.4012363636363638</v>
      </c>
      <c r="P45" s="4">
        <f t="shared" si="8"/>
        <v>0</v>
      </c>
    </row>
    <row r="46" spans="3:40">
      <c r="C46" s="19">
        <f>AVERAGE($D$33:D46)</f>
        <v>1.4383750002643272</v>
      </c>
      <c r="D46" s="19">
        <f>G46*Headcount!S23</f>
        <v>1.3887454545454545</v>
      </c>
      <c r="E46" s="22">
        <f>Headcount!A23</f>
        <v>19</v>
      </c>
      <c r="F46" s="19">
        <v>1</v>
      </c>
      <c r="G46" s="19">
        <f t="shared" si="11"/>
        <v>0.89860000000000007</v>
      </c>
      <c r="H46" s="19" t="str">
        <f>Shielding!M22</f>
        <v>-</v>
      </c>
      <c r="I46" s="19">
        <f>Bending!O22</f>
        <v>0.87050000000000005</v>
      </c>
      <c r="J46" s="495">
        <f>'Attach Tape'!O22</f>
        <v>0.90680000000000005</v>
      </c>
      <c r="K46" s="495">
        <f>'Bending+ATT(Kombi sablon)'!O22</f>
        <v>0.91849999999999998</v>
      </c>
      <c r="L46" s="495" t="str">
        <f>'Hand L.mark'!O22</f>
        <v>-</v>
      </c>
      <c r="M46" s="381">
        <f t="shared" si="6"/>
        <v>0.89860000000000007</v>
      </c>
      <c r="N46" s="381">
        <f t="shared" si="7"/>
        <v>1.3887454545454545</v>
      </c>
      <c r="P46" s="4">
        <f t="shared" si="8"/>
        <v>0</v>
      </c>
    </row>
    <row r="47" spans="3:40">
      <c r="C47" s="19">
        <f>AVERAGE($D$33:D47)</f>
        <v>1.4144757578224627</v>
      </c>
      <c r="D47" s="19">
        <f>G47*Headcount!S24</f>
        <v>1.0798863636363638</v>
      </c>
      <c r="E47" s="22">
        <f>Headcount!A24</f>
        <v>20</v>
      </c>
      <c r="F47" s="19">
        <v>1</v>
      </c>
      <c r="G47" s="19">
        <f t="shared" si="11"/>
        <v>0.91375000000000006</v>
      </c>
      <c r="H47" s="19" t="str">
        <f>Shielding!M23</f>
        <v>-</v>
      </c>
      <c r="I47" s="19">
        <f>Bending!O23</f>
        <v>0.94179999999999997</v>
      </c>
      <c r="J47" s="495">
        <f>'Attach Tape'!O23</f>
        <v>0.88570000000000004</v>
      </c>
      <c r="K47" s="495" t="str">
        <f>'Bending+ATT(Kombi sablon)'!O23</f>
        <v>-</v>
      </c>
      <c r="L47" s="495" t="str">
        <f>'Hand L.mark'!O23</f>
        <v>-</v>
      </c>
      <c r="M47" s="381">
        <f>G47</f>
        <v>0.91375000000000006</v>
      </c>
      <c r="N47" s="381">
        <f>D47</f>
        <v>1.0798863636363638</v>
      </c>
      <c r="P47" s="4">
        <f t="shared" si="8"/>
        <v>0</v>
      </c>
    </row>
    <row r="48" spans="3:40">
      <c r="C48" s="19">
        <f>AVERAGE($D$33:D48)</f>
        <v>1.3260710229585588</v>
      </c>
      <c r="D48" s="19">
        <f>G48*Headcount!S25</f>
        <v>0</v>
      </c>
      <c r="E48" s="22">
        <f>Headcount!A25</f>
        <v>0</v>
      </c>
      <c r="F48" s="19"/>
      <c r="G48" s="19"/>
      <c r="H48" s="19"/>
      <c r="I48" s="19"/>
      <c r="J48" s="495"/>
      <c r="K48" s="495"/>
      <c r="L48" s="495"/>
      <c r="M48" s="381"/>
      <c r="N48" s="381"/>
      <c r="P48" s="4"/>
    </row>
    <row r="49" spans="3:16">
      <c r="C49" s="19">
        <f>AVERAGE($D$33:D49)</f>
        <v>1.2480668451374672</v>
      </c>
      <c r="D49" s="19">
        <f>G49*Headcount!S26</f>
        <v>0</v>
      </c>
      <c r="E49" s="22">
        <f>Headcount!A26</f>
        <v>0</v>
      </c>
      <c r="F49" s="19"/>
      <c r="G49" s="19"/>
      <c r="H49" s="19"/>
      <c r="I49" s="19"/>
      <c r="J49" s="495"/>
      <c r="K49" s="495"/>
      <c r="L49" s="495"/>
      <c r="M49" s="381"/>
      <c r="N49" s="381"/>
      <c r="P49" s="4"/>
    </row>
    <row r="50" spans="3:16">
      <c r="C50" s="19">
        <f>AVERAGE($D$33:D50)</f>
        <v>1.1787297981853857</v>
      </c>
      <c r="D50" s="19">
        <f>G50*Headcount!S27</f>
        <v>0</v>
      </c>
      <c r="E50" s="22">
        <f>Headcount!A27</f>
        <v>0</v>
      </c>
      <c r="F50" s="19"/>
      <c r="G50" s="19"/>
      <c r="H50" s="19"/>
      <c r="I50" s="19"/>
      <c r="J50" s="495"/>
      <c r="K50" s="495"/>
      <c r="L50" s="495"/>
      <c r="M50" s="381"/>
      <c r="N50" s="381"/>
      <c r="P50" s="4"/>
    </row>
    <row r="51" spans="3:16">
      <c r="C51" s="19">
        <f>AVERAGE($D$33:D51)</f>
        <v>1.1166913877545759</v>
      </c>
      <c r="D51" s="19">
        <f>G51*Headcount!S28</f>
        <v>0</v>
      </c>
      <c r="E51" s="22">
        <f>Headcount!A28</f>
        <v>0</v>
      </c>
      <c r="F51" s="19"/>
      <c r="G51" s="19"/>
      <c r="H51" s="19"/>
      <c r="I51" s="19"/>
      <c r="J51" s="19"/>
      <c r="K51" s="19"/>
      <c r="L51" s="19"/>
      <c r="M51" s="381"/>
      <c r="N51" s="381"/>
    </row>
    <row r="52" spans="3:16">
      <c r="C52" s="19">
        <f>AVERAGE($D$33:D52)</f>
        <v>1.060856818366847</v>
      </c>
      <c r="D52" s="19">
        <f>G52*Headcount!S29</f>
        <v>0</v>
      </c>
      <c r="E52" s="22">
        <f>Headcount!A29</f>
        <v>0</v>
      </c>
      <c r="F52" s="19"/>
      <c r="G52" s="19"/>
      <c r="H52" s="19"/>
      <c r="I52" s="19"/>
      <c r="J52" s="19"/>
      <c r="K52" s="19"/>
      <c r="L52" s="19"/>
      <c r="M52" s="381"/>
      <c r="N52" s="381"/>
    </row>
    <row r="53" spans="3:16">
      <c r="C53" s="19"/>
      <c r="D53" s="19"/>
      <c r="E53" s="22"/>
      <c r="F53" s="19"/>
      <c r="G53" s="19"/>
      <c r="H53" s="19"/>
      <c r="I53" s="19"/>
      <c r="J53" s="19"/>
      <c r="K53" s="19"/>
      <c r="L53" s="19"/>
      <c r="M53" s="381"/>
      <c r="N53" s="381"/>
    </row>
  </sheetData>
  <mergeCells count="46">
    <mergeCell ref="K29:L29"/>
    <mergeCell ref="K30:L30"/>
    <mergeCell ref="K31:L31"/>
    <mergeCell ref="K25:L25"/>
    <mergeCell ref="K2:L2"/>
    <mergeCell ref="K26:L26"/>
    <mergeCell ref="K27:L27"/>
    <mergeCell ref="K28:L28"/>
    <mergeCell ref="K20:L20"/>
    <mergeCell ref="K21:L21"/>
    <mergeCell ref="K22:L22"/>
    <mergeCell ref="K23:L23"/>
    <mergeCell ref="K24:L24"/>
    <mergeCell ref="K15:L15"/>
    <mergeCell ref="K16:L16"/>
    <mergeCell ref="K17:L17"/>
    <mergeCell ref="K19:L19"/>
    <mergeCell ref="K10:L10"/>
    <mergeCell ref="K11:L11"/>
    <mergeCell ref="K12:L12"/>
    <mergeCell ref="K13:L13"/>
    <mergeCell ref="K14:L14"/>
    <mergeCell ref="M31:P31"/>
    <mergeCell ref="M23:N23"/>
    <mergeCell ref="P23:S23"/>
    <mergeCell ref="A13:B13"/>
    <mergeCell ref="M3:N3"/>
    <mergeCell ref="M7:P7"/>
    <mergeCell ref="Q15:R15"/>
    <mergeCell ref="P29:R29"/>
    <mergeCell ref="K3:L3"/>
    <mergeCell ref="K4:L4"/>
    <mergeCell ref="K5:L5"/>
    <mergeCell ref="K6:L6"/>
    <mergeCell ref="K7:L7"/>
    <mergeCell ref="K8:L8"/>
    <mergeCell ref="K9:L9"/>
    <mergeCell ref="K18:L18"/>
    <mergeCell ref="A1:B1"/>
    <mergeCell ref="C1:L1"/>
    <mergeCell ref="M2:P2"/>
    <mergeCell ref="M1:U1"/>
    <mergeCell ref="R6:T6"/>
    <mergeCell ref="R2:T2"/>
    <mergeCell ref="R3:T3"/>
    <mergeCell ref="R4:T4"/>
  </mergeCells>
  <phoneticPr fontId="79" type="noConversion"/>
  <conditionalFormatting sqref="B11">
    <cfRule type="cellIs" dxfId="5" priority="5" operator="greaterThan">
      <formula>0.85</formula>
    </cfRule>
    <cfRule type="cellIs" dxfId="4" priority="6" operator="lessThan">
      <formula>0.85</formula>
    </cfRule>
  </conditionalFormatting>
  <conditionalFormatting sqref="O19:P19">
    <cfRule type="cellIs" dxfId="3" priority="3" operator="greaterThan">
      <formula>0.4</formula>
    </cfRule>
    <cfRule type="cellIs" dxfId="2" priority="4" operator="lessThan">
      <formula>0.4</formula>
    </cfRule>
  </conditionalFormatting>
  <conditionalFormatting sqref="U6">
    <cfRule type="cellIs" dxfId="1" priority="1" operator="lessThan">
      <formula>$U$4</formula>
    </cfRule>
    <cfRule type="cellIs" dxfId="0" priority="2" operator="greaterThan">
      <formula>$U$4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FBA5-416B-4E28-825E-0B9EB9ADB594}">
  <sheetPr>
    <tabColor rgb="FF00B0F0"/>
  </sheetPr>
  <dimension ref="A1:G319"/>
  <sheetViews>
    <sheetView topLeftCell="A296" zoomScale="84" zoomScaleNormal="80" workbookViewId="0">
      <selection activeCell="B333" sqref="B333"/>
    </sheetView>
  </sheetViews>
  <sheetFormatPr defaultRowHeight="15"/>
  <cols>
    <col min="1" max="1" width="12.42578125" bestFit="1" customWidth="1"/>
    <col min="2" max="2" width="133.85546875" customWidth="1"/>
    <col min="3" max="3" width="27.42578125" customWidth="1"/>
    <col min="4" max="4" width="19.140625" bestFit="1" customWidth="1"/>
    <col min="5" max="5" width="14.42578125" bestFit="1" customWidth="1"/>
    <col min="6" max="6" width="42.42578125" style="78" customWidth="1"/>
  </cols>
  <sheetData>
    <row r="1" spans="1:7">
      <c r="A1" t="s">
        <v>397</v>
      </c>
      <c r="B1" t="s">
        <v>398</v>
      </c>
      <c r="C1" t="s">
        <v>399</v>
      </c>
      <c r="D1" t="s">
        <v>400</v>
      </c>
      <c r="E1" t="s">
        <v>401</v>
      </c>
      <c r="F1" s="78" t="s">
        <v>402</v>
      </c>
    </row>
    <row r="2" spans="1:7">
      <c r="A2" s="1">
        <v>45244</v>
      </c>
      <c r="B2" t="s">
        <v>403</v>
      </c>
      <c r="C2" t="s">
        <v>404</v>
      </c>
      <c r="D2" s="1">
        <v>45260</v>
      </c>
      <c r="E2" t="s">
        <v>405</v>
      </c>
    </row>
    <row r="3" spans="1:7">
      <c r="A3" s="1">
        <v>45244</v>
      </c>
      <c r="B3" t="s">
        <v>406</v>
      </c>
      <c r="C3" t="s">
        <v>407</v>
      </c>
      <c r="D3" s="1">
        <v>45254</v>
      </c>
      <c r="E3" t="s">
        <v>405</v>
      </c>
      <c r="F3" s="78" t="s">
        <v>408</v>
      </c>
    </row>
    <row r="4" spans="1:7" ht="45">
      <c r="A4" s="1">
        <v>45244</v>
      </c>
      <c r="B4" t="s">
        <v>409</v>
      </c>
      <c r="C4" t="s">
        <v>410</v>
      </c>
      <c r="D4" s="1">
        <v>45260</v>
      </c>
      <c r="E4" t="s">
        <v>405</v>
      </c>
      <c r="F4" s="78" t="s">
        <v>411</v>
      </c>
    </row>
    <row r="5" spans="1:7">
      <c r="A5" s="1">
        <v>45244</v>
      </c>
      <c r="B5" t="s">
        <v>412</v>
      </c>
      <c r="C5" t="s">
        <v>413</v>
      </c>
      <c r="D5" s="1">
        <v>45260</v>
      </c>
      <c r="E5" t="s">
        <v>405</v>
      </c>
      <c r="F5" s="78" t="s">
        <v>414</v>
      </c>
      <c r="G5" t="s">
        <v>415</v>
      </c>
    </row>
    <row r="6" spans="1:7">
      <c r="A6" s="1">
        <v>45244</v>
      </c>
      <c r="B6" t="s">
        <v>416</v>
      </c>
      <c r="C6" t="s">
        <v>417</v>
      </c>
      <c r="D6" s="1">
        <v>45260</v>
      </c>
      <c r="E6" t="s">
        <v>405</v>
      </c>
    </row>
    <row r="7" spans="1:7">
      <c r="A7" s="1">
        <v>45244</v>
      </c>
      <c r="B7" t="s">
        <v>418</v>
      </c>
      <c r="C7" t="s">
        <v>417</v>
      </c>
      <c r="D7" s="1">
        <v>45275</v>
      </c>
      <c r="E7" t="s">
        <v>405</v>
      </c>
      <c r="F7" s="78" t="s">
        <v>419</v>
      </c>
    </row>
    <row r="8" spans="1:7" ht="30">
      <c r="A8" s="1">
        <v>45261</v>
      </c>
      <c r="B8" s="78" t="s">
        <v>420</v>
      </c>
      <c r="C8" t="s">
        <v>421</v>
      </c>
      <c r="D8" s="1">
        <v>45282</v>
      </c>
      <c r="E8" t="s">
        <v>405</v>
      </c>
      <c r="F8" s="78" t="s">
        <v>422</v>
      </c>
    </row>
    <row r="9" spans="1:7">
      <c r="A9" s="1">
        <v>45261</v>
      </c>
      <c r="B9" t="s">
        <v>423</v>
      </c>
      <c r="C9" t="s">
        <v>424</v>
      </c>
      <c r="D9" s="1">
        <v>45268</v>
      </c>
      <c r="E9" t="s">
        <v>405</v>
      </c>
      <c r="F9" s="78" t="s">
        <v>425</v>
      </c>
    </row>
    <row r="10" spans="1:7">
      <c r="A10" s="1">
        <v>45264</v>
      </c>
      <c r="B10" t="s">
        <v>426</v>
      </c>
      <c r="C10" t="s">
        <v>424</v>
      </c>
      <c r="D10" s="1">
        <v>45268</v>
      </c>
      <c r="E10" t="s">
        <v>405</v>
      </c>
    </row>
    <row r="11" spans="1:7" ht="30">
      <c r="A11" s="1">
        <v>45264</v>
      </c>
      <c r="B11" s="78" t="s">
        <v>427</v>
      </c>
      <c r="C11" t="s">
        <v>417</v>
      </c>
      <c r="D11" s="1">
        <v>45268</v>
      </c>
      <c r="E11" t="s">
        <v>405</v>
      </c>
    </row>
    <row r="12" spans="1:7">
      <c r="A12" s="1">
        <v>45264</v>
      </c>
      <c r="B12" t="s">
        <v>428</v>
      </c>
      <c r="C12" t="s">
        <v>421</v>
      </c>
      <c r="D12" s="1">
        <v>45265</v>
      </c>
      <c r="E12" t="s">
        <v>405</v>
      </c>
    </row>
    <row r="13" spans="1:7" ht="30">
      <c r="A13" s="1">
        <v>45264</v>
      </c>
      <c r="B13" t="s">
        <v>429</v>
      </c>
      <c r="C13" t="s">
        <v>410</v>
      </c>
      <c r="D13" s="1">
        <v>45268</v>
      </c>
      <c r="E13" t="s">
        <v>405</v>
      </c>
      <c r="F13" s="78" t="s">
        <v>430</v>
      </c>
    </row>
    <row r="14" spans="1:7">
      <c r="A14" s="1">
        <v>45264</v>
      </c>
      <c r="B14" t="s">
        <v>431</v>
      </c>
      <c r="C14" t="s">
        <v>421</v>
      </c>
      <c r="D14" s="1">
        <v>45268</v>
      </c>
      <c r="E14" t="s">
        <v>405</v>
      </c>
      <c r="F14" s="78" t="s">
        <v>432</v>
      </c>
    </row>
    <row r="15" spans="1:7">
      <c r="A15" s="1">
        <v>45265</v>
      </c>
      <c r="B15" t="s">
        <v>433</v>
      </c>
      <c r="C15" t="s">
        <v>88</v>
      </c>
      <c r="D15" t="s">
        <v>88</v>
      </c>
      <c r="E15" t="s">
        <v>88</v>
      </c>
    </row>
    <row r="16" spans="1:7">
      <c r="A16" s="1">
        <v>45266</v>
      </c>
      <c r="B16" t="s">
        <v>434</v>
      </c>
      <c r="C16" t="s">
        <v>410</v>
      </c>
      <c r="D16" s="1">
        <v>45268</v>
      </c>
      <c r="E16" t="s">
        <v>405</v>
      </c>
    </row>
    <row r="17" spans="1:6">
      <c r="A17" s="1">
        <v>45266</v>
      </c>
      <c r="B17" t="s">
        <v>435</v>
      </c>
      <c r="C17" t="s">
        <v>421</v>
      </c>
      <c r="D17" s="1">
        <v>45268</v>
      </c>
      <c r="E17" t="s">
        <v>405</v>
      </c>
      <c r="F17" s="78" t="s">
        <v>436</v>
      </c>
    </row>
    <row r="18" spans="1:6">
      <c r="A18" s="1">
        <v>45266</v>
      </c>
      <c r="B18" t="s">
        <v>437</v>
      </c>
      <c r="C18" t="s">
        <v>413</v>
      </c>
      <c r="D18" s="1">
        <v>45268</v>
      </c>
      <c r="E18" t="s">
        <v>405</v>
      </c>
      <c r="F18" s="78" t="s">
        <v>436</v>
      </c>
    </row>
    <row r="19" spans="1:6">
      <c r="A19" s="1">
        <v>45266</v>
      </c>
      <c r="B19" t="s">
        <v>438</v>
      </c>
      <c r="C19" t="s">
        <v>410</v>
      </c>
      <c r="D19" s="1">
        <v>45275</v>
      </c>
      <c r="E19" t="s">
        <v>405</v>
      </c>
      <c r="F19" s="78" t="s">
        <v>439</v>
      </c>
    </row>
    <row r="20" spans="1:6" ht="75">
      <c r="A20" s="1">
        <v>45267</v>
      </c>
      <c r="B20" t="s">
        <v>440</v>
      </c>
      <c r="C20" t="s">
        <v>441</v>
      </c>
      <c r="D20" s="1">
        <v>45351</v>
      </c>
      <c r="E20" t="s">
        <v>405</v>
      </c>
      <c r="F20" s="78" t="s">
        <v>442</v>
      </c>
    </row>
    <row r="21" spans="1:6">
      <c r="A21" s="1">
        <v>45268</v>
      </c>
      <c r="B21" t="s">
        <v>443</v>
      </c>
      <c r="C21" t="s">
        <v>88</v>
      </c>
      <c r="D21" t="s">
        <v>88</v>
      </c>
      <c r="E21" t="s">
        <v>88</v>
      </c>
      <c r="F21" s="78" t="s">
        <v>88</v>
      </c>
    </row>
    <row r="22" spans="1:6" ht="30">
      <c r="A22" s="1">
        <v>45271</v>
      </c>
      <c r="B22" s="78" t="s">
        <v>444</v>
      </c>
      <c r="C22" t="s">
        <v>88</v>
      </c>
      <c r="D22" t="s">
        <v>88</v>
      </c>
      <c r="E22" t="s">
        <v>88</v>
      </c>
      <c r="F22" s="78" t="s">
        <v>445</v>
      </c>
    </row>
    <row r="23" spans="1:6">
      <c r="A23" s="1">
        <v>45272</v>
      </c>
      <c r="B23" t="s">
        <v>446</v>
      </c>
      <c r="C23" t="s">
        <v>410</v>
      </c>
      <c r="D23" s="1">
        <v>45282</v>
      </c>
      <c r="E23" t="s">
        <v>405</v>
      </c>
      <c r="F23" s="78" t="s">
        <v>447</v>
      </c>
    </row>
    <row r="24" spans="1:6" ht="30">
      <c r="A24" s="1">
        <v>45272</v>
      </c>
      <c r="B24" t="s">
        <v>448</v>
      </c>
      <c r="C24" t="s">
        <v>410</v>
      </c>
      <c r="D24" s="1">
        <v>45275</v>
      </c>
      <c r="E24" t="s">
        <v>405</v>
      </c>
      <c r="F24" s="78" t="s">
        <v>449</v>
      </c>
    </row>
    <row r="25" spans="1:6">
      <c r="A25" s="1">
        <v>45272</v>
      </c>
      <c r="B25" t="s">
        <v>450</v>
      </c>
      <c r="C25" t="s">
        <v>88</v>
      </c>
      <c r="D25" t="s">
        <v>88</v>
      </c>
      <c r="E25" t="s">
        <v>88</v>
      </c>
    </row>
    <row r="26" spans="1:6">
      <c r="A26" s="1">
        <v>45273</v>
      </c>
      <c r="B26" t="s">
        <v>451</v>
      </c>
      <c r="C26" t="s">
        <v>424</v>
      </c>
      <c r="D26" s="1">
        <v>45275</v>
      </c>
      <c r="E26" t="s">
        <v>405</v>
      </c>
      <c r="F26" s="78" t="s">
        <v>452</v>
      </c>
    </row>
    <row r="27" spans="1:6">
      <c r="A27" s="1">
        <v>45273</v>
      </c>
      <c r="B27" t="s">
        <v>453</v>
      </c>
      <c r="C27" t="s">
        <v>407</v>
      </c>
      <c r="D27" s="1">
        <v>45322</v>
      </c>
      <c r="E27" t="s">
        <v>405</v>
      </c>
      <c r="F27" s="78" t="s">
        <v>454</v>
      </c>
    </row>
    <row r="28" spans="1:6" ht="45">
      <c r="A28" s="1">
        <v>45274</v>
      </c>
      <c r="B28" t="s">
        <v>455</v>
      </c>
      <c r="C28" t="s">
        <v>410</v>
      </c>
      <c r="D28" s="1">
        <v>45275</v>
      </c>
      <c r="E28" t="s">
        <v>405</v>
      </c>
      <c r="F28" s="496" t="s">
        <v>456</v>
      </c>
    </row>
    <row r="29" spans="1:6">
      <c r="A29" s="1">
        <v>45274</v>
      </c>
      <c r="B29" t="s">
        <v>457</v>
      </c>
      <c r="C29" t="s">
        <v>421</v>
      </c>
      <c r="D29" s="1">
        <v>45281</v>
      </c>
      <c r="E29" t="s">
        <v>405</v>
      </c>
      <c r="F29" s="78" t="s">
        <v>458</v>
      </c>
    </row>
    <row r="30" spans="1:6">
      <c r="A30" s="1">
        <v>45274</v>
      </c>
      <c r="B30" t="s">
        <v>459</v>
      </c>
      <c r="C30" t="s">
        <v>88</v>
      </c>
      <c r="D30" t="s">
        <v>88</v>
      </c>
      <c r="E30" t="s">
        <v>88</v>
      </c>
    </row>
    <row r="31" spans="1:6" ht="30">
      <c r="A31" s="1">
        <v>45275</v>
      </c>
      <c r="B31" s="78" t="s">
        <v>460</v>
      </c>
      <c r="C31" t="s">
        <v>421</v>
      </c>
      <c r="D31" s="1">
        <v>45306</v>
      </c>
      <c r="E31" t="s">
        <v>405</v>
      </c>
      <c r="F31" s="78" t="s">
        <v>461</v>
      </c>
    </row>
    <row r="32" spans="1:6" ht="45">
      <c r="A32" s="1">
        <v>45299</v>
      </c>
      <c r="B32" t="s">
        <v>462</v>
      </c>
      <c r="C32" t="s">
        <v>410</v>
      </c>
      <c r="D32" s="1">
        <v>45322</v>
      </c>
      <c r="E32" t="s">
        <v>463</v>
      </c>
      <c r="F32" s="78" t="s">
        <v>464</v>
      </c>
    </row>
    <row r="33" spans="1:6" ht="105">
      <c r="A33" s="1">
        <v>45299</v>
      </c>
      <c r="B33" t="s">
        <v>465</v>
      </c>
      <c r="C33" t="s">
        <v>410</v>
      </c>
      <c r="D33" s="1">
        <v>45322</v>
      </c>
      <c r="E33" t="s">
        <v>405</v>
      </c>
      <c r="F33" s="496" t="s">
        <v>466</v>
      </c>
    </row>
    <row r="34" spans="1:6">
      <c r="A34" s="1">
        <v>45299</v>
      </c>
      <c r="B34" t="s">
        <v>467</v>
      </c>
      <c r="C34" t="s">
        <v>410</v>
      </c>
      <c r="D34" s="1">
        <v>45322</v>
      </c>
      <c r="E34" t="s">
        <v>405</v>
      </c>
      <c r="F34" s="496" t="s">
        <v>468</v>
      </c>
    </row>
    <row r="35" spans="1:6">
      <c r="A35" s="1">
        <v>45299</v>
      </c>
      <c r="B35" t="s">
        <v>469</v>
      </c>
      <c r="C35" t="s">
        <v>417</v>
      </c>
      <c r="D35" s="1">
        <v>45322</v>
      </c>
      <c r="E35" t="s">
        <v>405</v>
      </c>
      <c r="F35" s="78" t="s">
        <v>470</v>
      </c>
    </row>
    <row r="36" spans="1:6" ht="30">
      <c r="A36" s="1">
        <v>45300</v>
      </c>
      <c r="B36" t="s">
        <v>471</v>
      </c>
      <c r="C36" t="s">
        <v>410</v>
      </c>
      <c r="D36" s="1">
        <v>45303</v>
      </c>
      <c r="E36" t="s">
        <v>405</v>
      </c>
      <c r="F36" s="78" t="s">
        <v>472</v>
      </c>
    </row>
    <row r="37" spans="1:6">
      <c r="A37" s="1">
        <v>45301</v>
      </c>
      <c r="B37" t="s">
        <v>473</v>
      </c>
      <c r="C37" t="s">
        <v>407</v>
      </c>
      <c r="D37" s="1">
        <v>45301</v>
      </c>
      <c r="E37" t="s">
        <v>405</v>
      </c>
      <c r="F37" s="78" t="s">
        <v>474</v>
      </c>
    </row>
    <row r="38" spans="1:6" ht="30">
      <c r="A38" s="1">
        <v>45301</v>
      </c>
      <c r="B38" t="s">
        <v>475</v>
      </c>
      <c r="C38" t="s">
        <v>410</v>
      </c>
      <c r="D38" s="1">
        <v>45301</v>
      </c>
      <c r="E38" t="s">
        <v>405</v>
      </c>
      <c r="F38" s="78" t="s">
        <v>476</v>
      </c>
    </row>
    <row r="39" spans="1:6">
      <c r="A39" s="1">
        <v>45301</v>
      </c>
      <c r="B39" t="s">
        <v>477</v>
      </c>
      <c r="C39" t="s">
        <v>478</v>
      </c>
      <c r="D39" s="1">
        <v>45322</v>
      </c>
      <c r="E39" t="s">
        <v>405</v>
      </c>
    </row>
    <row r="40" spans="1:6">
      <c r="A40" s="1">
        <v>45302</v>
      </c>
      <c r="B40" t="s">
        <v>479</v>
      </c>
      <c r="C40" t="s">
        <v>410</v>
      </c>
      <c r="D40" s="1">
        <v>45302</v>
      </c>
      <c r="E40" t="s">
        <v>405</v>
      </c>
      <c r="F40" s="78" t="s">
        <v>480</v>
      </c>
    </row>
    <row r="41" spans="1:6">
      <c r="A41" s="1">
        <v>45302</v>
      </c>
      <c r="B41" t="s">
        <v>481</v>
      </c>
      <c r="C41" t="s">
        <v>424</v>
      </c>
      <c r="D41" s="1">
        <v>45322</v>
      </c>
      <c r="E41" t="s">
        <v>405</v>
      </c>
      <c r="F41" s="78" t="s">
        <v>482</v>
      </c>
    </row>
    <row r="42" spans="1:6" ht="30">
      <c r="A42" s="1">
        <v>45302</v>
      </c>
      <c r="B42" t="s">
        <v>483</v>
      </c>
      <c r="C42" t="s">
        <v>413</v>
      </c>
      <c r="D42" s="1">
        <v>45322</v>
      </c>
      <c r="E42" t="s">
        <v>405</v>
      </c>
      <c r="F42" s="78" t="s">
        <v>484</v>
      </c>
    </row>
    <row r="43" spans="1:6" ht="30">
      <c r="A43" s="1">
        <v>45302</v>
      </c>
      <c r="B43" t="s">
        <v>485</v>
      </c>
      <c r="C43" t="s">
        <v>424</v>
      </c>
      <c r="D43" s="1">
        <v>45322</v>
      </c>
      <c r="E43" t="s">
        <v>405</v>
      </c>
      <c r="F43" s="78" t="s">
        <v>486</v>
      </c>
    </row>
    <row r="44" spans="1:6" ht="30">
      <c r="A44" s="1">
        <v>45303</v>
      </c>
      <c r="B44" t="s">
        <v>487</v>
      </c>
      <c r="C44" t="s">
        <v>413</v>
      </c>
      <c r="D44" s="1">
        <v>45322</v>
      </c>
      <c r="E44" t="s">
        <v>405</v>
      </c>
      <c r="F44" s="78" t="s">
        <v>484</v>
      </c>
    </row>
    <row r="45" spans="1:6">
      <c r="A45" s="1">
        <v>45303</v>
      </c>
      <c r="B45" t="s">
        <v>488</v>
      </c>
      <c r="C45" t="s">
        <v>489</v>
      </c>
      <c r="D45" s="1">
        <v>45322</v>
      </c>
      <c r="E45" t="s">
        <v>405</v>
      </c>
      <c r="F45" s="78" t="s">
        <v>490</v>
      </c>
    </row>
    <row r="46" spans="1:6">
      <c r="A46" s="1">
        <v>45306</v>
      </c>
      <c r="B46" t="s">
        <v>491</v>
      </c>
      <c r="C46" t="s">
        <v>410</v>
      </c>
      <c r="D46" s="1">
        <v>45310</v>
      </c>
      <c r="E46" t="s">
        <v>405</v>
      </c>
      <c r="F46" s="78" t="s">
        <v>492</v>
      </c>
    </row>
    <row r="47" spans="1:6">
      <c r="A47" s="1">
        <v>45307</v>
      </c>
      <c r="B47" t="s">
        <v>493</v>
      </c>
      <c r="C47" t="s">
        <v>410</v>
      </c>
      <c r="D47" s="1">
        <v>45310</v>
      </c>
      <c r="E47" t="s">
        <v>405</v>
      </c>
      <c r="F47" s="78" t="s">
        <v>494</v>
      </c>
    </row>
    <row r="48" spans="1:6">
      <c r="A48" s="1">
        <v>45308</v>
      </c>
      <c r="B48" t="s">
        <v>495</v>
      </c>
      <c r="C48" t="s">
        <v>424</v>
      </c>
      <c r="D48" s="1">
        <v>45308</v>
      </c>
      <c r="E48" t="s">
        <v>405</v>
      </c>
      <c r="F48" s="78" t="s">
        <v>496</v>
      </c>
    </row>
    <row r="49" spans="1:6">
      <c r="A49" s="1">
        <v>45308</v>
      </c>
      <c r="B49" t="s">
        <v>497</v>
      </c>
      <c r="C49" t="s">
        <v>421</v>
      </c>
      <c r="D49" s="1">
        <v>45382</v>
      </c>
      <c r="E49" t="s">
        <v>405</v>
      </c>
      <c r="F49" s="78" t="s">
        <v>498</v>
      </c>
    </row>
    <row r="50" spans="1:6" ht="30">
      <c r="A50" s="1">
        <v>45308</v>
      </c>
      <c r="B50" t="s">
        <v>499</v>
      </c>
      <c r="C50" t="s">
        <v>424</v>
      </c>
      <c r="D50" s="1">
        <v>45310</v>
      </c>
      <c r="E50" t="s">
        <v>405</v>
      </c>
      <c r="F50" s="78" t="s">
        <v>500</v>
      </c>
    </row>
    <row r="51" spans="1:6" ht="30">
      <c r="A51" s="1">
        <v>45309</v>
      </c>
      <c r="B51" t="s">
        <v>501</v>
      </c>
      <c r="C51" t="s">
        <v>407</v>
      </c>
      <c r="D51" s="1">
        <v>45351</v>
      </c>
      <c r="E51" t="s">
        <v>405</v>
      </c>
      <c r="F51" s="78" t="s">
        <v>502</v>
      </c>
    </row>
    <row r="52" spans="1:6" ht="45">
      <c r="A52" s="1">
        <v>45309</v>
      </c>
      <c r="B52" t="s">
        <v>503</v>
      </c>
      <c r="C52" t="s">
        <v>407</v>
      </c>
      <c r="D52" s="1">
        <v>45316</v>
      </c>
      <c r="E52" t="s">
        <v>405</v>
      </c>
      <c r="F52" s="78" t="s">
        <v>504</v>
      </c>
    </row>
    <row r="53" spans="1:6">
      <c r="A53" s="1">
        <v>45309</v>
      </c>
      <c r="B53" t="s">
        <v>505</v>
      </c>
      <c r="C53" t="s">
        <v>424</v>
      </c>
      <c r="D53" s="1">
        <v>45310</v>
      </c>
      <c r="E53" t="s">
        <v>405</v>
      </c>
      <c r="F53" s="78" t="s">
        <v>506</v>
      </c>
    </row>
    <row r="54" spans="1:6" ht="30">
      <c r="A54" s="1">
        <v>45309</v>
      </c>
      <c r="B54" s="78" t="s">
        <v>507</v>
      </c>
      <c r="C54" t="s">
        <v>410</v>
      </c>
      <c r="D54" s="1">
        <v>45322</v>
      </c>
      <c r="E54" t="s">
        <v>405</v>
      </c>
      <c r="F54" s="78" t="s">
        <v>508</v>
      </c>
    </row>
    <row r="55" spans="1:6" ht="30">
      <c r="A55" s="1">
        <v>45309</v>
      </c>
      <c r="B55" t="s">
        <v>509</v>
      </c>
      <c r="C55" t="s">
        <v>410</v>
      </c>
      <c r="D55" s="1">
        <v>45310</v>
      </c>
      <c r="E55" t="s">
        <v>405</v>
      </c>
      <c r="F55" s="78" t="s">
        <v>510</v>
      </c>
    </row>
    <row r="56" spans="1:6">
      <c r="A56" s="1">
        <v>45310</v>
      </c>
      <c r="B56" t="s">
        <v>511</v>
      </c>
      <c r="C56" t="s">
        <v>424</v>
      </c>
      <c r="D56" s="1">
        <v>45377</v>
      </c>
      <c r="E56" t="s">
        <v>405</v>
      </c>
      <c r="F56" s="78" t="s">
        <v>512</v>
      </c>
    </row>
    <row r="57" spans="1:6">
      <c r="A57" s="1">
        <v>45313</v>
      </c>
      <c r="B57" t="s">
        <v>513</v>
      </c>
      <c r="C57" t="s">
        <v>407</v>
      </c>
      <c r="D57" s="1">
        <v>45313</v>
      </c>
      <c r="E57" t="s">
        <v>405</v>
      </c>
      <c r="F57" s="78" t="s">
        <v>514</v>
      </c>
    </row>
    <row r="58" spans="1:6">
      <c r="A58" s="1">
        <v>45314</v>
      </c>
      <c r="B58" t="s">
        <v>515</v>
      </c>
      <c r="C58" t="s">
        <v>413</v>
      </c>
      <c r="D58" s="1">
        <v>45314</v>
      </c>
      <c r="E58" t="s">
        <v>405</v>
      </c>
      <c r="F58" s="78" t="s">
        <v>516</v>
      </c>
    </row>
    <row r="59" spans="1:6">
      <c r="A59" s="1">
        <v>45315</v>
      </c>
      <c r="B59" t="s">
        <v>517</v>
      </c>
      <c r="C59" t="s">
        <v>407</v>
      </c>
      <c r="D59" s="1">
        <v>45315</v>
      </c>
      <c r="E59" t="s">
        <v>405</v>
      </c>
      <c r="F59" s="78" t="s">
        <v>518</v>
      </c>
    </row>
    <row r="60" spans="1:6">
      <c r="A60" s="1">
        <v>45316</v>
      </c>
      <c r="B60" t="s">
        <v>519</v>
      </c>
      <c r="C60" t="s">
        <v>407</v>
      </c>
      <c r="D60" s="1">
        <v>45316</v>
      </c>
      <c r="E60" t="s">
        <v>405</v>
      </c>
    </row>
    <row r="61" spans="1:6">
      <c r="A61" s="1">
        <v>45316</v>
      </c>
      <c r="B61" t="s">
        <v>520</v>
      </c>
      <c r="C61" t="s">
        <v>424</v>
      </c>
      <c r="D61" s="1">
        <v>45322</v>
      </c>
      <c r="E61" t="s">
        <v>405</v>
      </c>
      <c r="F61" s="78" t="s">
        <v>521</v>
      </c>
    </row>
    <row r="62" spans="1:6">
      <c r="A62" s="1">
        <v>45316</v>
      </c>
      <c r="B62" t="s">
        <v>522</v>
      </c>
      <c r="C62" t="s">
        <v>407</v>
      </c>
      <c r="D62" s="1">
        <v>45322</v>
      </c>
      <c r="E62" t="s">
        <v>405</v>
      </c>
      <c r="F62" s="78" t="s">
        <v>523</v>
      </c>
    </row>
    <row r="63" spans="1:6" ht="30">
      <c r="A63" s="1">
        <v>45316</v>
      </c>
      <c r="B63" s="78" t="s">
        <v>524</v>
      </c>
      <c r="C63" t="s">
        <v>525</v>
      </c>
      <c r="D63" s="1">
        <v>45322</v>
      </c>
      <c r="E63" t="s">
        <v>405</v>
      </c>
      <c r="F63" s="78" t="s">
        <v>526</v>
      </c>
    </row>
    <row r="64" spans="1:6">
      <c r="A64" s="1">
        <v>45317</v>
      </c>
      <c r="B64" t="s">
        <v>527</v>
      </c>
      <c r="D64" s="1">
        <v>45317</v>
      </c>
      <c r="E64" t="s">
        <v>405</v>
      </c>
    </row>
    <row r="65" spans="1:6">
      <c r="A65" s="1">
        <v>45317</v>
      </c>
      <c r="B65" t="s">
        <v>528</v>
      </c>
      <c r="C65" t="s">
        <v>407</v>
      </c>
      <c r="D65" s="1">
        <v>45318</v>
      </c>
      <c r="E65" t="s">
        <v>405</v>
      </c>
      <c r="F65" s="78" t="s">
        <v>529</v>
      </c>
    </row>
    <row r="66" spans="1:6">
      <c r="A66" s="1">
        <v>45317</v>
      </c>
      <c r="B66" t="s">
        <v>530</v>
      </c>
      <c r="C66" t="s">
        <v>424</v>
      </c>
      <c r="D66" s="1">
        <v>45317</v>
      </c>
      <c r="E66" t="s">
        <v>405</v>
      </c>
      <c r="F66" s="78" t="s">
        <v>531</v>
      </c>
    </row>
    <row r="67" spans="1:6">
      <c r="A67" s="1">
        <v>45317</v>
      </c>
      <c r="B67" t="s">
        <v>532</v>
      </c>
      <c r="C67" t="s">
        <v>410</v>
      </c>
      <c r="D67" s="1">
        <v>45322</v>
      </c>
      <c r="E67" t="s">
        <v>405</v>
      </c>
      <c r="F67" s="78" t="s">
        <v>533</v>
      </c>
    </row>
    <row r="68" spans="1:6" ht="30">
      <c r="A68" s="1">
        <v>45317</v>
      </c>
      <c r="B68" t="s">
        <v>534</v>
      </c>
      <c r="C68" t="s">
        <v>407</v>
      </c>
      <c r="D68" s="1">
        <v>45317</v>
      </c>
      <c r="E68" t="s">
        <v>405</v>
      </c>
      <c r="F68" s="78" t="s">
        <v>535</v>
      </c>
    </row>
    <row r="69" spans="1:6">
      <c r="A69" s="1">
        <v>45317</v>
      </c>
      <c r="B69" t="s">
        <v>536</v>
      </c>
      <c r="C69" t="s">
        <v>421</v>
      </c>
      <c r="D69" s="1">
        <v>45322</v>
      </c>
      <c r="E69" t="s">
        <v>405</v>
      </c>
      <c r="F69" s="78" t="s">
        <v>537</v>
      </c>
    </row>
    <row r="70" spans="1:6">
      <c r="A70" s="1">
        <v>45321</v>
      </c>
      <c r="B70" t="s">
        <v>538</v>
      </c>
      <c r="D70" s="1">
        <v>45321</v>
      </c>
      <c r="E70" t="s">
        <v>405</v>
      </c>
    </row>
    <row r="71" spans="1:6">
      <c r="A71" s="1">
        <v>45322</v>
      </c>
      <c r="B71" t="s">
        <v>539</v>
      </c>
      <c r="C71" t="s">
        <v>424</v>
      </c>
      <c r="D71" s="1">
        <v>45331</v>
      </c>
      <c r="E71" t="s">
        <v>405</v>
      </c>
      <c r="F71" s="78" t="s">
        <v>540</v>
      </c>
    </row>
    <row r="72" spans="1:6" ht="30">
      <c r="A72" s="1">
        <v>45327</v>
      </c>
      <c r="B72" t="s">
        <v>541</v>
      </c>
      <c r="C72" t="s">
        <v>424</v>
      </c>
      <c r="D72" s="1">
        <v>45331</v>
      </c>
      <c r="E72" t="s">
        <v>405</v>
      </c>
      <c r="F72" s="78" t="s">
        <v>542</v>
      </c>
    </row>
    <row r="73" spans="1:6">
      <c r="A73" s="1">
        <v>45327</v>
      </c>
      <c r="B73" t="s">
        <v>543</v>
      </c>
      <c r="C73" t="s">
        <v>424</v>
      </c>
      <c r="D73" s="1">
        <v>45331</v>
      </c>
      <c r="E73" t="s">
        <v>405</v>
      </c>
      <c r="F73" s="78" t="s">
        <v>544</v>
      </c>
    </row>
    <row r="74" spans="1:6">
      <c r="A74" s="1">
        <v>45327</v>
      </c>
      <c r="B74" t="s">
        <v>545</v>
      </c>
      <c r="C74" t="s">
        <v>407</v>
      </c>
      <c r="D74" s="1">
        <v>45331</v>
      </c>
      <c r="E74" t="s">
        <v>405</v>
      </c>
      <c r="F74" s="78" t="s">
        <v>546</v>
      </c>
    </row>
    <row r="75" spans="1:6">
      <c r="A75" s="1">
        <v>45328</v>
      </c>
      <c r="B75" t="s">
        <v>547</v>
      </c>
      <c r="C75" t="s">
        <v>548</v>
      </c>
      <c r="D75" s="1">
        <v>45331</v>
      </c>
      <c r="E75" t="s">
        <v>405</v>
      </c>
      <c r="F75" s="78" t="s">
        <v>549</v>
      </c>
    </row>
    <row r="76" spans="1:6">
      <c r="A76" s="1">
        <v>45329</v>
      </c>
      <c r="B76" t="s">
        <v>550</v>
      </c>
      <c r="C76" t="s">
        <v>421</v>
      </c>
      <c r="D76" s="1">
        <v>45329</v>
      </c>
      <c r="E76" t="s">
        <v>405</v>
      </c>
    </row>
    <row r="77" spans="1:6">
      <c r="A77" s="1">
        <v>45329</v>
      </c>
      <c r="B77" t="s">
        <v>551</v>
      </c>
      <c r="C77" t="s">
        <v>424</v>
      </c>
      <c r="D77" s="1">
        <v>45351</v>
      </c>
      <c r="E77" t="s">
        <v>405</v>
      </c>
      <c r="F77" s="78" t="s">
        <v>552</v>
      </c>
    </row>
    <row r="78" spans="1:6" ht="30">
      <c r="A78" s="1">
        <v>45331</v>
      </c>
      <c r="B78" t="s">
        <v>553</v>
      </c>
      <c r="C78" t="s">
        <v>478</v>
      </c>
      <c r="D78" s="1">
        <v>45382</v>
      </c>
      <c r="E78" t="s">
        <v>405</v>
      </c>
      <c r="F78" s="78" t="s">
        <v>554</v>
      </c>
    </row>
    <row r="79" spans="1:6" ht="108" customHeight="1">
      <c r="A79" s="1">
        <v>45331</v>
      </c>
      <c r="B79" t="s">
        <v>555</v>
      </c>
      <c r="C79" t="s">
        <v>410</v>
      </c>
      <c r="D79" s="1">
        <v>45335</v>
      </c>
      <c r="E79" t="s">
        <v>405</v>
      </c>
      <c r="F79" s="78" t="s">
        <v>556</v>
      </c>
    </row>
    <row r="80" spans="1:6">
      <c r="A80" s="1">
        <v>45331</v>
      </c>
      <c r="B80" t="s">
        <v>557</v>
      </c>
      <c r="C80" t="s">
        <v>410</v>
      </c>
      <c r="D80" s="1">
        <v>45331</v>
      </c>
      <c r="E80" t="s">
        <v>405</v>
      </c>
      <c r="F80" s="78" t="s">
        <v>558</v>
      </c>
    </row>
    <row r="81" spans="1:6">
      <c r="A81" s="1">
        <v>45334</v>
      </c>
      <c r="B81" t="s">
        <v>559</v>
      </c>
      <c r="C81" t="s">
        <v>548</v>
      </c>
      <c r="D81" s="1">
        <v>45334</v>
      </c>
      <c r="E81" t="s">
        <v>405</v>
      </c>
      <c r="F81" s="78" t="s">
        <v>560</v>
      </c>
    </row>
    <row r="82" spans="1:6">
      <c r="A82" s="1">
        <v>45335</v>
      </c>
      <c r="B82" t="s">
        <v>561</v>
      </c>
      <c r="C82" t="s">
        <v>88</v>
      </c>
      <c r="D82" t="s">
        <v>88</v>
      </c>
      <c r="E82" t="s">
        <v>88</v>
      </c>
    </row>
    <row r="83" spans="1:6">
      <c r="A83" s="1">
        <v>45336</v>
      </c>
      <c r="B83" t="s">
        <v>561</v>
      </c>
      <c r="C83" t="s">
        <v>88</v>
      </c>
      <c r="D83" t="s">
        <v>88</v>
      </c>
      <c r="E83" t="s">
        <v>88</v>
      </c>
    </row>
    <row r="84" spans="1:6">
      <c r="A84" s="1">
        <v>45337</v>
      </c>
      <c r="B84" t="s">
        <v>562</v>
      </c>
      <c r="C84" t="s">
        <v>478</v>
      </c>
      <c r="D84" s="1">
        <v>45337</v>
      </c>
      <c r="E84" t="s">
        <v>405</v>
      </c>
    </row>
    <row r="85" spans="1:6">
      <c r="A85" s="1">
        <v>45337</v>
      </c>
      <c r="B85" t="s">
        <v>563</v>
      </c>
      <c r="C85" t="s">
        <v>421</v>
      </c>
      <c r="D85" s="1">
        <v>45337</v>
      </c>
      <c r="E85" t="s">
        <v>405</v>
      </c>
    </row>
    <row r="86" spans="1:6">
      <c r="A86" s="1">
        <v>45337</v>
      </c>
      <c r="B86" t="s">
        <v>564</v>
      </c>
      <c r="C86" t="s">
        <v>548</v>
      </c>
      <c r="D86" s="1">
        <v>45345</v>
      </c>
      <c r="E86" t="s">
        <v>405</v>
      </c>
      <c r="F86" s="78" t="s">
        <v>565</v>
      </c>
    </row>
    <row r="87" spans="1:6">
      <c r="A87" s="1">
        <v>45338</v>
      </c>
      <c r="B87" t="s">
        <v>566</v>
      </c>
      <c r="C87" t="s">
        <v>88</v>
      </c>
      <c r="D87" s="1">
        <v>45338</v>
      </c>
      <c r="E87" t="s">
        <v>405</v>
      </c>
    </row>
    <row r="88" spans="1:6">
      <c r="A88" s="1">
        <v>45341</v>
      </c>
      <c r="B88" t="s">
        <v>561</v>
      </c>
      <c r="C88" t="s">
        <v>88</v>
      </c>
      <c r="D88" t="s">
        <v>88</v>
      </c>
      <c r="E88" t="s">
        <v>88</v>
      </c>
    </row>
    <row r="89" spans="1:6" ht="53.45" customHeight="1">
      <c r="A89" s="1">
        <v>45343</v>
      </c>
      <c r="B89" t="s">
        <v>567</v>
      </c>
      <c r="C89" t="s">
        <v>421</v>
      </c>
      <c r="D89" s="1">
        <v>45345</v>
      </c>
      <c r="E89" t="s">
        <v>405</v>
      </c>
      <c r="F89" s="78" t="s">
        <v>568</v>
      </c>
    </row>
    <row r="90" spans="1:6">
      <c r="A90" s="1">
        <v>45344</v>
      </c>
      <c r="B90" t="s">
        <v>569</v>
      </c>
      <c r="C90" t="s">
        <v>421</v>
      </c>
      <c r="D90" s="1">
        <v>45344</v>
      </c>
      <c r="E90" t="s">
        <v>405</v>
      </c>
    </row>
    <row r="91" spans="1:6">
      <c r="A91" s="1">
        <v>45345</v>
      </c>
      <c r="B91" t="s">
        <v>570</v>
      </c>
      <c r="C91" t="s">
        <v>88</v>
      </c>
      <c r="D91" t="s">
        <v>88</v>
      </c>
      <c r="E91" t="s">
        <v>88</v>
      </c>
    </row>
    <row r="92" spans="1:6">
      <c r="A92" s="1">
        <v>45348</v>
      </c>
      <c r="B92" t="s">
        <v>571</v>
      </c>
      <c r="C92" t="s">
        <v>410</v>
      </c>
      <c r="D92" s="1">
        <v>45351</v>
      </c>
      <c r="E92" t="s">
        <v>405</v>
      </c>
      <c r="F92" s="78" t="s">
        <v>572</v>
      </c>
    </row>
    <row r="93" spans="1:6">
      <c r="A93" s="1">
        <v>45348</v>
      </c>
      <c r="B93" t="s">
        <v>573</v>
      </c>
      <c r="C93" t="s">
        <v>410</v>
      </c>
      <c r="D93" s="1">
        <v>45352</v>
      </c>
      <c r="E93" t="s">
        <v>405</v>
      </c>
      <c r="F93" s="78" t="s">
        <v>574</v>
      </c>
    </row>
    <row r="94" spans="1:6">
      <c r="A94" s="1">
        <v>45349</v>
      </c>
      <c r="B94" t="s">
        <v>561</v>
      </c>
      <c r="C94" t="s">
        <v>88</v>
      </c>
      <c r="D94" t="s">
        <v>88</v>
      </c>
      <c r="E94" t="s">
        <v>88</v>
      </c>
    </row>
    <row r="95" spans="1:6">
      <c r="A95" s="1">
        <v>45350</v>
      </c>
      <c r="B95" t="s">
        <v>575</v>
      </c>
      <c r="C95" t="s">
        <v>88</v>
      </c>
      <c r="D95" t="s">
        <v>88</v>
      </c>
      <c r="E95" t="s">
        <v>88</v>
      </c>
    </row>
    <row r="96" spans="1:6">
      <c r="A96" s="1">
        <v>45350</v>
      </c>
      <c r="B96" t="s">
        <v>576</v>
      </c>
      <c r="C96" t="s">
        <v>404</v>
      </c>
      <c r="D96" s="1">
        <v>45350</v>
      </c>
      <c r="E96" t="s">
        <v>405</v>
      </c>
    </row>
    <row r="97" spans="1:6">
      <c r="A97" s="1">
        <v>45351</v>
      </c>
      <c r="B97" t="s">
        <v>577</v>
      </c>
      <c r="C97" t="s">
        <v>421</v>
      </c>
      <c r="D97" s="1">
        <v>45355</v>
      </c>
      <c r="E97" t="s">
        <v>405</v>
      </c>
      <c r="F97" s="78" t="s">
        <v>578</v>
      </c>
    </row>
    <row r="98" spans="1:6">
      <c r="A98" s="1">
        <v>45352</v>
      </c>
      <c r="B98" t="s">
        <v>561</v>
      </c>
      <c r="C98" t="s">
        <v>88</v>
      </c>
      <c r="D98" t="s">
        <v>88</v>
      </c>
      <c r="E98" t="s">
        <v>88</v>
      </c>
    </row>
    <row r="99" spans="1:6" ht="30">
      <c r="A99" s="1">
        <v>45355</v>
      </c>
      <c r="B99" t="s">
        <v>579</v>
      </c>
      <c r="C99" t="s">
        <v>410</v>
      </c>
      <c r="D99" s="1">
        <v>45369</v>
      </c>
      <c r="E99" t="s">
        <v>405</v>
      </c>
      <c r="F99" s="78" t="s">
        <v>580</v>
      </c>
    </row>
    <row r="100" spans="1:6" ht="45">
      <c r="A100" s="1">
        <v>45356</v>
      </c>
      <c r="B100" t="s">
        <v>581</v>
      </c>
      <c r="C100" t="s">
        <v>421</v>
      </c>
      <c r="D100" s="1">
        <v>45365</v>
      </c>
      <c r="E100" t="s">
        <v>463</v>
      </c>
      <c r="F100" s="78" t="s">
        <v>582</v>
      </c>
    </row>
    <row r="101" spans="1:6">
      <c r="A101" s="1">
        <v>45357</v>
      </c>
      <c r="B101" t="s">
        <v>583</v>
      </c>
      <c r="C101" t="s">
        <v>421</v>
      </c>
      <c r="D101" s="1">
        <v>45359</v>
      </c>
      <c r="E101" t="s">
        <v>463</v>
      </c>
    </row>
    <row r="102" spans="1:6">
      <c r="A102" s="1">
        <v>45357</v>
      </c>
      <c r="B102" t="s">
        <v>584</v>
      </c>
      <c r="C102" t="s">
        <v>421</v>
      </c>
      <c r="D102" s="1">
        <v>45359</v>
      </c>
      <c r="E102" t="s">
        <v>463</v>
      </c>
    </row>
    <row r="103" spans="1:6">
      <c r="A103" s="1">
        <v>45357</v>
      </c>
      <c r="B103" t="s">
        <v>585</v>
      </c>
      <c r="C103" t="s">
        <v>421</v>
      </c>
      <c r="D103" s="1">
        <v>45365</v>
      </c>
      <c r="E103" t="s">
        <v>463</v>
      </c>
    </row>
    <row r="104" spans="1:6" ht="30">
      <c r="A104" s="1">
        <v>45357</v>
      </c>
      <c r="B104" t="s">
        <v>586</v>
      </c>
      <c r="C104" t="s">
        <v>410</v>
      </c>
      <c r="D104" s="1">
        <v>45382</v>
      </c>
      <c r="E104" t="s">
        <v>405</v>
      </c>
      <c r="F104" s="78" t="s">
        <v>587</v>
      </c>
    </row>
    <row r="105" spans="1:6">
      <c r="A105" s="1">
        <v>45358</v>
      </c>
      <c r="B105" t="s">
        <v>588</v>
      </c>
      <c r="C105" t="s">
        <v>410</v>
      </c>
      <c r="D105" s="1">
        <v>45382</v>
      </c>
      <c r="E105" t="s">
        <v>463</v>
      </c>
    </row>
    <row r="106" spans="1:6">
      <c r="A106" s="1">
        <v>45359</v>
      </c>
      <c r="B106" t="s">
        <v>561</v>
      </c>
      <c r="C106" t="s">
        <v>88</v>
      </c>
      <c r="D106" t="s">
        <v>88</v>
      </c>
      <c r="E106" t="s">
        <v>88</v>
      </c>
    </row>
    <row r="107" spans="1:6">
      <c r="A107" s="1">
        <v>45362</v>
      </c>
      <c r="B107" t="s">
        <v>561</v>
      </c>
      <c r="C107" t="s">
        <v>88</v>
      </c>
      <c r="D107" t="s">
        <v>88</v>
      </c>
      <c r="E107" t="s">
        <v>88</v>
      </c>
    </row>
    <row r="108" spans="1:6">
      <c r="A108" s="1">
        <v>45363</v>
      </c>
      <c r="B108" t="s">
        <v>589</v>
      </c>
      <c r="C108" t="s">
        <v>590</v>
      </c>
      <c r="D108" s="1">
        <v>45364</v>
      </c>
      <c r="E108" t="s">
        <v>405</v>
      </c>
    </row>
    <row r="109" spans="1:6">
      <c r="A109" s="1">
        <v>45364</v>
      </c>
      <c r="B109" t="s">
        <v>561</v>
      </c>
      <c r="C109" t="s">
        <v>88</v>
      </c>
      <c r="D109" t="s">
        <v>88</v>
      </c>
      <c r="E109" t="s">
        <v>88</v>
      </c>
    </row>
    <row r="110" spans="1:6" ht="30">
      <c r="A110" s="1">
        <v>45365</v>
      </c>
      <c r="B110" s="78" t="s">
        <v>591</v>
      </c>
      <c r="C110" t="s">
        <v>410</v>
      </c>
      <c r="D110" s="1">
        <v>45382</v>
      </c>
      <c r="E110" t="s">
        <v>405</v>
      </c>
      <c r="F110" s="78" t="s">
        <v>592</v>
      </c>
    </row>
    <row r="111" spans="1:6" ht="30">
      <c r="A111" s="1">
        <v>45369</v>
      </c>
      <c r="B111" t="s">
        <v>593</v>
      </c>
      <c r="C111" t="s">
        <v>407</v>
      </c>
      <c r="D111" s="1">
        <v>45372</v>
      </c>
      <c r="E111" t="s">
        <v>405</v>
      </c>
      <c r="F111" s="78" t="s">
        <v>594</v>
      </c>
    </row>
    <row r="112" spans="1:6">
      <c r="A112" s="1">
        <v>45369</v>
      </c>
      <c r="B112" t="s">
        <v>595</v>
      </c>
      <c r="C112" t="s">
        <v>424</v>
      </c>
      <c r="D112" s="1">
        <v>45373</v>
      </c>
      <c r="E112" t="s">
        <v>463</v>
      </c>
      <c r="F112" s="78" t="s">
        <v>596</v>
      </c>
    </row>
    <row r="113" spans="1:6">
      <c r="A113" s="1">
        <v>45370</v>
      </c>
      <c r="B113" t="s">
        <v>597</v>
      </c>
      <c r="C113" t="s">
        <v>421</v>
      </c>
      <c r="D113" s="1">
        <v>45384</v>
      </c>
      <c r="E113" t="s">
        <v>405</v>
      </c>
      <c r="F113" s="78" t="s">
        <v>598</v>
      </c>
    </row>
    <row r="114" spans="1:6">
      <c r="A114" s="1">
        <v>45370</v>
      </c>
      <c r="B114" t="s">
        <v>599</v>
      </c>
      <c r="C114" t="s">
        <v>421</v>
      </c>
      <c r="D114" s="1">
        <v>45384</v>
      </c>
      <c r="E114" t="s">
        <v>405</v>
      </c>
      <c r="F114" s="78" t="s">
        <v>598</v>
      </c>
    </row>
    <row r="115" spans="1:6">
      <c r="A115" s="1">
        <v>45371</v>
      </c>
      <c r="B115" t="s">
        <v>600</v>
      </c>
      <c r="C115" t="s">
        <v>421</v>
      </c>
      <c r="D115" s="1">
        <v>45379</v>
      </c>
      <c r="E115" t="s">
        <v>405</v>
      </c>
      <c r="F115" s="78" t="s">
        <v>601</v>
      </c>
    </row>
    <row r="116" spans="1:6">
      <c r="A116" s="1">
        <v>45372</v>
      </c>
      <c r="B116" t="s">
        <v>602</v>
      </c>
      <c r="C116" t="s">
        <v>421</v>
      </c>
      <c r="D116" s="1">
        <v>45373</v>
      </c>
      <c r="E116" t="s">
        <v>463</v>
      </c>
    </row>
    <row r="117" spans="1:6">
      <c r="A117" s="1">
        <v>45376</v>
      </c>
      <c r="B117" t="s">
        <v>561</v>
      </c>
      <c r="C117" t="s">
        <v>88</v>
      </c>
      <c r="D117" t="s">
        <v>88</v>
      </c>
      <c r="E117" t="s">
        <v>88</v>
      </c>
    </row>
    <row r="118" spans="1:6">
      <c r="A118" s="1">
        <v>45377</v>
      </c>
      <c r="B118" t="s">
        <v>561</v>
      </c>
      <c r="C118" t="s">
        <v>88</v>
      </c>
      <c r="D118" t="s">
        <v>88</v>
      </c>
      <c r="E118" t="s">
        <v>88</v>
      </c>
    </row>
    <row r="119" spans="1:6">
      <c r="A119" s="1">
        <v>45378</v>
      </c>
      <c r="B119" t="s">
        <v>561</v>
      </c>
      <c r="C119" t="s">
        <v>88</v>
      </c>
      <c r="D119" t="s">
        <v>88</v>
      </c>
      <c r="E119" t="s">
        <v>88</v>
      </c>
    </row>
    <row r="120" spans="1:6">
      <c r="A120" s="1">
        <v>45385</v>
      </c>
      <c r="B120" t="s">
        <v>603</v>
      </c>
      <c r="C120" t="s">
        <v>424</v>
      </c>
      <c r="D120" s="1">
        <v>45397</v>
      </c>
      <c r="E120" t="s">
        <v>405</v>
      </c>
      <c r="F120" s="78" t="s">
        <v>604</v>
      </c>
    </row>
    <row r="121" spans="1:6">
      <c r="A121" s="1">
        <v>45386</v>
      </c>
      <c r="B121" t="s">
        <v>605</v>
      </c>
      <c r="C121" t="s">
        <v>421</v>
      </c>
      <c r="D121" s="1">
        <v>45394</v>
      </c>
      <c r="E121" t="s">
        <v>463</v>
      </c>
    </row>
    <row r="122" spans="1:6">
      <c r="A122" s="1">
        <v>45386</v>
      </c>
      <c r="B122" t="s">
        <v>606</v>
      </c>
      <c r="C122" t="s">
        <v>548</v>
      </c>
      <c r="D122" s="1">
        <v>45387</v>
      </c>
      <c r="E122" t="s">
        <v>405</v>
      </c>
      <c r="F122" s="78" t="s">
        <v>607</v>
      </c>
    </row>
    <row r="123" spans="1:6" ht="30">
      <c r="A123" s="1">
        <v>45386</v>
      </c>
      <c r="B123" t="s">
        <v>608</v>
      </c>
      <c r="C123" t="s">
        <v>424</v>
      </c>
      <c r="D123" s="1">
        <v>45387</v>
      </c>
      <c r="E123" t="s">
        <v>405</v>
      </c>
      <c r="F123" s="78" t="s">
        <v>609</v>
      </c>
    </row>
    <row r="124" spans="1:6">
      <c r="A124" s="1">
        <v>45387</v>
      </c>
      <c r="B124" t="s">
        <v>610</v>
      </c>
      <c r="C124" t="s">
        <v>421</v>
      </c>
      <c r="D124" s="1">
        <v>45412</v>
      </c>
      <c r="E124" t="s">
        <v>405</v>
      </c>
      <c r="F124" s="78" t="s">
        <v>611</v>
      </c>
    </row>
    <row r="125" spans="1:6" ht="45">
      <c r="A125" s="1">
        <v>45391</v>
      </c>
      <c r="B125" t="s">
        <v>612</v>
      </c>
      <c r="C125" t="s">
        <v>424</v>
      </c>
      <c r="D125" s="1">
        <v>45393</v>
      </c>
      <c r="E125" t="s">
        <v>405</v>
      </c>
      <c r="F125" s="78" t="s">
        <v>613</v>
      </c>
    </row>
    <row r="126" spans="1:6">
      <c r="A126" s="1">
        <v>45392</v>
      </c>
      <c r="B126" t="s">
        <v>614</v>
      </c>
      <c r="C126" t="s">
        <v>421</v>
      </c>
      <c r="D126" s="1">
        <v>45412</v>
      </c>
      <c r="E126" t="s">
        <v>463</v>
      </c>
    </row>
    <row r="127" spans="1:6">
      <c r="A127" s="1">
        <v>45392</v>
      </c>
      <c r="B127" t="s">
        <v>615</v>
      </c>
      <c r="C127" t="s">
        <v>88</v>
      </c>
      <c r="D127" s="1" t="s">
        <v>88</v>
      </c>
      <c r="E127" t="s">
        <v>88</v>
      </c>
    </row>
    <row r="128" spans="1:6">
      <c r="A128" s="1">
        <v>45392</v>
      </c>
      <c r="B128" t="s">
        <v>616</v>
      </c>
      <c r="C128" t="s">
        <v>617</v>
      </c>
      <c r="D128" s="1">
        <v>45419</v>
      </c>
      <c r="E128" t="s">
        <v>405</v>
      </c>
      <c r="F128" s="78" t="s">
        <v>618</v>
      </c>
    </row>
    <row r="129" spans="1:6">
      <c r="A129" s="1">
        <v>45393</v>
      </c>
      <c r="B129" t="s">
        <v>561</v>
      </c>
      <c r="C129" t="s">
        <v>88</v>
      </c>
      <c r="D129" t="s">
        <v>88</v>
      </c>
      <c r="E129" t="s">
        <v>88</v>
      </c>
    </row>
    <row r="130" spans="1:6" ht="30">
      <c r="A130" s="1">
        <v>45394</v>
      </c>
      <c r="B130" t="s">
        <v>619</v>
      </c>
      <c r="C130" t="s">
        <v>417</v>
      </c>
      <c r="D130" s="1">
        <v>45398</v>
      </c>
      <c r="E130" t="s">
        <v>405</v>
      </c>
      <c r="F130" s="78" t="s">
        <v>620</v>
      </c>
    </row>
    <row r="131" spans="1:6">
      <c r="A131" s="1">
        <v>45398</v>
      </c>
      <c r="B131" t="s">
        <v>561</v>
      </c>
      <c r="C131" t="s">
        <v>88</v>
      </c>
      <c r="D131" t="s">
        <v>88</v>
      </c>
      <c r="E131" t="s">
        <v>88</v>
      </c>
    </row>
    <row r="132" spans="1:6">
      <c r="A132" s="1">
        <v>45399</v>
      </c>
      <c r="B132" t="s">
        <v>561</v>
      </c>
      <c r="C132" t="s">
        <v>88</v>
      </c>
      <c r="D132" t="s">
        <v>88</v>
      </c>
      <c r="E132" t="s">
        <v>88</v>
      </c>
    </row>
    <row r="133" spans="1:6">
      <c r="A133" s="1">
        <v>45400</v>
      </c>
      <c r="B133" t="s">
        <v>561</v>
      </c>
      <c r="C133" t="s">
        <v>88</v>
      </c>
      <c r="D133" t="s">
        <v>88</v>
      </c>
      <c r="E133" t="s">
        <v>88</v>
      </c>
    </row>
    <row r="134" spans="1:6">
      <c r="A134" s="1">
        <v>45401</v>
      </c>
      <c r="B134" t="s">
        <v>621</v>
      </c>
      <c r="C134" t="s">
        <v>404</v>
      </c>
      <c r="D134" s="1">
        <v>45412</v>
      </c>
      <c r="E134" t="s">
        <v>405</v>
      </c>
      <c r="F134" s="78" t="s">
        <v>622</v>
      </c>
    </row>
    <row r="135" spans="1:6">
      <c r="A135" s="1">
        <v>45405</v>
      </c>
      <c r="B135" t="s">
        <v>623</v>
      </c>
      <c r="C135" t="s">
        <v>624</v>
      </c>
      <c r="D135" s="1">
        <v>45422</v>
      </c>
      <c r="E135" t="s">
        <v>405</v>
      </c>
      <c r="F135" s="78" t="s">
        <v>625</v>
      </c>
    </row>
    <row r="136" spans="1:6">
      <c r="A136" s="1">
        <v>45406</v>
      </c>
      <c r="B136" t="s">
        <v>626</v>
      </c>
      <c r="C136" t="s">
        <v>421</v>
      </c>
      <c r="D136" s="1">
        <v>45412</v>
      </c>
      <c r="E136" t="s">
        <v>405</v>
      </c>
      <c r="F136" s="78" t="s">
        <v>627</v>
      </c>
    </row>
    <row r="137" spans="1:6">
      <c r="A137" s="1">
        <v>45406</v>
      </c>
      <c r="B137" t="s">
        <v>628</v>
      </c>
      <c r="C137" t="s">
        <v>629</v>
      </c>
      <c r="D137" s="1">
        <v>45412</v>
      </c>
      <c r="E137" t="s">
        <v>405</v>
      </c>
      <c r="F137" s="78" t="s">
        <v>630</v>
      </c>
    </row>
    <row r="138" spans="1:6">
      <c r="A138" s="1">
        <v>45407</v>
      </c>
      <c r="B138" t="s">
        <v>561</v>
      </c>
      <c r="C138" t="s">
        <v>88</v>
      </c>
      <c r="D138" t="s">
        <v>88</v>
      </c>
      <c r="E138" t="s">
        <v>88</v>
      </c>
    </row>
    <row r="139" spans="1:6">
      <c r="A139" s="1">
        <v>45408</v>
      </c>
      <c r="B139" t="s">
        <v>561</v>
      </c>
      <c r="C139" t="s">
        <v>88</v>
      </c>
      <c r="D139" t="s">
        <v>88</v>
      </c>
      <c r="E139" t="s">
        <v>88</v>
      </c>
    </row>
    <row r="140" spans="1:6">
      <c r="A140" s="1">
        <v>45412</v>
      </c>
      <c r="B140" t="s">
        <v>631</v>
      </c>
      <c r="C140" t="s">
        <v>417</v>
      </c>
      <c r="D140" s="1">
        <v>45412</v>
      </c>
      <c r="E140" t="s">
        <v>405</v>
      </c>
      <c r="F140" s="78" t="s">
        <v>632</v>
      </c>
    </row>
    <row r="141" spans="1:6" ht="30">
      <c r="A141" s="1">
        <v>45412</v>
      </c>
      <c r="B141" t="s">
        <v>633</v>
      </c>
      <c r="C141" t="s">
        <v>407</v>
      </c>
      <c r="D141" s="1">
        <v>45414</v>
      </c>
      <c r="E141" t="s">
        <v>405</v>
      </c>
      <c r="F141" s="78" t="s">
        <v>634</v>
      </c>
    </row>
    <row r="142" spans="1:6">
      <c r="A142" s="1">
        <v>45412</v>
      </c>
      <c r="B142" t="s">
        <v>635</v>
      </c>
      <c r="C142" t="s">
        <v>590</v>
      </c>
      <c r="D142" s="1">
        <v>45412</v>
      </c>
      <c r="E142" t="s">
        <v>405</v>
      </c>
    </row>
    <row r="143" spans="1:6">
      <c r="A143" s="1">
        <v>45414</v>
      </c>
      <c r="B143" t="s">
        <v>561</v>
      </c>
      <c r="C143" t="s">
        <v>88</v>
      </c>
      <c r="D143" t="s">
        <v>88</v>
      </c>
      <c r="E143" t="s">
        <v>88</v>
      </c>
    </row>
    <row r="144" spans="1:6">
      <c r="A144" s="1">
        <v>45418</v>
      </c>
      <c r="B144" t="s">
        <v>561</v>
      </c>
      <c r="C144" t="s">
        <v>88</v>
      </c>
      <c r="D144" t="s">
        <v>88</v>
      </c>
      <c r="E144" t="s">
        <v>88</v>
      </c>
    </row>
    <row r="145" spans="1:6">
      <c r="A145" s="1">
        <v>45419</v>
      </c>
      <c r="B145" t="s">
        <v>561</v>
      </c>
      <c r="C145" t="s">
        <v>88</v>
      </c>
      <c r="D145" t="s">
        <v>88</v>
      </c>
      <c r="E145" t="s">
        <v>88</v>
      </c>
    </row>
    <row r="146" spans="1:6">
      <c r="A146" s="1">
        <v>45420</v>
      </c>
      <c r="B146" t="s">
        <v>561</v>
      </c>
      <c r="C146" t="s">
        <v>88</v>
      </c>
      <c r="D146" t="s">
        <v>88</v>
      </c>
      <c r="E146" t="s">
        <v>88</v>
      </c>
    </row>
    <row r="147" spans="1:6">
      <c r="A147" s="1">
        <v>45421</v>
      </c>
      <c r="B147" t="s">
        <v>636</v>
      </c>
      <c r="C147" t="s">
        <v>410</v>
      </c>
      <c r="D147" s="1">
        <v>45426</v>
      </c>
      <c r="E147" t="s">
        <v>463</v>
      </c>
    </row>
    <row r="148" spans="1:6" ht="30">
      <c r="A148" s="1">
        <v>45421</v>
      </c>
      <c r="B148" t="s">
        <v>637</v>
      </c>
      <c r="C148" t="s">
        <v>410</v>
      </c>
      <c r="D148" s="1">
        <v>45421</v>
      </c>
      <c r="E148" t="s">
        <v>405</v>
      </c>
      <c r="F148" s="78" t="s">
        <v>638</v>
      </c>
    </row>
    <row r="149" spans="1:6">
      <c r="A149" s="1">
        <v>45426</v>
      </c>
      <c r="B149" t="s">
        <v>639</v>
      </c>
      <c r="C149" t="s">
        <v>410</v>
      </c>
      <c r="D149" s="1">
        <v>45429</v>
      </c>
      <c r="E149" t="s">
        <v>405</v>
      </c>
      <c r="F149" s="78" t="s">
        <v>640</v>
      </c>
    </row>
    <row r="150" spans="1:6">
      <c r="A150" s="1">
        <v>45427</v>
      </c>
      <c r="B150" t="s">
        <v>641</v>
      </c>
      <c r="C150" t="s">
        <v>642</v>
      </c>
      <c r="D150" s="1">
        <v>45427</v>
      </c>
      <c r="E150" t="s">
        <v>405</v>
      </c>
      <c r="F150" s="78" t="s">
        <v>643</v>
      </c>
    </row>
    <row r="151" spans="1:6">
      <c r="A151" s="1">
        <v>45427</v>
      </c>
      <c r="B151" t="s">
        <v>644</v>
      </c>
      <c r="C151" t="s">
        <v>417</v>
      </c>
      <c r="D151" s="1">
        <v>45427</v>
      </c>
      <c r="E151" t="s">
        <v>405</v>
      </c>
      <c r="F151" s="78" t="s">
        <v>645</v>
      </c>
    </row>
    <row r="152" spans="1:6">
      <c r="A152" s="1">
        <v>45428</v>
      </c>
      <c r="B152" t="s">
        <v>646</v>
      </c>
      <c r="C152" t="s">
        <v>88</v>
      </c>
      <c r="D152" t="s">
        <v>88</v>
      </c>
      <c r="E152" t="s">
        <v>88</v>
      </c>
    </row>
    <row r="153" spans="1:6">
      <c r="A153" s="1">
        <v>45428</v>
      </c>
      <c r="B153" t="s">
        <v>647</v>
      </c>
      <c r="C153" t="s">
        <v>88</v>
      </c>
      <c r="D153" t="s">
        <v>88</v>
      </c>
      <c r="E153" t="s">
        <v>88</v>
      </c>
    </row>
    <row r="154" spans="1:6">
      <c r="A154" s="1">
        <v>45428</v>
      </c>
      <c r="B154" t="s">
        <v>648</v>
      </c>
      <c r="C154" t="s">
        <v>424</v>
      </c>
      <c r="D154" s="1">
        <v>45428</v>
      </c>
      <c r="E154" t="s">
        <v>405</v>
      </c>
      <c r="F154" s="78" t="s">
        <v>649</v>
      </c>
    </row>
    <row r="155" spans="1:6">
      <c r="A155" s="1">
        <v>45429</v>
      </c>
      <c r="B155" t="s">
        <v>650</v>
      </c>
      <c r="C155" t="s">
        <v>404</v>
      </c>
      <c r="D155" s="1">
        <v>45429</v>
      </c>
      <c r="E155" t="s">
        <v>405</v>
      </c>
    </row>
    <row r="156" spans="1:6">
      <c r="A156" s="1">
        <v>45429</v>
      </c>
      <c r="B156" t="s">
        <v>651</v>
      </c>
      <c r="C156" t="s">
        <v>88</v>
      </c>
      <c r="D156" t="s">
        <v>88</v>
      </c>
      <c r="E156" t="s">
        <v>88</v>
      </c>
    </row>
    <row r="157" spans="1:6">
      <c r="A157" s="1">
        <v>45429</v>
      </c>
      <c r="B157" t="s">
        <v>652</v>
      </c>
      <c r="C157" t="s">
        <v>548</v>
      </c>
      <c r="D157" s="1">
        <v>45433</v>
      </c>
      <c r="E157" t="s">
        <v>405</v>
      </c>
    </row>
    <row r="158" spans="1:6">
      <c r="A158" s="1">
        <v>45433</v>
      </c>
      <c r="B158" t="s">
        <v>561</v>
      </c>
      <c r="C158" t="s">
        <v>88</v>
      </c>
      <c r="D158" t="s">
        <v>88</v>
      </c>
      <c r="E158" t="s">
        <v>88</v>
      </c>
    </row>
    <row r="159" spans="1:6">
      <c r="A159" s="1">
        <v>45434</v>
      </c>
      <c r="B159" t="s">
        <v>653</v>
      </c>
      <c r="C159" t="s">
        <v>410</v>
      </c>
      <c r="D159" s="1">
        <v>45443</v>
      </c>
      <c r="E159" t="s">
        <v>88</v>
      </c>
      <c r="F159" s="78" t="s">
        <v>654</v>
      </c>
    </row>
    <row r="160" spans="1:6">
      <c r="A160" s="1">
        <v>45435</v>
      </c>
      <c r="B160" t="s">
        <v>561</v>
      </c>
      <c r="C160" t="s">
        <v>88</v>
      </c>
      <c r="D160" t="s">
        <v>88</v>
      </c>
      <c r="E160" t="s">
        <v>88</v>
      </c>
    </row>
    <row r="161" spans="1:6">
      <c r="A161" s="1">
        <v>45440</v>
      </c>
      <c r="B161" t="s">
        <v>561</v>
      </c>
      <c r="C161" t="s">
        <v>88</v>
      </c>
      <c r="D161" t="s">
        <v>88</v>
      </c>
      <c r="E161" t="s">
        <v>88</v>
      </c>
    </row>
    <row r="162" spans="1:6" ht="60">
      <c r="A162" s="1">
        <v>45441</v>
      </c>
      <c r="B162" t="s">
        <v>655</v>
      </c>
      <c r="C162" t="s">
        <v>410</v>
      </c>
      <c r="D162" s="1">
        <v>45443</v>
      </c>
      <c r="E162" t="s">
        <v>405</v>
      </c>
      <c r="F162" s="78" t="s">
        <v>656</v>
      </c>
    </row>
    <row r="163" spans="1:6" ht="30">
      <c r="A163" s="1">
        <v>45442</v>
      </c>
      <c r="B163" t="s">
        <v>657</v>
      </c>
      <c r="C163" t="s">
        <v>424</v>
      </c>
      <c r="D163" s="1">
        <v>45450</v>
      </c>
      <c r="E163" t="s">
        <v>463</v>
      </c>
      <c r="F163" s="78" t="s">
        <v>658</v>
      </c>
    </row>
    <row r="164" spans="1:6">
      <c r="A164" s="1">
        <v>45442</v>
      </c>
      <c r="B164" t="s">
        <v>659</v>
      </c>
      <c r="C164" t="s">
        <v>421</v>
      </c>
      <c r="D164" s="1">
        <v>45443</v>
      </c>
      <c r="E164" t="s">
        <v>405</v>
      </c>
    </row>
    <row r="165" spans="1:6" ht="30">
      <c r="A165" s="1">
        <v>45446</v>
      </c>
      <c r="B165" t="s">
        <v>660</v>
      </c>
      <c r="C165" t="s">
        <v>421</v>
      </c>
      <c r="D165" s="1">
        <v>45450</v>
      </c>
      <c r="E165" t="s">
        <v>405</v>
      </c>
      <c r="F165" s="78" t="s">
        <v>661</v>
      </c>
    </row>
    <row r="166" spans="1:6">
      <c r="A166" s="1">
        <v>45446</v>
      </c>
      <c r="B166" t="s">
        <v>662</v>
      </c>
      <c r="C166" t="s">
        <v>404</v>
      </c>
      <c r="D166" s="1">
        <v>45450</v>
      </c>
      <c r="E166" t="s">
        <v>405</v>
      </c>
      <c r="F166" s="78" t="s">
        <v>663</v>
      </c>
    </row>
    <row r="167" spans="1:6">
      <c r="A167" s="1">
        <v>45447</v>
      </c>
      <c r="B167" t="s">
        <v>561</v>
      </c>
      <c r="C167" t="s">
        <v>88</v>
      </c>
      <c r="D167" t="s">
        <v>88</v>
      </c>
      <c r="E167" t="s">
        <v>88</v>
      </c>
    </row>
    <row r="168" spans="1:6">
      <c r="A168" s="1">
        <v>45448</v>
      </c>
      <c r="B168" t="s">
        <v>561</v>
      </c>
      <c r="C168" t="s">
        <v>88</v>
      </c>
      <c r="D168" t="s">
        <v>88</v>
      </c>
      <c r="E168" t="s">
        <v>88</v>
      </c>
    </row>
    <row r="169" spans="1:6">
      <c r="A169" s="1">
        <v>45449</v>
      </c>
      <c r="B169" t="s">
        <v>664</v>
      </c>
      <c r="C169" t="s">
        <v>88</v>
      </c>
      <c r="D169" t="s">
        <v>88</v>
      </c>
      <c r="E169" t="s">
        <v>88</v>
      </c>
    </row>
    <row r="170" spans="1:6">
      <c r="A170" s="1">
        <v>45449</v>
      </c>
      <c r="B170" t="s">
        <v>665</v>
      </c>
      <c r="C170" t="s">
        <v>88</v>
      </c>
      <c r="D170" t="s">
        <v>88</v>
      </c>
      <c r="E170" t="s">
        <v>88</v>
      </c>
    </row>
    <row r="171" spans="1:6" ht="28.15" customHeight="1">
      <c r="A171" s="1">
        <v>45449</v>
      </c>
      <c r="B171" s="78" t="s">
        <v>666</v>
      </c>
      <c r="C171" t="s">
        <v>421</v>
      </c>
      <c r="D171" s="1">
        <v>45449</v>
      </c>
      <c r="E171" t="s">
        <v>405</v>
      </c>
      <c r="F171" s="78" t="s">
        <v>667</v>
      </c>
    </row>
    <row r="172" spans="1:6" ht="30">
      <c r="A172" s="1">
        <v>45450</v>
      </c>
      <c r="B172" t="s">
        <v>668</v>
      </c>
      <c r="C172" t="s">
        <v>669</v>
      </c>
      <c r="D172" s="1">
        <v>45489</v>
      </c>
      <c r="E172" t="s">
        <v>405</v>
      </c>
      <c r="F172" s="78" t="s">
        <v>670</v>
      </c>
    </row>
    <row r="173" spans="1:6">
      <c r="A173" s="1">
        <v>45453</v>
      </c>
      <c r="B173" t="s">
        <v>561</v>
      </c>
      <c r="C173" t="s">
        <v>88</v>
      </c>
      <c r="D173" t="s">
        <v>88</v>
      </c>
      <c r="E173" t="s">
        <v>88</v>
      </c>
    </row>
    <row r="174" spans="1:6">
      <c r="A174" s="1">
        <v>45454</v>
      </c>
      <c r="B174" t="s">
        <v>671</v>
      </c>
      <c r="C174" t="s">
        <v>424</v>
      </c>
      <c r="D174" s="1">
        <v>45455</v>
      </c>
      <c r="E174" t="s">
        <v>405</v>
      </c>
    </row>
    <row r="175" spans="1:6">
      <c r="A175" s="1">
        <v>45454</v>
      </c>
      <c r="B175" t="s">
        <v>672</v>
      </c>
      <c r="C175" t="s">
        <v>424</v>
      </c>
      <c r="D175" s="1">
        <v>45488</v>
      </c>
      <c r="E175" t="s">
        <v>405</v>
      </c>
      <c r="F175" s="78" t="s">
        <v>673</v>
      </c>
    </row>
    <row r="176" spans="1:6" ht="45">
      <c r="A176" s="1">
        <v>45454</v>
      </c>
      <c r="B176" t="s">
        <v>674</v>
      </c>
      <c r="C176" t="s">
        <v>407</v>
      </c>
      <c r="D176" s="1">
        <v>45457</v>
      </c>
      <c r="E176" t="s">
        <v>405</v>
      </c>
      <c r="F176" s="78" t="s">
        <v>675</v>
      </c>
    </row>
    <row r="177" spans="1:6">
      <c r="A177" s="1">
        <v>45455</v>
      </c>
      <c r="B177" t="s">
        <v>561</v>
      </c>
      <c r="C177" t="s">
        <v>88</v>
      </c>
      <c r="D177" t="s">
        <v>88</v>
      </c>
      <c r="E177" t="s">
        <v>88</v>
      </c>
    </row>
    <row r="178" spans="1:6">
      <c r="A178" s="1">
        <v>45456</v>
      </c>
      <c r="B178" t="s">
        <v>676</v>
      </c>
      <c r="C178" t="s">
        <v>677</v>
      </c>
      <c r="D178" s="1">
        <v>45464</v>
      </c>
      <c r="E178" t="s">
        <v>463</v>
      </c>
    </row>
    <row r="179" spans="1:6" ht="30">
      <c r="A179" s="1">
        <v>45460</v>
      </c>
      <c r="B179" t="s">
        <v>678</v>
      </c>
      <c r="C179" t="s">
        <v>410</v>
      </c>
      <c r="D179" s="1">
        <v>45464</v>
      </c>
      <c r="E179" t="s">
        <v>405</v>
      </c>
      <c r="F179" s="78" t="s">
        <v>679</v>
      </c>
    </row>
    <row r="180" spans="1:6">
      <c r="A180" s="1">
        <v>45461</v>
      </c>
      <c r="B180" t="s">
        <v>561</v>
      </c>
      <c r="C180" t="s">
        <v>88</v>
      </c>
      <c r="D180" t="s">
        <v>88</v>
      </c>
      <c r="E180" t="s">
        <v>88</v>
      </c>
    </row>
    <row r="181" spans="1:6">
      <c r="A181" s="1">
        <v>45463</v>
      </c>
      <c r="B181" t="s">
        <v>561</v>
      </c>
      <c r="C181" t="s">
        <v>88</v>
      </c>
      <c r="D181" t="s">
        <v>88</v>
      </c>
      <c r="E181" t="s">
        <v>88</v>
      </c>
    </row>
    <row r="182" spans="1:6">
      <c r="A182" s="1">
        <v>45464</v>
      </c>
      <c r="B182" t="s">
        <v>561</v>
      </c>
      <c r="C182" t="s">
        <v>88</v>
      </c>
      <c r="D182" t="s">
        <v>88</v>
      </c>
      <c r="E182" t="s">
        <v>88</v>
      </c>
    </row>
    <row r="183" spans="1:6">
      <c r="A183" s="1">
        <v>45467</v>
      </c>
      <c r="B183" t="s">
        <v>561</v>
      </c>
      <c r="C183" t="s">
        <v>88</v>
      </c>
      <c r="D183" t="s">
        <v>88</v>
      </c>
      <c r="E183" t="s">
        <v>88</v>
      </c>
    </row>
    <row r="184" spans="1:6">
      <c r="A184" s="1">
        <v>45468</v>
      </c>
      <c r="B184" t="s">
        <v>561</v>
      </c>
      <c r="C184" t="s">
        <v>88</v>
      </c>
      <c r="D184" t="s">
        <v>88</v>
      </c>
      <c r="E184" t="s">
        <v>88</v>
      </c>
    </row>
    <row r="185" spans="1:6">
      <c r="A185" s="1">
        <v>45469</v>
      </c>
      <c r="B185" t="s">
        <v>680</v>
      </c>
      <c r="C185" t="s">
        <v>421</v>
      </c>
      <c r="D185" s="1">
        <v>45469</v>
      </c>
      <c r="E185" t="s">
        <v>405</v>
      </c>
      <c r="F185" s="78" t="s">
        <v>681</v>
      </c>
    </row>
    <row r="186" spans="1:6">
      <c r="A186" s="1">
        <v>45470</v>
      </c>
      <c r="B186" t="s">
        <v>682</v>
      </c>
      <c r="C186" t="s">
        <v>421</v>
      </c>
      <c r="D186" s="1">
        <v>45478</v>
      </c>
      <c r="E186" t="s">
        <v>405</v>
      </c>
    </row>
    <row r="187" spans="1:6">
      <c r="A187" s="1">
        <v>45474</v>
      </c>
      <c r="B187" t="s">
        <v>683</v>
      </c>
      <c r="C187" t="s">
        <v>684</v>
      </c>
      <c r="D187" s="1">
        <v>45474</v>
      </c>
      <c r="E187" t="s">
        <v>405</v>
      </c>
    </row>
    <row r="188" spans="1:6">
      <c r="A188" s="1">
        <v>45475</v>
      </c>
      <c r="B188" t="s">
        <v>561</v>
      </c>
      <c r="C188" t="s">
        <v>88</v>
      </c>
      <c r="D188" t="s">
        <v>88</v>
      </c>
      <c r="E188" t="s">
        <v>88</v>
      </c>
    </row>
    <row r="189" spans="1:6">
      <c r="A189" s="1">
        <v>45476</v>
      </c>
      <c r="B189" t="s">
        <v>561</v>
      </c>
      <c r="C189" t="s">
        <v>88</v>
      </c>
      <c r="D189" t="s">
        <v>88</v>
      </c>
      <c r="E189" t="s">
        <v>88</v>
      </c>
    </row>
    <row r="190" spans="1:6">
      <c r="A190" s="1">
        <v>45477</v>
      </c>
      <c r="B190" t="s">
        <v>685</v>
      </c>
      <c r="C190" t="s">
        <v>421</v>
      </c>
      <c r="D190" s="1">
        <v>45478</v>
      </c>
      <c r="E190" t="s">
        <v>405</v>
      </c>
    </row>
    <row r="191" spans="1:6" ht="34.15" customHeight="1">
      <c r="A191" s="1">
        <v>45477</v>
      </c>
      <c r="B191" s="78" t="s">
        <v>686</v>
      </c>
      <c r="C191" t="s">
        <v>407</v>
      </c>
      <c r="D191" s="1">
        <v>45478</v>
      </c>
      <c r="E191" t="s">
        <v>405</v>
      </c>
    </row>
    <row r="192" spans="1:6">
      <c r="A192" s="1">
        <v>45477</v>
      </c>
      <c r="B192" t="s">
        <v>687</v>
      </c>
      <c r="C192" t="s">
        <v>590</v>
      </c>
      <c r="D192" s="1">
        <v>45478</v>
      </c>
      <c r="E192" t="s">
        <v>405</v>
      </c>
      <c r="F192" s="78" t="s">
        <v>688</v>
      </c>
    </row>
    <row r="193" spans="1:6">
      <c r="A193" s="1">
        <v>45478</v>
      </c>
      <c r="B193" t="s">
        <v>689</v>
      </c>
      <c r="C193" t="s">
        <v>421</v>
      </c>
      <c r="D193" s="1">
        <v>45504</v>
      </c>
      <c r="E193" t="s">
        <v>463</v>
      </c>
    </row>
    <row r="194" spans="1:6">
      <c r="A194" s="1">
        <v>45481</v>
      </c>
      <c r="B194" t="s">
        <v>690</v>
      </c>
      <c r="C194" t="s">
        <v>410</v>
      </c>
      <c r="D194" s="1">
        <v>45492</v>
      </c>
      <c r="E194" t="s">
        <v>405</v>
      </c>
      <c r="F194" s="78" t="s">
        <v>691</v>
      </c>
    </row>
    <row r="195" spans="1:6" ht="45">
      <c r="A195" s="1">
        <v>45482</v>
      </c>
      <c r="B195" t="s">
        <v>692</v>
      </c>
      <c r="C195" t="s">
        <v>410</v>
      </c>
      <c r="D195" s="1">
        <v>45485</v>
      </c>
      <c r="E195" t="s">
        <v>405</v>
      </c>
      <c r="F195" s="78" t="s">
        <v>693</v>
      </c>
    </row>
    <row r="196" spans="1:6">
      <c r="A196" s="1">
        <v>45483</v>
      </c>
      <c r="B196" t="s">
        <v>694</v>
      </c>
      <c r="C196" t="s">
        <v>88</v>
      </c>
      <c r="D196" t="s">
        <v>88</v>
      </c>
      <c r="E196" t="s">
        <v>88</v>
      </c>
    </row>
    <row r="197" spans="1:6">
      <c r="A197" s="1">
        <v>45484</v>
      </c>
      <c r="B197" t="s">
        <v>695</v>
      </c>
      <c r="C197" t="s">
        <v>410</v>
      </c>
      <c r="D197" s="1">
        <v>45485</v>
      </c>
      <c r="E197" t="s">
        <v>405</v>
      </c>
      <c r="F197" s="78" t="s">
        <v>696</v>
      </c>
    </row>
    <row r="198" spans="1:6">
      <c r="A198" s="1">
        <v>45484</v>
      </c>
      <c r="B198" t="s">
        <v>697</v>
      </c>
      <c r="C198" t="s">
        <v>421</v>
      </c>
      <c r="D198" s="1">
        <v>45484</v>
      </c>
      <c r="E198" t="s">
        <v>405</v>
      </c>
      <c r="F198" s="78" t="s">
        <v>698</v>
      </c>
    </row>
    <row r="199" spans="1:6">
      <c r="A199" s="1">
        <v>45485</v>
      </c>
      <c r="B199" t="s">
        <v>699</v>
      </c>
      <c r="C199" t="s">
        <v>407</v>
      </c>
      <c r="D199" s="1">
        <v>45488</v>
      </c>
      <c r="E199" t="s">
        <v>405</v>
      </c>
    </row>
    <row r="200" spans="1:6">
      <c r="A200" s="1">
        <v>45488</v>
      </c>
      <c r="B200" t="s">
        <v>561</v>
      </c>
      <c r="C200" t="s">
        <v>88</v>
      </c>
      <c r="D200" t="s">
        <v>88</v>
      </c>
      <c r="E200" t="s">
        <v>88</v>
      </c>
    </row>
    <row r="201" spans="1:6">
      <c r="A201" s="1">
        <v>45489</v>
      </c>
      <c r="B201" t="s">
        <v>700</v>
      </c>
      <c r="C201" t="s">
        <v>410</v>
      </c>
      <c r="D201" s="1">
        <v>45492</v>
      </c>
      <c r="E201" t="s">
        <v>405</v>
      </c>
      <c r="F201" s="78" t="s">
        <v>701</v>
      </c>
    </row>
    <row r="202" spans="1:6" ht="30">
      <c r="A202" s="1">
        <v>45490</v>
      </c>
      <c r="B202" t="s">
        <v>702</v>
      </c>
      <c r="C202" t="s">
        <v>410</v>
      </c>
      <c r="D202" s="1">
        <v>45492</v>
      </c>
      <c r="E202" t="s">
        <v>405</v>
      </c>
      <c r="F202" s="78" t="s">
        <v>703</v>
      </c>
    </row>
    <row r="203" spans="1:6">
      <c r="A203" s="1">
        <v>45491</v>
      </c>
      <c r="B203" t="s">
        <v>561</v>
      </c>
      <c r="C203" t="s">
        <v>88</v>
      </c>
      <c r="D203" t="s">
        <v>88</v>
      </c>
      <c r="E203" t="s">
        <v>88</v>
      </c>
    </row>
    <row r="204" spans="1:6">
      <c r="A204" s="1">
        <v>45492</v>
      </c>
      <c r="B204" t="s">
        <v>561</v>
      </c>
      <c r="C204" t="s">
        <v>88</v>
      </c>
      <c r="D204" t="s">
        <v>88</v>
      </c>
      <c r="E204" t="s">
        <v>88</v>
      </c>
    </row>
    <row r="205" spans="1:6">
      <c r="A205" s="1">
        <v>45495</v>
      </c>
      <c r="B205" t="s">
        <v>561</v>
      </c>
      <c r="C205" t="s">
        <v>88</v>
      </c>
      <c r="D205" t="s">
        <v>88</v>
      </c>
      <c r="E205" t="s">
        <v>88</v>
      </c>
    </row>
    <row r="206" spans="1:6">
      <c r="A206" s="1">
        <v>45496</v>
      </c>
      <c r="B206" t="s">
        <v>561</v>
      </c>
      <c r="C206" t="s">
        <v>88</v>
      </c>
      <c r="D206" t="s">
        <v>88</v>
      </c>
      <c r="E206" t="s">
        <v>88</v>
      </c>
    </row>
    <row r="207" spans="1:6">
      <c r="A207" s="1">
        <v>45497</v>
      </c>
      <c r="B207" t="s">
        <v>561</v>
      </c>
      <c r="C207" t="s">
        <v>88</v>
      </c>
      <c r="D207" t="s">
        <v>88</v>
      </c>
      <c r="E207" t="s">
        <v>88</v>
      </c>
    </row>
    <row r="208" spans="1:6">
      <c r="A208" s="1">
        <v>45498</v>
      </c>
      <c r="B208" t="s">
        <v>561</v>
      </c>
      <c r="C208" t="s">
        <v>88</v>
      </c>
      <c r="D208" t="s">
        <v>88</v>
      </c>
      <c r="E208" t="s">
        <v>88</v>
      </c>
    </row>
    <row r="209" spans="1:6">
      <c r="A209" s="1">
        <v>45499</v>
      </c>
      <c r="B209" t="s">
        <v>704</v>
      </c>
      <c r="C209" t="s">
        <v>548</v>
      </c>
      <c r="D209" s="1">
        <v>45506</v>
      </c>
      <c r="E209" t="s">
        <v>405</v>
      </c>
      <c r="F209" s="78" t="s">
        <v>705</v>
      </c>
    </row>
    <row r="210" spans="1:6">
      <c r="A210" s="1">
        <v>45499</v>
      </c>
      <c r="B210" t="s">
        <v>706</v>
      </c>
      <c r="C210" t="s">
        <v>421</v>
      </c>
      <c r="D210" s="1">
        <v>45506</v>
      </c>
      <c r="E210" t="s">
        <v>405</v>
      </c>
      <c r="F210" s="78" t="s">
        <v>707</v>
      </c>
    </row>
    <row r="211" spans="1:6">
      <c r="A211" s="1">
        <v>45502</v>
      </c>
      <c r="B211" t="s">
        <v>561</v>
      </c>
      <c r="C211" t="s">
        <v>88</v>
      </c>
      <c r="D211" t="s">
        <v>88</v>
      </c>
      <c r="E211" t="s">
        <v>88</v>
      </c>
    </row>
    <row r="212" spans="1:6">
      <c r="A212" s="1">
        <v>45503</v>
      </c>
      <c r="B212" t="s">
        <v>561</v>
      </c>
      <c r="C212" t="s">
        <v>88</v>
      </c>
      <c r="D212" t="s">
        <v>88</v>
      </c>
      <c r="E212" t="s">
        <v>88</v>
      </c>
    </row>
    <row r="213" spans="1:6">
      <c r="A213" s="1">
        <v>45504</v>
      </c>
      <c r="B213" t="s">
        <v>561</v>
      </c>
      <c r="C213" t="s">
        <v>88</v>
      </c>
      <c r="D213" t="s">
        <v>88</v>
      </c>
      <c r="E213" t="s">
        <v>88</v>
      </c>
    </row>
    <row r="214" spans="1:6">
      <c r="A214" s="1">
        <v>45505</v>
      </c>
      <c r="B214" t="s">
        <v>561</v>
      </c>
      <c r="C214" t="s">
        <v>88</v>
      </c>
      <c r="D214" s="1" t="s">
        <v>88</v>
      </c>
      <c r="E214" t="s">
        <v>88</v>
      </c>
    </row>
    <row r="215" spans="1:6">
      <c r="A215" s="1">
        <v>45506</v>
      </c>
      <c r="B215" t="s">
        <v>561</v>
      </c>
      <c r="C215" t="s">
        <v>88</v>
      </c>
      <c r="D215" s="1" t="s">
        <v>88</v>
      </c>
      <c r="E215" t="s">
        <v>88</v>
      </c>
    </row>
    <row r="216" spans="1:6">
      <c r="A216" s="1">
        <v>45507</v>
      </c>
      <c r="B216" t="s">
        <v>708</v>
      </c>
      <c r="C216" t="s">
        <v>421</v>
      </c>
      <c r="D216" s="1">
        <v>45513</v>
      </c>
      <c r="E216" t="s">
        <v>405</v>
      </c>
      <c r="F216" s="78" t="s">
        <v>709</v>
      </c>
    </row>
    <row r="217" spans="1:6">
      <c r="A217" s="1">
        <v>45509</v>
      </c>
      <c r="B217" t="s">
        <v>561</v>
      </c>
      <c r="C217" t="s">
        <v>88</v>
      </c>
      <c r="D217" s="1" t="s">
        <v>88</v>
      </c>
      <c r="E217" t="s">
        <v>88</v>
      </c>
    </row>
    <row r="218" spans="1:6">
      <c r="A218" s="1">
        <v>45510</v>
      </c>
      <c r="B218" t="s">
        <v>561</v>
      </c>
      <c r="C218" t="s">
        <v>88</v>
      </c>
      <c r="D218" s="1" t="s">
        <v>88</v>
      </c>
      <c r="E218" t="s">
        <v>88</v>
      </c>
    </row>
    <row r="219" spans="1:6">
      <c r="A219" s="1">
        <v>45511</v>
      </c>
      <c r="B219" t="s">
        <v>710</v>
      </c>
      <c r="C219" t="s">
        <v>410</v>
      </c>
      <c r="D219" s="1">
        <v>45511</v>
      </c>
      <c r="E219" t="s">
        <v>405</v>
      </c>
      <c r="F219" s="78" t="s">
        <v>711</v>
      </c>
    </row>
    <row r="220" spans="1:6">
      <c r="A220" s="1">
        <v>45512</v>
      </c>
      <c r="B220" t="s">
        <v>712</v>
      </c>
      <c r="C220" t="s">
        <v>421</v>
      </c>
      <c r="D220" s="1">
        <v>45513</v>
      </c>
      <c r="E220" t="s">
        <v>463</v>
      </c>
    </row>
    <row r="221" spans="1:6">
      <c r="A221" s="1">
        <v>45513</v>
      </c>
      <c r="B221" t="s">
        <v>713</v>
      </c>
      <c r="C221" t="s">
        <v>421</v>
      </c>
      <c r="D221" s="1">
        <v>45513</v>
      </c>
      <c r="E221" t="s">
        <v>405</v>
      </c>
      <c r="F221" s="78" t="s">
        <v>714</v>
      </c>
    </row>
    <row r="222" spans="1:6">
      <c r="A222" s="1">
        <v>45513</v>
      </c>
      <c r="B222" t="s">
        <v>715</v>
      </c>
      <c r="C222" t="s">
        <v>421</v>
      </c>
      <c r="D222" s="1">
        <v>45513</v>
      </c>
      <c r="E222" t="s">
        <v>405</v>
      </c>
      <c r="F222" s="78" t="s">
        <v>714</v>
      </c>
    </row>
    <row r="223" spans="1:6">
      <c r="A223" s="1">
        <v>45516</v>
      </c>
      <c r="B223" t="s">
        <v>716</v>
      </c>
      <c r="C223" t="s">
        <v>548</v>
      </c>
      <c r="D223" s="1">
        <v>45517</v>
      </c>
      <c r="E223" t="s">
        <v>405</v>
      </c>
      <c r="F223" s="78" t="s">
        <v>717</v>
      </c>
    </row>
    <row r="224" spans="1:6" ht="60">
      <c r="A224" s="1">
        <v>45516</v>
      </c>
      <c r="B224" t="s">
        <v>718</v>
      </c>
      <c r="C224" t="s">
        <v>407</v>
      </c>
      <c r="D224" s="1">
        <v>45517</v>
      </c>
      <c r="E224" t="s">
        <v>405</v>
      </c>
      <c r="F224" s="78" t="s">
        <v>719</v>
      </c>
    </row>
    <row r="225" spans="1:6">
      <c r="A225" s="1">
        <v>45516</v>
      </c>
      <c r="B225" t="s">
        <v>720</v>
      </c>
      <c r="C225" t="s">
        <v>421</v>
      </c>
      <c r="D225" s="1">
        <v>45520</v>
      </c>
      <c r="E225" t="s">
        <v>405</v>
      </c>
      <c r="F225" s="78" t="s">
        <v>552</v>
      </c>
    </row>
    <row r="226" spans="1:6">
      <c r="A226" s="1">
        <v>45517</v>
      </c>
      <c r="B226" t="s">
        <v>721</v>
      </c>
      <c r="C226" t="s">
        <v>410</v>
      </c>
      <c r="D226" s="1">
        <v>45520</v>
      </c>
      <c r="E226" t="s">
        <v>463</v>
      </c>
      <c r="F226" s="78" t="s">
        <v>722</v>
      </c>
    </row>
    <row r="227" spans="1:6">
      <c r="A227" s="1">
        <v>45518</v>
      </c>
      <c r="B227" t="s">
        <v>723</v>
      </c>
      <c r="C227" t="s">
        <v>421</v>
      </c>
      <c r="D227" s="1">
        <v>45519</v>
      </c>
      <c r="E227" t="s">
        <v>463</v>
      </c>
    </row>
    <row r="228" spans="1:6">
      <c r="A228" s="1">
        <v>45518</v>
      </c>
      <c r="B228" t="s">
        <v>724</v>
      </c>
      <c r="C228" t="s">
        <v>421</v>
      </c>
      <c r="D228" s="1">
        <v>45519</v>
      </c>
      <c r="E228" t="s">
        <v>463</v>
      </c>
    </row>
    <row r="229" spans="1:6">
      <c r="A229" s="1">
        <v>45519</v>
      </c>
      <c r="B229" t="s">
        <v>561</v>
      </c>
      <c r="C229" t="s">
        <v>88</v>
      </c>
      <c r="D229" t="s">
        <v>88</v>
      </c>
      <c r="E229" t="s">
        <v>88</v>
      </c>
    </row>
    <row r="230" spans="1:6">
      <c r="A230" s="1">
        <v>45520</v>
      </c>
      <c r="B230" t="s">
        <v>561</v>
      </c>
      <c r="C230" t="s">
        <v>88</v>
      </c>
      <c r="D230" t="s">
        <v>88</v>
      </c>
      <c r="E230" t="s">
        <v>88</v>
      </c>
    </row>
    <row r="231" spans="1:6">
      <c r="A231" s="1">
        <v>45530</v>
      </c>
      <c r="B231" t="s">
        <v>561</v>
      </c>
      <c r="C231" t="s">
        <v>88</v>
      </c>
      <c r="D231" t="s">
        <v>88</v>
      </c>
      <c r="E231" t="s">
        <v>88</v>
      </c>
    </row>
    <row r="232" spans="1:6">
      <c r="A232" s="1">
        <v>45531</v>
      </c>
      <c r="B232" t="s">
        <v>561</v>
      </c>
      <c r="C232" t="s">
        <v>88</v>
      </c>
      <c r="D232" t="s">
        <v>88</v>
      </c>
      <c r="E232" t="s">
        <v>88</v>
      </c>
    </row>
    <row r="233" spans="1:6">
      <c r="A233" s="1">
        <v>45532</v>
      </c>
      <c r="B233" t="s">
        <v>561</v>
      </c>
      <c r="C233" t="s">
        <v>88</v>
      </c>
      <c r="D233" t="s">
        <v>88</v>
      </c>
      <c r="E233" t="s">
        <v>88</v>
      </c>
    </row>
    <row r="234" spans="1:6" ht="45">
      <c r="A234" s="1">
        <v>45533</v>
      </c>
      <c r="B234" t="s">
        <v>725</v>
      </c>
      <c r="C234" t="s">
        <v>726</v>
      </c>
      <c r="D234" s="1">
        <v>45537</v>
      </c>
      <c r="E234" t="s">
        <v>405</v>
      </c>
      <c r="F234" s="78" t="s">
        <v>727</v>
      </c>
    </row>
    <row r="235" spans="1:6">
      <c r="A235" s="1">
        <v>45534</v>
      </c>
      <c r="B235" t="s">
        <v>561</v>
      </c>
      <c r="C235" t="s">
        <v>88</v>
      </c>
      <c r="D235" t="s">
        <v>88</v>
      </c>
      <c r="E235" t="s">
        <v>88</v>
      </c>
    </row>
    <row r="236" spans="1:6">
      <c r="A236" s="1">
        <v>45537</v>
      </c>
      <c r="B236" t="s">
        <v>561</v>
      </c>
      <c r="C236" t="s">
        <v>88</v>
      </c>
      <c r="D236" t="s">
        <v>88</v>
      </c>
      <c r="E236" t="s">
        <v>88</v>
      </c>
    </row>
    <row r="237" spans="1:6">
      <c r="A237" s="1">
        <v>45538</v>
      </c>
      <c r="B237" t="s">
        <v>561</v>
      </c>
    </row>
    <row r="238" spans="1:6">
      <c r="A238" s="1">
        <v>45539</v>
      </c>
      <c r="B238" t="s">
        <v>728</v>
      </c>
      <c r="C238" t="s">
        <v>421</v>
      </c>
      <c r="D238" s="1">
        <v>45565</v>
      </c>
      <c r="E238" t="s">
        <v>463</v>
      </c>
    </row>
    <row r="239" spans="1:6">
      <c r="A239" s="1">
        <v>45540</v>
      </c>
      <c r="B239" t="s">
        <v>561</v>
      </c>
      <c r="C239" t="s">
        <v>88</v>
      </c>
      <c r="D239" t="s">
        <v>88</v>
      </c>
      <c r="E239" t="s">
        <v>88</v>
      </c>
    </row>
    <row r="240" spans="1:6" ht="45">
      <c r="A240" s="1">
        <v>45541</v>
      </c>
      <c r="B240" t="s">
        <v>729</v>
      </c>
      <c r="C240" t="s">
        <v>407</v>
      </c>
      <c r="D240" s="1">
        <v>45545</v>
      </c>
      <c r="E240" t="s">
        <v>405</v>
      </c>
      <c r="F240" s="78" t="s">
        <v>730</v>
      </c>
    </row>
    <row r="241" spans="1:6">
      <c r="A241" s="1">
        <v>45544</v>
      </c>
      <c r="B241" t="s">
        <v>731</v>
      </c>
      <c r="C241" t="s">
        <v>732</v>
      </c>
      <c r="D241" s="1">
        <v>45565</v>
      </c>
      <c r="E241" t="s">
        <v>405</v>
      </c>
      <c r="F241" s="78" t="s">
        <v>733</v>
      </c>
    </row>
    <row r="242" spans="1:6">
      <c r="A242" s="1">
        <v>45544</v>
      </c>
      <c r="B242" t="s">
        <v>734</v>
      </c>
      <c r="C242" t="s">
        <v>410</v>
      </c>
      <c r="D242" s="1">
        <v>45544</v>
      </c>
      <c r="E242" t="s">
        <v>405</v>
      </c>
      <c r="F242" s="78" t="s">
        <v>735</v>
      </c>
    </row>
    <row r="243" spans="1:6">
      <c r="A243" s="1">
        <v>45545</v>
      </c>
      <c r="B243" t="s">
        <v>736</v>
      </c>
      <c r="C243" t="s">
        <v>88</v>
      </c>
      <c r="D243" t="s">
        <v>88</v>
      </c>
      <c r="E243" t="s">
        <v>88</v>
      </c>
    </row>
    <row r="244" spans="1:6" ht="60">
      <c r="A244" s="1">
        <v>45546</v>
      </c>
      <c r="B244" s="78" t="s">
        <v>737</v>
      </c>
      <c r="C244" s="78" t="s">
        <v>738</v>
      </c>
      <c r="D244" s="1">
        <v>45546</v>
      </c>
      <c r="E244" t="s">
        <v>405</v>
      </c>
    </row>
    <row r="245" spans="1:6">
      <c r="A245" s="1">
        <v>45547</v>
      </c>
      <c r="B245" t="s">
        <v>561</v>
      </c>
      <c r="C245" t="s">
        <v>88</v>
      </c>
      <c r="D245" t="s">
        <v>88</v>
      </c>
      <c r="E245" t="s">
        <v>88</v>
      </c>
    </row>
    <row r="246" spans="1:6">
      <c r="A246" s="1">
        <v>45548</v>
      </c>
      <c r="B246" t="s">
        <v>739</v>
      </c>
      <c r="C246" t="s">
        <v>421</v>
      </c>
      <c r="D246" s="1">
        <v>45555</v>
      </c>
      <c r="E246" t="s">
        <v>463</v>
      </c>
      <c r="F246" s="78" t="s">
        <v>740</v>
      </c>
    </row>
    <row r="247" spans="1:6">
      <c r="A247" s="1">
        <v>45551</v>
      </c>
      <c r="B247" t="s">
        <v>561</v>
      </c>
      <c r="C247" t="s">
        <v>88</v>
      </c>
      <c r="D247" t="s">
        <v>88</v>
      </c>
      <c r="E247" t="s">
        <v>88</v>
      </c>
    </row>
    <row r="248" spans="1:6">
      <c r="A248" s="1">
        <v>45552</v>
      </c>
      <c r="B248" t="s">
        <v>741</v>
      </c>
      <c r="C248" t="s">
        <v>410</v>
      </c>
      <c r="D248" s="1">
        <v>45553</v>
      </c>
      <c r="E248" t="s">
        <v>405</v>
      </c>
      <c r="F248" s="78" t="s">
        <v>742</v>
      </c>
    </row>
    <row r="249" spans="1:6">
      <c r="A249" s="1">
        <v>45553</v>
      </c>
      <c r="B249" t="s">
        <v>561</v>
      </c>
      <c r="C249" t="s">
        <v>88</v>
      </c>
      <c r="D249" t="s">
        <v>88</v>
      </c>
      <c r="E249" t="s">
        <v>88</v>
      </c>
    </row>
    <row r="250" spans="1:6">
      <c r="A250" s="1">
        <v>45554</v>
      </c>
      <c r="B250" t="s">
        <v>561</v>
      </c>
      <c r="C250" t="s">
        <v>88</v>
      </c>
      <c r="D250" t="s">
        <v>88</v>
      </c>
      <c r="E250" t="s">
        <v>88</v>
      </c>
    </row>
    <row r="251" spans="1:6">
      <c r="A251" s="1">
        <v>45555</v>
      </c>
      <c r="B251" t="s">
        <v>561</v>
      </c>
      <c r="C251" t="s">
        <v>88</v>
      </c>
      <c r="D251" t="s">
        <v>88</v>
      </c>
      <c r="E251" t="s">
        <v>88</v>
      </c>
    </row>
    <row r="252" spans="1:6">
      <c r="A252" s="1">
        <v>45559</v>
      </c>
      <c r="B252" t="s">
        <v>743</v>
      </c>
      <c r="C252" t="s">
        <v>407</v>
      </c>
      <c r="D252" s="1">
        <v>45596</v>
      </c>
      <c r="E252" t="s">
        <v>405</v>
      </c>
      <c r="F252" s="78" t="s">
        <v>744</v>
      </c>
    </row>
    <row r="253" spans="1:6">
      <c r="A253" s="1">
        <v>45559</v>
      </c>
      <c r="B253" t="s">
        <v>745</v>
      </c>
      <c r="C253" t="s">
        <v>424</v>
      </c>
      <c r="D253" s="1">
        <v>45596</v>
      </c>
      <c r="E253" t="s">
        <v>463</v>
      </c>
    </row>
    <row r="254" spans="1:6">
      <c r="A254" s="1">
        <v>45560</v>
      </c>
      <c r="B254" t="s">
        <v>746</v>
      </c>
      <c r="C254" t="s">
        <v>421</v>
      </c>
      <c r="D254" s="1">
        <v>45596</v>
      </c>
      <c r="E254" t="s">
        <v>463</v>
      </c>
    </row>
    <row r="255" spans="1:6">
      <c r="A255" s="1">
        <v>45561</v>
      </c>
      <c r="B255" t="s">
        <v>561</v>
      </c>
      <c r="C255" t="s">
        <v>88</v>
      </c>
      <c r="D255" t="s">
        <v>88</v>
      </c>
      <c r="E255" t="s">
        <v>88</v>
      </c>
    </row>
    <row r="256" spans="1:6">
      <c r="A256" s="1">
        <v>45562</v>
      </c>
      <c r="B256" t="s">
        <v>747</v>
      </c>
      <c r="C256" t="s">
        <v>421</v>
      </c>
      <c r="D256" s="1">
        <v>45569</v>
      </c>
      <c r="E256" t="s">
        <v>405</v>
      </c>
      <c r="F256" s="78" t="s">
        <v>748</v>
      </c>
    </row>
    <row r="257" spans="1:6">
      <c r="A257" s="1">
        <v>45565</v>
      </c>
      <c r="B257" t="s">
        <v>561</v>
      </c>
      <c r="C257" t="s">
        <v>88</v>
      </c>
      <c r="D257" t="s">
        <v>88</v>
      </c>
      <c r="E257" t="s">
        <v>88</v>
      </c>
    </row>
    <row r="258" spans="1:6">
      <c r="A258" s="1">
        <v>45566</v>
      </c>
      <c r="B258" t="s">
        <v>561</v>
      </c>
      <c r="C258" t="s">
        <v>88</v>
      </c>
      <c r="D258" t="s">
        <v>88</v>
      </c>
      <c r="E258" t="s">
        <v>88</v>
      </c>
    </row>
    <row r="259" spans="1:6">
      <c r="A259" s="1">
        <v>45567</v>
      </c>
      <c r="B259" t="s">
        <v>749</v>
      </c>
      <c r="C259" t="s">
        <v>750</v>
      </c>
      <c r="D259" s="1">
        <v>45567</v>
      </c>
      <c r="E259" t="s">
        <v>405</v>
      </c>
      <c r="F259" s="78" t="s">
        <v>751</v>
      </c>
    </row>
    <row r="260" spans="1:6" ht="30">
      <c r="A260" s="1">
        <v>45567</v>
      </c>
      <c r="B260" t="s">
        <v>752</v>
      </c>
      <c r="C260" t="s">
        <v>424</v>
      </c>
      <c r="D260" s="1">
        <v>45567</v>
      </c>
      <c r="E260" t="s">
        <v>405</v>
      </c>
      <c r="F260" s="78" t="s">
        <v>753</v>
      </c>
    </row>
    <row r="261" spans="1:6" ht="45">
      <c r="A261" s="1">
        <v>45567</v>
      </c>
      <c r="B261" t="s">
        <v>754</v>
      </c>
      <c r="C261" t="s">
        <v>407</v>
      </c>
      <c r="D261" s="1">
        <v>45569</v>
      </c>
      <c r="E261" t="s">
        <v>405</v>
      </c>
      <c r="F261" s="78" t="s">
        <v>755</v>
      </c>
    </row>
    <row r="262" spans="1:6" ht="30">
      <c r="A262" s="1">
        <v>45568</v>
      </c>
      <c r="B262" t="s">
        <v>756</v>
      </c>
      <c r="C262" t="s">
        <v>424</v>
      </c>
      <c r="D262" s="1">
        <v>45569</v>
      </c>
      <c r="E262" t="s">
        <v>405</v>
      </c>
      <c r="F262" s="78" t="s">
        <v>757</v>
      </c>
    </row>
    <row r="263" spans="1:6">
      <c r="A263" s="1">
        <v>45572</v>
      </c>
      <c r="B263" t="s">
        <v>561</v>
      </c>
      <c r="C263" t="s">
        <v>88</v>
      </c>
      <c r="D263" t="s">
        <v>88</v>
      </c>
      <c r="E263" t="s">
        <v>88</v>
      </c>
    </row>
    <row r="264" spans="1:6">
      <c r="A264" s="1">
        <v>45573</v>
      </c>
      <c r="B264" t="s">
        <v>758</v>
      </c>
      <c r="C264" t="s">
        <v>759</v>
      </c>
      <c r="D264" s="1">
        <v>45573</v>
      </c>
      <c r="E264" t="s">
        <v>405</v>
      </c>
    </row>
    <row r="265" spans="1:6">
      <c r="A265" s="1">
        <v>45574</v>
      </c>
      <c r="B265" t="s">
        <v>760</v>
      </c>
      <c r="C265" t="s">
        <v>410</v>
      </c>
      <c r="D265" s="1">
        <v>45574</v>
      </c>
      <c r="E265" t="s">
        <v>405</v>
      </c>
      <c r="F265" s="78" t="s">
        <v>761</v>
      </c>
    </row>
    <row r="266" spans="1:6">
      <c r="A266" s="1">
        <v>45575</v>
      </c>
      <c r="B266" t="s">
        <v>561</v>
      </c>
      <c r="C266" t="s">
        <v>88</v>
      </c>
      <c r="D266" t="s">
        <v>88</v>
      </c>
      <c r="E266" t="s">
        <v>88</v>
      </c>
    </row>
    <row r="267" spans="1:6">
      <c r="A267" s="1">
        <v>45576</v>
      </c>
      <c r="B267" t="s">
        <v>561</v>
      </c>
      <c r="C267" t="s">
        <v>88</v>
      </c>
      <c r="D267" t="s">
        <v>88</v>
      </c>
      <c r="E267" t="s">
        <v>88</v>
      </c>
    </row>
    <row r="268" spans="1:6">
      <c r="A268" s="1">
        <v>45579</v>
      </c>
      <c r="B268" t="s">
        <v>561</v>
      </c>
      <c r="C268" t="s">
        <v>88</v>
      </c>
      <c r="D268" t="s">
        <v>88</v>
      </c>
      <c r="E268" t="s">
        <v>88</v>
      </c>
    </row>
    <row r="269" spans="1:6" ht="45">
      <c r="A269" s="1">
        <v>45580</v>
      </c>
      <c r="B269" t="s">
        <v>762</v>
      </c>
      <c r="C269" t="s">
        <v>424</v>
      </c>
      <c r="D269" s="1">
        <v>45583</v>
      </c>
      <c r="E269" t="s">
        <v>463</v>
      </c>
      <c r="F269" s="78" t="s">
        <v>763</v>
      </c>
    </row>
    <row r="270" spans="1:6">
      <c r="A270" s="1">
        <v>45581</v>
      </c>
      <c r="B270" t="s">
        <v>561</v>
      </c>
      <c r="C270" t="s">
        <v>88</v>
      </c>
      <c r="D270" t="s">
        <v>88</v>
      </c>
      <c r="E270" t="s">
        <v>88</v>
      </c>
    </row>
    <row r="271" spans="1:6" ht="30">
      <c r="A271" s="1">
        <v>45582</v>
      </c>
      <c r="B271" s="78" t="s">
        <v>764</v>
      </c>
      <c r="C271" t="s">
        <v>421</v>
      </c>
      <c r="D271" s="1">
        <v>45596</v>
      </c>
      <c r="E271" t="s">
        <v>463</v>
      </c>
      <c r="F271" s="78" t="s">
        <v>765</v>
      </c>
    </row>
    <row r="272" spans="1:6" ht="30">
      <c r="A272" s="1">
        <v>45583</v>
      </c>
      <c r="B272" t="s">
        <v>766</v>
      </c>
      <c r="C272" t="s">
        <v>590</v>
      </c>
      <c r="D272" s="1">
        <v>45596</v>
      </c>
      <c r="E272" t="s">
        <v>405</v>
      </c>
      <c r="F272" s="78" t="s">
        <v>5359</v>
      </c>
    </row>
    <row r="273" spans="1:6">
      <c r="A273" s="1">
        <v>45586</v>
      </c>
      <c r="B273" t="s">
        <v>767</v>
      </c>
      <c r="C273" t="s">
        <v>410</v>
      </c>
      <c r="D273" s="1">
        <v>45586</v>
      </c>
      <c r="E273" t="s">
        <v>405</v>
      </c>
    </row>
    <row r="274" spans="1:6">
      <c r="A274" s="1">
        <v>45587</v>
      </c>
      <c r="B274" t="s">
        <v>561</v>
      </c>
      <c r="C274" t="s">
        <v>88</v>
      </c>
      <c r="D274" t="s">
        <v>88</v>
      </c>
      <c r="E274" t="s">
        <v>88</v>
      </c>
    </row>
    <row r="275" spans="1:6">
      <c r="A275" s="1">
        <v>45589</v>
      </c>
      <c r="B275" t="s">
        <v>768</v>
      </c>
      <c r="C275" t="s">
        <v>769</v>
      </c>
      <c r="D275" s="1">
        <v>45590</v>
      </c>
      <c r="E275" t="s">
        <v>405</v>
      </c>
    </row>
    <row r="276" spans="1:6">
      <c r="A276" s="1">
        <v>45590</v>
      </c>
      <c r="B276" t="s">
        <v>770</v>
      </c>
      <c r="C276" t="s">
        <v>410</v>
      </c>
      <c r="D276" s="1">
        <v>45596</v>
      </c>
      <c r="E276" t="s">
        <v>463</v>
      </c>
    </row>
    <row r="277" spans="1:6">
      <c r="A277" s="1">
        <v>45590</v>
      </c>
      <c r="B277" t="s">
        <v>771</v>
      </c>
      <c r="C277" t="s">
        <v>410</v>
      </c>
      <c r="D277" s="1">
        <v>45596</v>
      </c>
      <c r="E277" t="s">
        <v>463</v>
      </c>
    </row>
    <row r="278" spans="1:6">
      <c r="A278" s="1">
        <v>45590</v>
      </c>
      <c r="B278" t="s">
        <v>772</v>
      </c>
      <c r="C278" t="s">
        <v>88</v>
      </c>
      <c r="D278" t="s">
        <v>88</v>
      </c>
      <c r="E278" t="s">
        <v>88</v>
      </c>
    </row>
    <row r="279" spans="1:6" ht="45">
      <c r="A279" s="1">
        <v>45593</v>
      </c>
      <c r="B279" s="78" t="s">
        <v>773</v>
      </c>
      <c r="C279" t="s">
        <v>407</v>
      </c>
      <c r="D279" s="1">
        <v>45594</v>
      </c>
      <c r="E279" t="s">
        <v>405</v>
      </c>
    </row>
    <row r="280" spans="1:6" ht="30">
      <c r="A280" s="1">
        <v>45594</v>
      </c>
      <c r="B280" s="78" t="s">
        <v>774</v>
      </c>
      <c r="C280" t="s">
        <v>88</v>
      </c>
      <c r="D280" t="s">
        <v>88</v>
      </c>
      <c r="E280" t="s">
        <v>88</v>
      </c>
    </row>
    <row r="281" spans="1:6">
      <c r="A281" s="1">
        <v>45595</v>
      </c>
      <c r="B281" t="s">
        <v>561</v>
      </c>
      <c r="C281" t="s">
        <v>88</v>
      </c>
      <c r="D281" t="s">
        <v>88</v>
      </c>
      <c r="E281" t="s">
        <v>88</v>
      </c>
    </row>
    <row r="282" spans="1:6">
      <c r="A282" s="1">
        <v>45596</v>
      </c>
      <c r="B282" t="s">
        <v>561</v>
      </c>
      <c r="C282" t="s">
        <v>88</v>
      </c>
      <c r="D282" t="s">
        <v>88</v>
      </c>
      <c r="E282" t="s">
        <v>88</v>
      </c>
    </row>
    <row r="283" spans="1:6">
      <c r="A283" s="1">
        <v>45600</v>
      </c>
      <c r="B283" t="s">
        <v>775</v>
      </c>
      <c r="C283" t="s">
        <v>421</v>
      </c>
      <c r="D283" s="1">
        <v>45656</v>
      </c>
      <c r="E283" t="s">
        <v>463</v>
      </c>
    </row>
    <row r="284" spans="1:6">
      <c r="A284" s="1">
        <v>45601</v>
      </c>
      <c r="B284" t="s">
        <v>561</v>
      </c>
      <c r="C284" t="s">
        <v>88</v>
      </c>
      <c r="D284" t="s">
        <v>88</v>
      </c>
      <c r="E284" t="s">
        <v>88</v>
      </c>
    </row>
    <row r="285" spans="1:6">
      <c r="A285" s="1">
        <v>45602</v>
      </c>
      <c r="B285" t="s">
        <v>561</v>
      </c>
      <c r="C285" t="s">
        <v>88</v>
      </c>
      <c r="D285" t="s">
        <v>88</v>
      </c>
      <c r="E285" t="s">
        <v>88</v>
      </c>
    </row>
    <row r="286" spans="1:6">
      <c r="A286" s="1">
        <v>45603</v>
      </c>
      <c r="B286" t="s">
        <v>776</v>
      </c>
      <c r="C286" t="s">
        <v>407</v>
      </c>
      <c r="D286" s="1">
        <v>45625</v>
      </c>
      <c r="E286" t="s">
        <v>405</v>
      </c>
      <c r="F286" s="78" t="s">
        <v>777</v>
      </c>
    </row>
    <row r="287" spans="1:6">
      <c r="A287" s="1">
        <v>45604</v>
      </c>
      <c r="B287" t="s">
        <v>561</v>
      </c>
      <c r="C287" t="s">
        <v>88</v>
      </c>
      <c r="D287" t="s">
        <v>88</v>
      </c>
      <c r="E287" t="s">
        <v>88</v>
      </c>
    </row>
    <row r="288" spans="1:6">
      <c r="A288" s="1">
        <v>45607</v>
      </c>
      <c r="B288" t="s">
        <v>778</v>
      </c>
      <c r="C288" t="s">
        <v>726</v>
      </c>
      <c r="D288" t="s">
        <v>88</v>
      </c>
      <c r="E288" t="s">
        <v>88</v>
      </c>
    </row>
    <row r="289" spans="1:5">
      <c r="A289" s="1">
        <v>45608</v>
      </c>
      <c r="B289" t="s">
        <v>561</v>
      </c>
      <c r="C289" t="s">
        <v>88</v>
      </c>
      <c r="D289" t="s">
        <v>88</v>
      </c>
      <c r="E289" t="s">
        <v>88</v>
      </c>
    </row>
    <row r="290" spans="1:5">
      <c r="A290" s="1">
        <v>45609</v>
      </c>
      <c r="B290" t="s">
        <v>561</v>
      </c>
      <c r="C290" t="s">
        <v>88</v>
      </c>
      <c r="D290" t="s">
        <v>88</v>
      </c>
      <c r="E290" t="s">
        <v>88</v>
      </c>
    </row>
    <row r="291" spans="1:5">
      <c r="A291" s="1">
        <v>45610</v>
      </c>
      <c r="B291" t="s">
        <v>561</v>
      </c>
      <c r="C291" t="s">
        <v>88</v>
      </c>
      <c r="D291" t="s">
        <v>88</v>
      </c>
      <c r="E291" t="s">
        <v>88</v>
      </c>
    </row>
    <row r="292" spans="1:5">
      <c r="A292" s="1">
        <v>45611</v>
      </c>
      <c r="B292" t="s">
        <v>561</v>
      </c>
      <c r="C292" t="s">
        <v>88</v>
      </c>
      <c r="D292" t="s">
        <v>88</v>
      </c>
      <c r="E292" t="s">
        <v>88</v>
      </c>
    </row>
    <row r="293" spans="1:5">
      <c r="A293" s="1">
        <v>45614</v>
      </c>
      <c r="B293" t="s">
        <v>561</v>
      </c>
      <c r="C293" t="s">
        <v>88</v>
      </c>
      <c r="D293" t="s">
        <v>88</v>
      </c>
      <c r="E293" t="s">
        <v>88</v>
      </c>
    </row>
    <row r="294" spans="1:5">
      <c r="A294" s="1">
        <v>45615</v>
      </c>
      <c r="B294" t="s">
        <v>561</v>
      </c>
      <c r="C294" t="s">
        <v>88</v>
      </c>
      <c r="D294" t="s">
        <v>88</v>
      </c>
      <c r="E294" t="s">
        <v>88</v>
      </c>
    </row>
    <row r="295" spans="1:5">
      <c r="A295" s="1">
        <v>45616</v>
      </c>
      <c r="B295" t="s">
        <v>561</v>
      </c>
      <c r="C295" t="s">
        <v>88</v>
      </c>
      <c r="D295" t="s">
        <v>88</v>
      </c>
      <c r="E295" t="s">
        <v>88</v>
      </c>
    </row>
    <row r="296" spans="1:5">
      <c r="A296" s="1">
        <v>45617</v>
      </c>
      <c r="B296" t="s">
        <v>561</v>
      </c>
      <c r="C296" t="s">
        <v>88</v>
      </c>
      <c r="D296" t="s">
        <v>88</v>
      </c>
      <c r="E296" t="s">
        <v>88</v>
      </c>
    </row>
    <row r="297" spans="1:5">
      <c r="A297" s="1">
        <v>45618</v>
      </c>
      <c r="B297" t="s">
        <v>561</v>
      </c>
      <c r="C297" t="s">
        <v>88</v>
      </c>
      <c r="D297" t="s">
        <v>88</v>
      </c>
      <c r="E297" t="s">
        <v>88</v>
      </c>
    </row>
    <row r="298" spans="1:5">
      <c r="A298" s="1">
        <v>45621</v>
      </c>
      <c r="B298" t="s">
        <v>561</v>
      </c>
      <c r="C298" t="s">
        <v>88</v>
      </c>
      <c r="D298" t="s">
        <v>88</v>
      </c>
      <c r="E298" t="s">
        <v>88</v>
      </c>
    </row>
    <row r="299" spans="1:5">
      <c r="A299" s="1">
        <v>45622</v>
      </c>
      <c r="B299" t="s">
        <v>561</v>
      </c>
      <c r="C299" t="s">
        <v>88</v>
      </c>
      <c r="D299" t="s">
        <v>88</v>
      </c>
      <c r="E299" t="s">
        <v>88</v>
      </c>
    </row>
    <row r="300" spans="1:5">
      <c r="A300" s="1">
        <v>45623</v>
      </c>
      <c r="B300" t="s">
        <v>561</v>
      </c>
      <c r="C300" t="s">
        <v>88</v>
      </c>
      <c r="D300" t="s">
        <v>88</v>
      </c>
      <c r="E300" t="s">
        <v>88</v>
      </c>
    </row>
    <row r="301" spans="1:5">
      <c r="A301" s="1">
        <v>45624</v>
      </c>
      <c r="B301" t="s">
        <v>561</v>
      </c>
      <c r="C301" t="s">
        <v>88</v>
      </c>
      <c r="D301" t="s">
        <v>88</v>
      </c>
      <c r="E301" t="s">
        <v>88</v>
      </c>
    </row>
    <row r="302" spans="1:5">
      <c r="A302" s="1">
        <v>45625</v>
      </c>
      <c r="B302" t="s">
        <v>561</v>
      </c>
      <c r="C302" t="s">
        <v>88</v>
      </c>
      <c r="D302" t="s">
        <v>88</v>
      </c>
      <c r="E302" t="s">
        <v>88</v>
      </c>
    </row>
    <row r="303" spans="1:5">
      <c r="A303" s="1">
        <v>45628</v>
      </c>
      <c r="B303" t="s">
        <v>561</v>
      </c>
      <c r="C303" t="s">
        <v>88</v>
      </c>
      <c r="D303" t="s">
        <v>88</v>
      </c>
      <c r="E303" t="s">
        <v>88</v>
      </c>
    </row>
    <row r="304" spans="1:5">
      <c r="A304" s="1">
        <v>45629</v>
      </c>
      <c r="B304" t="s">
        <v>561</v>
      </c>
      <c r="C304" t="s">
        <v>88</v>
      </c>
      <c r="D304" t="s">
        <v>88</v>
      </c>
      <c r="E304" t="s">
        <v>88</v>
      </c>
    </row>
    <row r="305" spans="1:6">
      <c r="A305" s="1">
        <v>45630</v>
      </c>
      <c r="B305" t="s">
        <v>561</v>
      </c>
      <c r="C305" t="s">
        <v>88</v>
      </c>
      <c r="D305" t="s">
        <v>88</v>
      </c>
      <c r="E305" t="s">
        <v>88</v>
      </c>
    </row>
    <row r="306" spans="1:6" ht="30">
      <c r="A306" s="1">
        <v>45631</v>
      </c>
      <c r="B306" s="78" t="s">
        <v>779</v>
      </c>
      <c r="C306" t="s">
        <v>421</v>
      </c>
      <c r="D306" s="1">
        <v>45657</v>
      </c>
      <c r="E306" t="s">
        <v>405</v>
      </c>
    </row>
    <row r="307" spans="1:6">
      <c r="A307" s="1">
        <v>45632</v>
      </c>
      <c r="B307" t="s">
        <v>561</v>
      </c>
      <c r="C307" t="s">
        <v>88</v>
      </c>
      <c r="D307" t="s">
        <v>88</v>
      </c>
      <c r="E307" t="s">
        <v>88</v>
      </c>
    </row>
    <row r="308" spans="1:6">
      <c r="A308" s="1">
        <v>45635</v>
      </c>
      <c r="B308" t="s">
        <v>780</v>
      </c>
      <c r="C308" t="s">
        <v>424</v>
      </c>
      <c r="D308" s="1">
        <v>45639</v>
      </c>
      <c r="E308" t="s">
        <v>463</v>
      </c>
    </row>
    <row r="309" spans="1:6" ht="30">
      <c r="A309" s="1">
        <v>45636</v>
      </c>
      <c r="B309" t="s">
        <v>781</v>
      </c>
      <c r="C309" t="s">
        <v>424</v>
      </c>
      <c r="D309" s="1">
        <v>45636</v>
      </c>
      <c r="E309" t="s">
        <v>405</v>
      </c>
      <c r="F309" s="78" t="s">
        <v>782</v>
      </c>
    </row>
    <row r="310" spans="1:6">
      <c r="A310" s="1">
        <v>45637</v>
      </c>
      <c r="B310" t="s">
        <v>783</v>
      </c>
      <c r="C310" t="s">
        <v>421</v>
      </c>
      <c r="D310" s="1">
        <v>45639</v>
      </c>
      <c r="E310" t="s">
        <v>405</v>
      </c>
    </row>
    <row r="311" spans="1:6">
      <c r="A311" s="1">
        <v>45638</v>
      </c>
      <c r="B311" t="s">
        <v>784</v>
      </c>
      <c r="C311" t="s">
        <v>410</v>
      </c>
      <c r="D311" s="1">
        <v>45639</v>
      </c>
      <c r="E311" t="s">
        <v>405</v>
      </c>
      <c r="F311" s="78" t="s">
        <v>5311</v>
      </c>
    </row>
    <row r="312" spans="1:6">
      <c r="A312" s="1">
        <v>45639</v>
      </c>
      <c r="B312" t="s">
        <v>5298</v>
      </c>
      <c r="C312" t="s">
        <v>410</v>
      </c>
      <c r="D312" s="1">
        <v>45639</v>
      </c>
      <c r="E312" t="s">
        <v>463</v>
      </c>
    </row>
    <row r="313" spans="1:6">
      <c r="A313" s="1">
        <v>45642</v>
      </c>
      <c r="B313" t="s">
        <v>5310</v>
      </c>
      <c r="C313" t="s">
        <v>410</v>
      </c>
      <c r="D313" s="1">
        <v>45644</v>
      </c>
      <c r="E313" t="s">
        <v>463</v>
      </c>
    </row>
    <row r="314" spans="1:6">
      <c r="A314" s="1">
        <v>45643</v>
      </c>
      <c r="B314" t="s">
        <v>5322</v>
      </c>
      <c r="C314" t="s">
        <v>424</v>
      </c>
      <c r="D314" s="1">
        <v>45657</v>
      </c>
      <c r="E314" t="s">
        <v>463</v>
      </c>
    </row>
    <row r="315" spans="1:6">
      <c r="A315" s="1">
        <v>45643</v>
      </c>
      <c r="B315" t="s">
        <v>5323</v>
      </c>
      <c r="C315" t="s">
        <v>421</v>
      </c>
      <c r="D315" s="1">
        <v>45657</v>
      </c>
      <c r="E315" t="s">
        <v>463</v>
      </c>
    </row>
    <row r="316" spans="1:6">
      <c r="A316" s="1">
        <v>45643</v>
      </c>
      <c r="B316" t="s">
        <v>5324</v>
      </c>
      <c r="C316" t="s">
        <v>421</v>
      </c>
      <c r="D316" s="1">
        <v>45657</v>
      </c>
      <c r="E316" t="s">
        <v>405</v>
      </c>
      <c r="F316" s="78" t="s">
        <v>5378</v>
      </c>
    </row>
    <row r="317" spans="1:6">
      <c r="A317" s="1">
        <v>45644</v>
      </c>
      <c r="B317" t="s">
        <v>561</v>
      </c>
      <c r="C317" t="s">
        <v>88</v>
      </c>
      <c r="D317" t="s">
        <v>88</v>
      </c>
      <c r="E317" t="s">
        <v>88</v>
      </c>
    </row>
    <row r="318" spans="1:6">
      <c r="A318" s="1">
        <v>45645</v>
      </c>
      <c r="B318" t="s">
        <v>561</v>
      </c>
      <c r="C318" t="s">
        <v>88</v>
      </c>
      <c r="D318" t="s">
        <v>88</v>
      </c>
      <c r="E318" t="s">
        <v>88</v>
      </c>
    </row>
    <row r="319" spans="1:6">
      <c r="A319" s="1">
        <v>45646</v>
      </c>
      <c r="B319" t="s">
        <v>561</v>
      </c>
      <c r="C319" t="s">
        <v>88</v>
      </c>
      <c r="D319" t="s">
        <v>88</v>
      </c>
      <c r="E319" t="s">
        <v>88</v>
      </c>
    </row>
  </sheetData>
  <autoFilter ref="A1:F319" xr:uid="{A127FBA5-416B-4E28-825E-0B9EB9ADB594}"/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Munka28" filterMode="1">
    <tabColor theme="3"/>
  </sheetPr>
  <dimension ref="A1:L484"/>
  <sheetViews>
    <sheetView zoomScale="90" zoomScaleNormal="90" workbookViewId="0">
      <selection activeCell="E25" sqref="E25:E165"/>
    </sheetView>
  </sheetViews>
  <sheetFormatPr defaultRowHeight="15"/>
  <cols>
    <col min="1" max="1" width="15.42578125" style="124" bestFit="1" customWidth="1"/>
    <col min="2" max="2" width="13.42578125" style="116" bestFit="1" customWidth="1"/>
    <col min="3" max="3" width="17" style="116" bestFit="1" customWidth="1"/>
    <col min="4" max="4" width="9.42578125" style="116"/>
    <col min="5" max="5" width="10.42578125" style="123" bestFit="1" customWidth="1"/>
    <col min="6" max="7" width="9.42578125" style="116"/>
    <col min="8" max="8" width="14.85546875" style="116" bestFit="1" customWidth="1"/>
    <col min="9" max="9" width="9.7109375" customWidth="1"/>
  </cols>
  <sheetData>
    <row r="1" spans="1:12" ht="31.5">
      <c r="A1" s="117" t="s">
        <v>785</v>
      </c>
      <c r="B1" s="117" t="s">
        <v>786</v>
      </c>
      <c r="C1" s="117" t="s">
        <v>787</v>
      </c>
      <c r="D1" s="117" t="s">
        <v>788</v>
      </c>
      <c r="E1" s="118" t="s">
        <v>338</v>
      </c>
      <c r="F1" s="117" t="s">
        <v>789</v>
      </c>
      <c r="G1" s="117" t="s">
        <v>790</v>
      </c>
      <c r="H1" s="492" t="s">
        <v>791</v>
      </c>
      <c r="I1" s="117" t="s">
        <v>788</v>
      </c>
      <c r="J1" s="117" t="s">
        <v>792</v>
      </c>
      <c r="K1" s="117" t="s">
        <v>793</v>
      </c>
      <c r="L1" s="117" t="s">
        <v>794</v>
      </c>
    </row>
    <row r="2" spans="1:12" hidden="1">
      <c r="A2" s="388">
        <v>45628</v>
      </c>
      <c r="B2" s="120" t="s">
        <v>795</v>
      </c>
      <c r="C2" s="390" t="s">
        <v>796</v>
      </c>
      <c r="D2" s="396">
        <v>1.2</v>
      </c>
      <c r="E2" s="123">
        <f>IF(TYPE(VLOOKUP(C2,'Sales_DC Price'!K:L,2,0))=16,0,VLOOKUP(C2,'Sales_DC Price'!K:L,2,0)*D2)</f>
        <v>1500</v>
      </c>
      <c r="F2" s="116">
        <f>IF(TYPE(VLOOKUP(C2,'Sales_DC Price'!Q:R,2,0))=16,0,VLOOKUP(C2,'Sales_DC Price'!Q:R,2,0))</f>
        <v>966.53413999999998</v>
      </c>
      <c r="G2" s="116">
        <f t="shared" ref="G2:G65" si="0">F2*D2</f>
        <v>1159.840968</v>
      </c>
      <c r="J2" s="116">
        <f>SUM(E2:E9133)</f>
        <v>297320.1210000001</v>
      </c>
      <c r="K2">
        <f>SUM(D:D)*1000</f>
        <v>482421.99999999994</v>
      </c>
      <c r="L2" s="116">
        <f>SUM(G2:G9134)</f>
        <v>235628.56444077007</v>
      </c>
    </row>
    <row r="3" spans="1:12" hidden="1">
      <c r="A3" s="389">
        <v>45628</v>
      </c>
      <c r="B3" s="120" t="s">
        <v>797</v>
      </c>
      <c r="C3" s="391" t="s">
        <v>798</v>
      </c>
      <c r="D3" s="397">
        <v>0.4</v>
      </c>
      <c r="E3" s="123">
        <f>IF(TYPE(VLOOKUP(C3,'Sales_DC Price'!K:L,2,0))=16,0,VLOOKUP(C3,'Sales_DC Price'!K:L,2,0)*D3)</f>
        <v>412</v>
      </c>
      <c r="F3" s="116">
        <f>IF(TYPE(VLOOKUP(C3,'Sales_DC Price'!Q:R,2,0))=16,0,VLOOKUP(C3,'Sales_DC Price'!Q:R,2,0))</f>
        <v>735.14859000000001</v>
      </c>
      <c r="G3" s="116">
        <f t="shared" si="0"/>
        <v>294.05943600000001</v>
      </c>
    </row>
    <row r="4" spans="1:12" hidden="1">
      <c r="A4" s="388">
        <v>45628</v>
      </c>
      <c r="B4" s="120" t="s">
        <v>795</v>
      </c>
      <c r="C4" s="390" t="s">
        <v>796</v>
      </c>
      <c r="D4" s="396">
        <v>0.4</v>
      </c>
      <c r="E4" s="123">
        <f>IF(TYPE(VLOOKUP(C4,'Sales_DC Price'!K:L,2,0))=16,0,VLOOKUP(C4,'Sales_DC Price'!K:L,2,0)*D4)</f>
        <v>500</v>
      </c>
      <c r="F4" s="116">
        <f>IF(TYPE(VLOOKUP(C4,'Sales_DC Price'!Q:R,2,0))=16,0,VLOOKUP(C4,'Sales_DC Price'!Q:R,2,0))</f>
        <v>966.53413999999998</v>
      </c>
      <c r="G4" s="116">
        <f t="shared" si="0"/>
        <v>386.61365599999999</v>
      </c>
    </row>
    <row r="5" spans="1:12" hidden="1">
      <c r="A5" s="389">
        <v>45628</v>
      </c>
      <c r="B5" s="120" t="s">
        <v>799</v>
      </c>
      <c r="C5" s="391" t="s">
        <v>796</v>
      </c>
      <c r="D5" s="397">
        <v>0.6</v>
      </c>
      <c r="E5" s="123">
        <f>IF(TYPE(VLOOKUP(C5,'Sales_DC Price'!K:L,2,0))=16,0,VLOOKUP(C5,'Sales_DC Price'!K:L,2,0)*D5)</f>
        <v>750</v>
      </c>
      <c r="F5" s="116">
        <f>IF(TYPE(VLOOKUP(C5,'Sales_DC Price'!Q:R,2,0))=16,0,VLOOKUP(C5,'Sales_DC Price'!Q:R,2,0))</f>
        <v>966.53413999999998</v>
      </c>
      <c r="G5" s="116">
        <f t="shared" si="0"/>
        <v>579.92048399999999</v>
      </c>
    </row>
    <row r="6" spans="1:12" ht="15" hidden="1" customHeight="1">
      <c r="A6" s="388">
        <v>45628</v>
      </c>
      <c r="B6" s="120" t="s">
        <v>800</v>
      </c>
      <c r="C6" s="390" t="s">
        <v>801</v>
      </c>
      <c r="D6" s="396">
        <v>2</v>
      </c>
      <c r="E6" s="123">
        <f>IF(TYPE(VLOOKUP(C6,'Sales_DC Price'!K:L,2,0))=16,0,VLOOKUP(C6,'Sales_DC Price'!K:L,2,0)*D6)</f>
        <v>1652.3999999999999</v>
      </c>
      <c r="F6" s="116">
        <f>IF(TYPE(VLOOKUP(C6,'Sales_DC Price'!Q:R,2,0))=16,0,VLOOKUP(C6,'Sales_DC Price'!Q:R,2,0))</f>
        <v>587.45416999999998</v>
      </c>
      <c r="G6" s="116">
        <f t="shared" si="0"/>
        <v>1174.90834</v>
      </c>
    </row>
    <row r="7" spans="1:12" hidden="1">
      <c r="A7" s="389">
        <v>45628</v>
      </c>
      <c r="B7" s="120" t="s">
        <v>802</v>
      </c>
      <c r="C7" s="391" t="s">
        <v>803</v>
      </c>
      <c r="D7" s="397">
        <v>2</v>
      </c>
      <c r="E7" s="123">
        <f>IF(TYPE(VLOOKUP(C7,'Sales_DC Price'!K:L,2,0))=16,0,VLOOKUP(C7,'Sales_DC Price'!K:L,2,0)*D7)</f>
        <v>561</v>
      </c>
      <c r="F7" s="116">
        <f>IF(TYPE(VLOOKUP(C7,'Sales_DC Price'!Q:R,2,0))=16,0,VLOOKUP(C7,'Sales_DC Price'!Q:R,2,0))</f>
        <v>206.8331</v>
      </c>
      <c r="G7" s="116">
        <f t="shared" si="0"/>
        <v>413.6662</v>
      </c>
    </row>
    <row r="8" spans="1:12" hidden="1">
      <c r="A8" s="388">
        <v>45628</v>
      </c>
      <c r="B8" s="120" t="s">
        <v>804</v>
      </c>
      <c r="C8" s="390" t="s">
        <v>805</v>
      </c>
      <c r="D8" s="396">
        <v>1</v>
      </c>
      <c r="E8" s="123">
        <f>IF(TYPE(VLOOKUP(C8,'Sales_DC Price'!K:L,2,0))=16,0,VLOOKUP(C8,'Sales_DC Price'!K:L,2,0)*D8)</f>
        <v>792.19999999999993</v>
      </c>
      <c r="F8" s="116">
        <f>IF(TYPE(VLOOKUP(C8,'Sales_DC Price'!Q:R,2,0))=16,0,VLOOKUP(C8,'Sales_DC Price'!Q:R,2,0))</f>
        <v>489.0523</v>
      </c>
      <c r="G8" s="116">
        <f t="shared" si="0"/>
        <v>489.0523</v>
      </c>
    </row>
    <row r="9" spans="1:12" hidden="1">
      <c r="A9" s="389">
        <v>45628</v>
      </c>
      <c r="B9" s="120" t="s">
        <v>806</v>
      </c>
      <c r="C9" s="391" t="s">
        <v>807</v>
      </c>
      <c r="D9" s="397">
        <v>6</v>
      </c>
      <c r="E9" s="123">
        <f>IF(TYPE(VLOOKUP(C9,'Sales_DC Price'!K:L,2,0))=16,0,VLOOKUP(C9,'Sales_DC Price'!K:L,2,0)*D9)</f>
        <v>1064.6399999999999</v>
      </c>
      <c r="F9" s="116">
        <f>IF(TYPE(VLOOKUP(C9,'Sales_DC Price'!Q:R,2,0))=16,0,VLOOKUP(C9,'Sales_DC Price'!Q:R,2,0))</f>
        <v>143.70284000000001</v>
      </c>
      <c r="G9" s="116">
        <f t="shared" si="0"/>
        <v>862.21704</v>
      </c>
    </row>
    <row r="10" spans="1:12" hidden="1">
      <c r="A10" s="388">
        <v>45628</v>
      </c>
      <c r="B10" s="120" t="s">
        <v>808</v>
      </c>
      <c r="C10" s="390" t="s">
        <v>809</v>
      </c>
      <c r="D10" s="396">
        <v>2</v>
      </c>
      <c r="E10" s="123">
        <f>IF(TYPE(VLOOKUP(C10,'Sales_DC Price'!K:L,2,0))=16,0,VLOOKUP(C10,'Sales_DC Price'!K:L,2,0)*D10)</f>
        <v>680</v>
      </c>
      <c r="F10" s="116">
        <f>IF(TYPE(VLOOKUP(C10,'Sales_DC Price'!Q:R,2,0))=16,0,VLOOKUP(C10,'Sales_DC Price'!Q:R,2,0))</f>
        <v>273.99029999999999</v>
      </c>
      <c r="G10" s="116">
        <f t="shared" si="0"/>
        <v>547.98059999999998</v>
      </c>
    </row>
    <row r="11" spans="1:12" hidden="1">
      <c r="A11" s="389">
        <v>45628</v>
      </c>
      <c r="B11" s="120" t="s">
        <v>810</v>
      </c>
      <c r="C11" s="391" t="s">
        <v>811</v>
      </c>
      <c r="D11" s="397">
        <v>3</v>
      </c>
      <c r="E11" s="123">
        <f>IF(TYPE(VLOOKUP(C11,'Sales_DC Price'!K:L,2,0))=16,0,VLOOKUP(C11,'Sales_DC Price'!K:L,2,0)*D11)</f>
        <v>3057</v>
      </c>
      <c r="F11" s="116">
        <f>IF(TYPE(VLOOKUP(C11,'Sales_DC Price'!Q:R,2,0))=16,0,VLOOKUP(C11,'Sales_DC Price'!Q:R,2,0))</f>
        <v>755.76558999999997</v>
      </c>
      <c r="G11" s="116">
        <f t="shared" si="0"/>
        <v>2267.2967699999999</v>
      </c>
    </row>
    <row r="12" spans="1:12" hidden="1">
      <c r="A12" s="388">
        <v>45628</v>
      </c>
      <c r="B12" s="120" t="s">
        <v>812</v>
      </c>
      <c r="C12" s="390" t="s">
        <v>813</v>
      </c>
      <c r="D12" s="396">
        <v>3</v>
      </c>
      <c r="E12" s="123">
        <f>IF(TYPE(VLOOKUP(C12,'Sales_DC Price'!K:L,2,0))=16,0,VLOOKUP(C12,'Sales_DC Price'!K:L,2,0)*D12)</f>
        <v>3888.8999999999996</v>
      </c>
      <c r="F12" s="116">
        <f>IF(TYPE(VLOOKUP(C12,'Sales_DC Price'!Q:R,2,0))=16,0,VLOOKUP(C12,'Sales_DC Price'!Q:R,2,0))</f>
        <v>1219.8346899999999</v>
      </c>
      <c r="G12" s="116">
        <f t="shared" si="0"/>
        <v>3659.50407</v>
      </c>
    </row>
    <row r="13" spans="1:12" hidden="1">
      <c r="A13" s="389">
        <v>45628</v>
      </c>
      <c r="B13" s="120" t="s">
        <v>814</v>
      </c>
      <c r="C13" s="391" t="s">
        <v>815</v>
      </c>
      <c r="D13" s="397">
        <v>1.2</v>
      </c>
      <c r="E13" s="123">
        <f>IF(TYPE(VLOOKUP(C13,'Sales_DC Price'!K:L,2,0))=16,0,VLOOKUP(C13,'Sales_DC Price'!K:L,2,0)*D13)</f>
        <v>1156.8</v>
      </c>
      <c r="F13" s="116">
        <f>IF(TYPE(VLOOKUP(C13,'Sales_DC Price'!Q:R,2,0))=16,0,VLOOKUP(C13,'Sales_DC Price'!Q:R,2,0))</f>
        <v>730.47328000000005</v>
      </c>
      <c r="G13" s="116">
        <f t="shared" si="0"/>
        <v>876.56793600000003</v>
      </c>
    </row>
    <row r="14" spans="1:12" hidden="1">
      <c r="A14" s="388">
        <v>45628</v>
      </c>
      <c r="B14" s="120" t="s">
        <v>816</v>
      </c>
      <c r="C14" s="390" t="s">
        <v>815</v>
      </c>
      <c r="D14" s="396">
        <v>1</v>
      </c>
      <c r="E14" s="123">
        <f>IF(TYPE(VLOOKUP(C14,'Sales_DC Price'!K:L,2,0))=16,0,VLOOKUP(C14,'Sales_DC Price'!K:L,2,0)*D14)</f>
        <v>964</v>
      </c>
      <c r="F14" s="116">
        <f>IF(TYPE(VLOOKUP(C14,'Sales_DC Price'!Q:R,2,0))=16,0,VLOOKUP(C14,'Sales_DC Price'!Q:R,2,0))</f>
        <v>730.47328000000005</v>
      </c>
      <c r="G14" s="116">
        <f t="shared" si="0"/>
        <v>730.47328000000005</v>
      </c>
    </row>
    <row r="15" spans="1:12" hidden="1">
      <c r="A15" s="389">
        <v>45628</v>
      </c>
      <c r="B15" s="120" t="s">
        <v>817</v>
      </c>
      <c r="C15" s="391" t="s">
        <v>798</v>
      </c>
      <c r="D15" s="397">
        <v>3</v>
      </c>
      <c r="E15" s="123">
        <f>IF(TYPE(VLOOKUP(C15,'Sales_DC Price'!K:L,2,0))=16,0,VLOOKUP(C15,'Sales_DC Price'!K:L,2,0)*D15)</f>
        <v>3090</v>
      </c>
      <c r="F15" s="116">
        <f>IF(TYPE(VLOOKUP(C15,'Sales_DC Price'!Q:R,2,0))=16,0,VLOOKUP(C15,'Sales_DC Price'!Q:R,2,0))</f>
        <v>735.14859000000001</v>
      </c>
      <c r="G15" s="116">
        <f t="shared" si="0"/>
        <v>2205.4457700000003</v>
      </c>
    </row>
    <row r="16" spans="1:12" hidden="1">
      <c r="A16" s="388">
        <v>45628</v>
      </c>
      <c r="B16" s="120" t="s">
        <v>818</v>
      </c>
      <c r="C16" s="390" t="s">
        <v>819</v>
      </c>
      <c r="D16" s="396">
        <v>6</v>
      </c>
      <c r="E16" s="123">
        <f>IF(TYPE(VLOOKUP(C16,'Sales_DC Price'!K:L,2,0))=16,0,VLOOKUP(C16,'Sales_DC Price'!K:L,2,0)*D16)</f>
        <v>4655.7000000000007</v>
      </c>
      <c r="F16" s="116">
        <f>IF(TYPE(VLOOKUP(C16,'Sales_DC Price'!Q:R,2,0))=16,0,VLOOKUP(C16,'Sales_DC Price'!Q:R,2,0))</f>
        <v>647.75509999999997</v>
      </c>
      <c r="G16" s="116">
        <f t="shared" si="0"/>
        <v>3886.5306</v>
      </c>
    </row>
    <row r="17" spans="1:7" hidden="1">
      <c r="A17" s="388">
        <v>45629</v>
      </c>
      <c r="B17" s="120" t="s">
        <v>820</v>
      </c>
      <c r="C17" s="391" t="s">
        <v>821</v>
      </c>
      <c r="D17" s="397">
        <v>3</v>
      </c>
      <c r="E17" s="123">
        <f>IF(TYPE(VLOOKUP(C17,'Sales_DC Price'!K:L,2,0))=16,0,VLOOKUP(C17,'Sales_DC Price'!K:L,2,0)*D17)</f>
        <v>3270.6000000000004</v>
      </c>
      <c r="F17" s="116">
        <f>IF(TYPE(VLOOKUP(C17,'Sales_DC Price'!Q:R,2,0))=16,0,VLOOKUP(C17,'Sales_DC Price'!Q:R,2,0))</f>
        <v>1008.3579999999999</v>
      </c>
      <c r="G17" s="116">
        <f t="shared" si="0"/>
        <v>3025.0739999999996</v>
      </c>
    </row>
    <row r="18" spans="1:7" hidden="1">
      <c r="A18" s="389">
        <v>45629</v>
      </c>
      <c r="B18" s="120" t="s">
        <v>822</v>
      </c>
      <c r="C18" s="390" t="s">
        <v>823</v>
      </c>
      <c r="D18" s="396">
        <v>3</v>
      </c>
      <c r="E18" s="123">
        <f>IF(TYPE(VLOOKUP(C18,'Sales_DC Price'!K:L,2,0))=16,0,VLOOKUP(C18,'Sales_DC Price'!K:L,2,0)*D18)</f>
        <v>3334.08</v>
      </c>
      <c r="F18" s="116">
        <f>IF(TYPE(VLOOKUP(C18,'Sales_DC Price'!Q:R,2,0))=16,0,VLOOKUP(C18,'Sales_DC Price'!Q:R,2,0))</f>
        <v>1031.4680000000001</v>
      </c>
      <c r="G18" s="116">
        <f t="shared" si="0"/>
        <v>3094.4040000000005</v>
      </c>
    </row>
    <row r="19" spans="1:7" hidden="1">
      <c r="A19" s="388">
        <v>45629</v>
      </c>
      <c r="B19" s="120" t="s">
        <v>824</v>
      </c>
      <c r="C19" s="391" t="s">
        <v>825</v>
      </c>
      <c r="D19" s="397">
        <v>3</v>
      </c>
      <c r="E19" s="123">
        <f>IF(TYPE(VLOOKUP(C19,'Sales_DC Price'!K:L,2,0))=16,0,VLOOKUP(C19,'Sales_DC Price'!K:L,2,0)*D19)</f>
        <v>5058.2699999999995</v>
      </c>
      <c r="F19" s="116">
        <f>IF(TYPE(VLOOKUP(C19,'Sales_DC Price'!Q:R,2,0))=16,0,VLOOKUP(C19,'Sales_DC Price'!Q:R,2,0))</f>
        <v>1601.1879999999999</v>
      </c>
      <c r="G19" s="116">
        <f t="shared" si="0"/>
        <v>4803.5639999999994</v>
      </c>
    </row>
    <row r="20" spans="1:7" hidden="1">
      <c r="A20" s="389">
        <v>45629</v>
      </c>
      <c r="B20" s="120" t="s">
        <v>826</v>
      </c>
      <c r="C20" s="390" t="s">
        <v>827</v>
      </c>
      <c r="D20" s="396">
        <v>15</v>
      </c>
      <c r="E20" s="123">
        <f>IF(TYPE(VLOOKUP(C20,'Sales_DC Price'!K:L,2,0))=16,0,VLOOKUP(C20,'Sales_DC Price'!K:L,2,0)*D20)</f>
        <v>22728.600000000002</v>
      </c>
      <c r="F20" s="116">
        <f>IF(TYPE(VLOOKUP(C20,'Sales_DC Price'!Q:R,2,0))=16,0,VLOOKUP(C20,'Sales_DC Price'!Q:R,2,0))</f>
        <v>1401.6079999999999</v>
      </c>
      <c r="G20" s="116">
        <f t="shared" si="0"/>
        <v>21024.12</v>
      </c>
    </row>
    <row r="21" spans="1:7" hidden="1">
      <c r="A21" s="388">
        <v>45629</v>
      </c>
      <c r="B21" s="120" t="s">
        <v>814</v>
      </c>
      <c r="C21" s="391" t="s">
        <v>815</v>
      </c>
      <c r="D21" s="397">
        <v>0.8</v>
      </c>
      <c r="E21" s="123">
        <f>IF(TYPE(VLOOKUP(C21,'Sales_DC Price'!K:L,2,0))=16,0,VLOOKUP(C21,'Sales_DC Price'!K:L,2,0)*D21)</f>
        <v>771.2</v>
      </c>
      <c r="F21" s="116">
        <f>IF(TYPE(VLOOKUP(C21,'Sales_DC Price'!Q:R,2,0))=16,0,VLOOKUP(C21,'Sales_DC Price'!Q:R,2,0))</f>
        <v>730.47328000000005</v>
      </c>
      <c r="G21" s="116">
        <f t="shared" si="0"/>
        <v>584.37862400000006</v>
      </c>
    </row>
    <row r="22" spans="1:7" hidden="1">
      <c r="A22" s="389">
        <v>45630</v>
      </c>
      <c r="B22" s="120" t="s">
        <v>828</v>
      </c>
      <c r="C22" s="390" t="s">
        <v>829</v>
      </c>
      <c r="D22" s="396">
        <v>3</v>
      </c>
      <c r="E22" s="123">
        <f>IF(TYPE(VLOOKUP(C22,'Sales_DC Price'!K:L,2,0))=16,0,VLOOKUP(C22,'Sales_DC Price'!K:L,2,0)*D22)</f>
        <v>756.59999999999991</v>
      </c>
      <c r="F22" s="116">
        <f>IF(TYPE(VLOOKUP(C22,'Sales_DC Price'!Q:R,2,0))=16,0,VLOOKUP(C22,'Sales_DC Price'!Q:R,2,0))</f>
        <v>195.72714000000002</v>
      </c>
      <c r="G22" s="116">
        <f t="shared" si="0"/>
        <v>587.18142000000012</v>
      </c>
    </row>
    <row r="23" spans="1:7" hidden="1">
      <c r="A23" s="388">
        <v>45630</v>
      </c>
      <c r="B23" s="120" t="s">
        <v>830</v>
      </c>
      <c r="C23" s="391" t="s">
        <v>831</v>
      </c>
      <c r="D23" s="397">
        <v>5</v>
      </c>
      <c r="E23" s="123">
        <f>IF(TYPE(VLOOKUP(C23,'Sales_DC Price'!K:L,2,0))=16,0,VLOOKUP(C23,'Sales_DC Price'!K:L,2,0)*D23)</f>
        <v>2706.3</v>
      </c>
      <c r="F23" s="116">
        <f>IF(TYPE(VLOOKUP(C23,'Sales_DC Price'!Q:R,2,0))=16,0,VLOOKUP(C23,'Sales_DC Price'!Q:R,2,0))</f>
        <v>405.79775000000001</v>
      </c>
      <c r="G23" s="116">
        <f t="shared" si="0"/>
        <v>2028.98875</v>
      </c>
    </row>
    <row r="24" spans="1:7" hidden="1">
      <c r="A24" s="389">
        <v>45630</v>
      </c>
      <c r="B24" s="120" t="s">
        <v>832</v>
      </c>
      <c r="C24" s="390" t="s">
        <v>833</v>
      </c>
      <c r="D24" s="396">
        <v>3</v>
      </c>
      <c r="E24" s="123">
        <f>IF(TYPE(VLOOKUP(C24,'Sales_DC Price'!K:L,2,0))=16,0,VLOOKUP(C24,'Sales_DC Price'!K:L,2,0)*D24)</f>
        <v>903</v>
      </c>
      <c r="F24" s="116">
        <f>IF(TYPE(VLOOKUP(C24,'Sales_DC Price'!Q:R,2,0))=16,0,VLOOKUP(C24,'Sales_DC Price'!Q:R,2,0))</f>
        <v>233.70399999999998</v>
      </c>
      <c r="G24" s="116">
        <f t="shared" si="0"/>
        <v>701.11199999999997</v>
      </c>
    </row>
    <row r="25" spans="1:7">
      <c r="A25" s="388">
        <v>45630</v>
      </c>
      <c r="B25" s="120" t="s">
        <v>834</v>
      </c>
      <c r="C25" s="391" t="s">
        <v>835</v>
      </c>
      <c r="D25" s="397">
        <v>3</v>
      </c>
      <c r="E25" s="123">
        <f>1408*D25</f>
        <v>4224</v>
      </c>
      <c r="F25" s="116">
        <f>IF(TYPE(VLOOKUP(C25,'Sales_DC Price'!Q:R,2,0))=16,0,VLOOKUP(C25,'Sales_DC Price'!Q:R,2,0))</f>
        <v>821.75779999999997</v>
      </c>
      <c r="G25" s="116">
        <f>F25*D25</f>
        <v>2465.2734</v>
      </c>
    </row>
    <row r="26" spans="1:7" hidden="1">
      <c r="A26" s="389">
        <v>45630</v>
      </c>
      <c r="B26" s="120" t="s">
        <v>836</v>
      </c>
      <c r="C26" s="390" t="s">
        <v>837</v>
      </c>
      <c r="D26" s="396">
        <v>7</v>
      </c>
      <c r="E26" s="123">
        <f>IF(TYPE(VLOOKUP(C26,'Sales_DC Price'!K:L,2,0))=16,0,VLOOKUP(C26,'Sales_DC Price'!K:L,2,0)*D26)</f>
        <v>3255</v>
      </c>
      <c r="F26" s="116">
        <f>IF(TYPE(VLOOKUP(C26,'Sales_DC Price'!Q:R,2,0))=16,0,VLOOKUP(C26,'Sales_DC Price'!Q:R,2,0))</f>
        <v>390.84752000000003</v>
      </c>
      <c r="G26" s="116">
        <f t="shared" si="0"/>
        <v>2735.93264</v>
      </c>
    </row>
    <row r="27" spans="1:7" hidden="1">
      <c r="A27" s="388">
        <v>45630</v>
      </c>
      <c r="B27" s="120" t="s">
        <v>838</v>
      </c>
      <c r="C27" s="391" t="s">
        <v>839</v>
      </c>
      <c r="D27" s="397">
        <v>1</v>
      </c>
      <c r="E27" s="123">
        <f>IF(TYPE(VLOOKUP(C27,'Sales_DC Price'!K:L,2,0))=16,0,VLOOKUP(C27,'Sales_DC Price'!K:L,2,0)*D27)</f>
        <v>268.38159999999999</v>
      </c>
      <c r="F27" s="116">
        <f>IF(TYPE(VLOOKUP(C27,'Sales_DC Price'!Q:R,2,0))=16,0,VLOOKUP(C27,'Sales_DC Price'!Q:R,2,0))</f>
        <v>95.090299999999999</v>
      </c>
      <c r="G27" s="116">
        <f t="shared" si="0"/>
        <v>95.090299999999999</v>
      </c>
    </row>
    <row r="28" spans="1:7">
      <c r="A28" s="389">
        <v>45630</v>
      </c>
      <c r="B28" s="120" t="s">
        <v>840</v>
      </c>
      <c r="C28" s="390" t="s">
        <v>841</v>
      </c>
      <c r="D28" s="396">
        <v>10</v>
      </c>
      <c r="E28" s="123">
        <f>662*D28</f>
        <v>6620</v>
      </c>
      <c r="F28" s="116">
        <f>IF(TYPE(VLOOKUP(C28,'Sales_DC Price'!Q:R,2,0))=16,0,VLOOKUP(C28,'Sales_DC Price'!Q:R,2,0))</f>
        <v>548.46776</v>
      </c>
      <c r="G28" s="116">
        <f t="shared" si="0"/>
        <v>5484.6776</v>
      </c>
    </row>
    <row r="29" spans="1:7" hidden="1">
      <c r="A29" s="388">
        <v>45630</v>
      </c>
      <c r="B29" s="120" t="s">
        <v>842</v>
      </c>
      <c r="C29" s="391" t="s">
        <v>815</v>
      </c>
      <c r="D29" s="397">
        <v>1.2</v>
      </c>
      <c r="E29" s="123">
        <f>IF(TYPE(VLOOKUP(C29,'Sales_DC Price'!K:L,2,0))=16,0,VLOOKUP(C29,'Sales_DC Price'!K:L,2,0)*D29)</f>
        <v>1156.8</v>
      </c>
      <c r="F29" s="116">
        <f>IF(TYPE(VLOOKUP(C29,'Sales_DC Price'!Q:R,2,0))=16,0,VLOOKUP(C29,'Sales_DC Price'!Q:R,2,0))</f>
        <v>730.47328000000005</v>
      </c>
      <c r="G29" s="116">
        <f t="shared" si="0"/>
        <v>876.56793600000003</v>
      </c>
    </row>
    <row r="30" spans="1:7" hidden="1">
      <c r="A30" s="389">
        <v>45630</v>
      </c>
      <c r="B30" s="120" t="s">
        <v>843</v>
      </c>
      <c r="C30" s="390" t="s">
        <v>796</v>
      </c>
      <c r="D30" s="396">
        <v>0.4</v>
      </c>
      <c r="E30" s="123">
        <f>IF(TYPE(VLOOKUP(C30,'Sales_DC Price'!K:L,2,0))=16,0,VLOOKUP(C30,'Sales_DC Price'!K:L,2,0)*D30)</f>
        <v>500</v>
      </c>
      <c r="F30" s="116">
        <f>IF(TYPE(VLOOKUP(C30,'Sales_DC Price'!Q:R,2,0))=16,0,VLOOKUP(C30,'Sales_DC Price'!Q:R,2,0))</f>
        <v>966.53413999999998</v>
      </c>
      <c r="G30" s="116">
        <f t="shared" si="0"/>
        <v>386.61365599999999</v>
      </c>
    </row>
    <row r="31" spans="1:7" hidden="1">
      <c r="A31" s="388">
        <v>45630</v>
      </c>
      <c r="B31" s="120" t="s">
        <v>795</v>
      </c>
      <c r="C31" s="391" t="s">
        <v>796</v>
      </c>
      <c r="D31" s="397">
        <v>1.4</v>
      </c>
      <c r="E31" s="123">
        <f>IF(TYPE(VLOOKUP(C31,'Sales_DC Price'!K:L,2,0))=16,0,VLOOKUP(C31,'Sales_DC Price'!K:L,2,0)*D31)</f>
        <v>1750</v>
      </c>
      <c r="F31" s="116">
        <f>IF(TYPE(VLOOKUP(C31,'Sales_DC Price'!Q:R,2,0))=16,0,VLOOKUP(C31,'Sales_DC Price'!Q:R,2,0))</f>
        <v>966.53413999999998</v>
      </c>
      <c r="G31" s="116">
        <f t="shared" si="0"/>
        <v>1353.147796</v>
      </c>
    </row>
    <row r="32" spans="1:7" hidden="1">
      <c r="A32" s="389">
        <v>45630</v>
      </c>
      <c r="B32" s="120" t="s">
        <v>844</v>
      </c>
      <c r="C32" s="390" t="s">
        <v>845</v>
      </c>
      <c r="D32" s="396">
        <v>1</v>
      </c>
      <c r="E32" s="123">
        <f>IF(TYPE(VLOOKUP(C32,'Sales_DC Price'!K:L,2,0))=16,0,VLOOKUP(C32,'Sales_DC Price'!K:L,2,0)*D32)</f>
        <v>686</v>
      </c>
      <c r="F32" s="116">
        <f>IF(TYPE(VLOOKUP(C32,'Sales_DC Price'!Q:R,2,0))=16,0,VLOOKUP(C32,'Sales_DC Price'!Q:R,2,0))</f>
        <v>303.46992999999998</v>
      </c>
      <c r="G32" s="116">
        <f t="shared" si="0"/>
        <v>303.46992999999998</v>
      </c>
    </row>
    <row r="33" spans="1:7" hidden="1">
      <c r="A33" s="388">
        <v>45630</v>
      </c>
      <c r="B33" s="120" t="s">
        <v>814</v>
      </c>
      <c r="C33" s="391" t="s">
        <v>815</v>
      </c>
      <c r="D33" s="397">
        <v>1</v>
      </c>
      <c r="E33" s="123">
        <f>IF(TYPE(VLOOKUP(C33,'Sales_DC Price'!K:L,2,0))=16,0,VLOOKUP(C33,'Sales_DC Price'!K:L,2,0)*D33)</f>
        <v>964</v>
      </c>
      <c r="F33" s="116">
        <f>IF(TYPE(VLOOKUP(C33,'Sales_DC Price'!Q:R,2,0))=16,0,VLOOKUP(C33,'Sales_DC Price'!Q:R,2,0))</f>
        <v>730.47328000000005</v>
      </c>
      <c r="G33" s="116">
        <f t="shared" si="0"/>
        <v>730.47328000000005</v>
      </c>
    </row>
    <row r="34" spans="1:7" hidden="1">
      <c r="A34" s="389">
        <v>45630</v>
      </c>
      <c r="B34" s="120" t="s">
        <v>846</v>
      </c>
      <c r="C34" s="390" t="s">
        <v>847</v>
      </c>
      <c r="D34" s="396">
        <v>5</v>
      </c>
      <c r="E34" s="123">
        <f>IF(TYPE(VLOOKUP(C34,'Sales_DC Price'!K:L,2,0))=16,0,VLOOKUP(C34,'Sales_DC Price'!K:L,2,0)*D34)</f>
        <v>2975</v>
      </c>
      <c r="F34" s="116">
        <f>IF(TYPE(VLOOKUP(C34,'Sales_DC Price'!Q:R,2,0))=16,0,VLOOKUP(C34,'Sales_DC Price'!Q:R,2,0))</f>
        <v>169.67502999999999</v>
      </c>
      <c r="G34" s="116">
        <f t="shared" si="0"/>
        <v>848.37514999999996</v>
      </c>
    </row>
    <row r="35" spans="1:7" hidden="1">
      <c r="A35" s="388">
        <v>45631</v>
      </c>
      <c r="B35" s="120" t="s">
        <v>842</v>
      </c>
      <c r="C35" s="391" t="s">
        <v>815</v>
      </c>
      <c r="D35" s="397">
        <v>0.8</v>
      </c>
      <c r="E35" s="123">
        <f>IF(TYPE(VLOOKUP(C35,'Sales_DC Price'!K:L,2,0))=16,0,VLOOKUP(C35,'Sales_DC Price'!K:L,2,0)*D35)</f>
        <v>771.2</v>
      </c>
      <c r="F35" s="116">
        <f>IF(TYPE(VLOOKUP(C35,'Sales_DC Price'!Q:R,2,0))=16,0,VLOOKUP(C35,'Sales_DC Price'!Q:R,2,0))</f>
        <v>730.47328000000005</v>
      </c>
      <c r="G35" s="116">
        <f t="shared" si="0"/>
        <v>584.37862400000006</v>
      </c>
    </row>
    <row r="36" spans="1:7" hidden="1">
      <c r="A36" s="389">
        <v>45631</v>
      </c>
      <c r="B36" s="120" t="s">
        <v>797</v>
      </c>
      <c r="C36" s="390" t="s">
        <v>798</v>
      </c>
      <c r="D36" s="396">
        <v>1.2</v>
      </c>
      <c r="E36" s="123">
        <f>IF(TYPE(VLOOKUP(C36,'Sales_DC Price'!K:L,2,0))=16,0,VLOOKUP(C36,'Sales_DC Price'!K:L,2,0)*D36)</f>
        <v>1236</v>
      </c>
      <c r="F36" s="116">
        <f>IF(TYPE(VLOOKUP(C36,'Sales_DC Price'!Q:R,2,0))=16,0,VLOOKUP(C36,'Sales_DC Price'!Q:R,2,0))</f>
        <v>735.14859000000001</v>
      </c>
      <c r="G36" s="116">
        <f t="shared" si="0"/>
        <v>882.17830800000002</v>
      </c>
    </row>
    <row r="37" spans="1:7" hidden="1">
      <c r="A37" s="388">
        <v>45631</v>
      </c>
      <c r="B37" s="120" t="s">
        <v>797</v>
      </c>
      <c r="C37" s="391" t="s">
        <v>798</v>
      </c>
      <c r="D37" s="397">
        <v>0.4</v>
      </c>
      <c r="E37" s="123">
        <f>IF(TYPE(VLOOKUP(C37,'Sales_DC Price'!K:L,2,0))=16,0,VLOOKUP(C37,'Sales_DC Price'!K:L,2,0)*D37)</f>
        <v>412</v>
      </c>
      <c r="F37" s="116">
        <f>IF(TYPE(VLOOKUP(C37,'Sales_DC Price'!Q:R,2,0))=16,0,VLOOKUP(C37,'Sales_DC Price'!Q:R,2,0))</f>
        <v>735.14859000000001</v>
      </c>
      <c r="G37" s="116">
        <f t="shared" si="0"/>
        <v>294.05943600000001</v>
      </c>
    </row>
    <row r="38" spans="1:7" hidden="1">
      <c r="A38" s="389">
        <v>45631</v>
      </c>
      <c r="B38" s="120" t="s">
        <v>848</v>
      </c>
      <c r="C38" s="391" t="s">
        <v>849</v>
      </c>
      <c r="D38" s="397">
        <v>5</v>
      </c>
      <c r="E38" s="123">
        <f>IF(TYPE(VLOOKUP(C38,'Sales_DC Price'!K:L,2,0))=16,0,VLOOKUP(C38,'Sales_DC Price'!K:L,2,0)*D38)</f>
        <v>1194.1000000000001</v>
      </c>
      <c r="F38" s="116">
        <f>IF(TYPE(VLOOKUP(C38,'Sales_DC Price'!Q:R,2,0))=16,0,VLOOKUP(C38,'Sales_DC Price'!Q:R,2,0))</f>
        <v>224.99589000000003</v>
      </c>
      <c r="G38" s="116">
        <f t="shared" si="0"/>
        <v>1124.9794500000003</v>
      </c>
    </row>
    <row r="39" spans="1:7" hidden="1">
      <c r="A39" s="388">
        <v>45631</v>
      </c>
      <c r="B39" s="120" t="s">
        <v>850</v>
      </c>
      <c r="C39" s="390" t="s">
        <v>851</v>
      </c>
      <c r="D39" s="396">
        <v>5</v>
      </c>
      <c r="E39" s="123">
        <f>IF(TYPE(VLOOKUP(C39,'Sales_DC Price'!K:L,2,0))=16,0,VLOOKUP(C39,'Sales_DC Price'!K:L,2,0)*D39)</f>
        <v>1622.5</v>
      </c>
      <c r="F39" s="116">
        <f>IF(TYPE(VLOOKUP(C39,'Sales_DC Price'!Q:R,2,0))=16,0,VLOOKUP(C39,'Sales_DC Price'!Q:R,2,0))</f>
        <v>160.20901000000001</v>
      </c>
      <c r="G39" s="116">
        <f t="shared" si="0"/>
        <v>801.04505000000006</v>
      </c>
    </row>
    <row r="40" spans="1:7" hidden="1">
      <c r="A40" s="389">
        <v>45631</v>
      </c>
      <c r="B40" s="120" t="s">
        <v>852</v>
      </c>
      <c r="C40" s="391" t="s">
        <v>853</v>
      </c>
      <c r="D40" s="397">
        <v>1</v>
      </c>
      <c r="E40" s="123">
        <f>IF(TYPE(VLOOKUP(C40,'Sales_DC Price'!K:L,2,0))=16,0,VLOOKUP(C40,'Sales_DC Price'!K:L,2,0)*D40)</f>
        <v>884</v>
      </c>
      <c r="F40" s="116">
        <f>IF(TYPE(VLOOKUP(C40,'Sales_DC Price'!Q:R,2,0))=16,0,VLOOKUP(C40,'Sales_DC Price'!Q:R,2,0))</f>
        <v>560.28428000000008</v>
      </c>
      <c r="G40" s="116">
        <f t="shared" si="0"/>
        <v>560.28428000000008</v>
      </c>
    </row>
    <row r="41" spans="1:7" hidden="1">
      <c r="A41" s="388">
        <v>45631</v>
      </c>
      <c r="B41" s="120" t="s">
        <v>854</v>
      </c>
      <c r="C41" s="390" t="s">
        <v>855</v>
      </c>
      <c r="D41" s="396">
        <v>3</v>
      </c>
      <c r="E41" s="123">
        <f>IF(TYPE(VLOOKUP(C41,'Sales_DC Price'!K:L,2,0))=16,0,VLOOKUP(C41,'Sales_DC Price'!K:L,2,0)*D41)</f>
        <v>510</v>
      </c>
      <c r="F41" s="116">
        <f>IF(TYPE(VLOOKUP(C41,'Sales_DC Price'!Q:R,2,0))=16,0,VLOOKUP(C41,'Sales_DC Price'!Q:R,2,0))</f>
        <v>142.89058</v>
      </c>
      <c r="G41" s="116">
        <f t="shared" si="0"/>
        <v>428.67174</v>
      </c>
    </row>
    <row r="42" spans="1:7" hidden="1">
      <c r="A42" s="389">
        <v>45631</v>
      </c>
      <c r="B42" s="120" t="s">
        <v>856</v>
      </c>
      <c r="C42" s="391" t="s">
        <v>855</v>
      </c>
      <c r="D42" s="397">
        <v>3</v>
      </c>
      <c r="E42" s="123">
        <f>IF(TYPE(VLOOKUP(C42,'Sales_DC Price'!K:L,2,0))=16,0,VLOOKUP(C42,'Sales_DC Price'!K:L,2,0)*D42)</f>
        <v>510</v>
      </c>
      <c r="F42" s="116">
        <f>IF(TYPE(VLOOKUP(C42,'Sales_DC Price'!Q:R,2,0))=16,0,VLOOKUP(C42,'Sales_DC Price'!Q:R,2,0))</f>
        <v>142.89058</v>
      </c>
      <c r="G42" s="116">
        <f t="shared" si="0"/>
        <v>428.67174</v>
      </c>
    </row>
    <row r="43" spans="1:7" hidden="1">
      <c r="A43" s="388">
        <v>45631</v>
      </c>
      <c r="B43" s="120" t="s">
        <v>857</v>
      </c>
      <c r="C43" s="390" t="s">
        <v>858</v>
      </c>
      <c r="D43" s="396">
        <v>3</v>
      </c>
      <c r="E43" s="123">
        <f>IF(TYPE(VLOOKUP(C43,'Sales_DC Price'!K:L,2,0))=16,0,VLOOKUP(C43,'Sales_DC Price'!K:L,2,0)*D43)</f>
        <v>690.00000000000011</v>
      </c>
      <c r="F43" s="116">
        <f>IF(TYPE(VLOOKUP(C43,'Sales_DC Price'!Q:R,2,0))=16,0,VLOOKUP(C43,'Sales_DC Price'!Q:R,2,0))</f>
        <v>190.03057999999999</v>
      </c>
      <c r="G43" s="116">
        <f t="shared" si="0"/>
        <v>570.09173999999996</v>
      </c>
    </row>
    <row r="44" spans="1:7" hidden="1">
      <c r="A44" s="388">
        <v>45631</v>
      </c>
      <c r="B44" s="120" t="s">
        <v>859</v>
      </c>
      <c r="C44" s="390" t="s">
        <v>807</v>
      </c>
      <c r="D44" s="396">
        <v>6</v>
      </c>
      <c r="E44" s="123">
        <f>IF(TYPE(VLOOKUP(C44,'Sales_DC Price'!K:L,2,0))=16,0,VLOOKUP(C44,'Sales_DC Price'!K:L,2,0)*D44)</f>
        <v>1064.6399999999999</v>
      </c>
      <c r="F44" s="116">
        <f>IF(TYPE(VLOOKUP(C44,'Sales_DC Price'!Q:R,2,0))=16,0,VLOOKUP(C44,'Sales_DC Price'!Q:R,2,0))</f>
        <v>143.70284000000001</v>
      </c>
      <c r="G44" s="116">
        <f t="shared" si="0"/>
        <v>862.21704</v>
      </c>
    </row>
    <row r="45" spans="1:7" hidden="1">
      <c r="A45" s="389">
        <v>45631</v>
      </c>
      <c r="B45" s="120" t="s">
        <v>860</v>
      </c>
      <c r="C45" s="391" t="s">
        <v>807</v>
      </c>
      <c r="D45" s="397">
        <v>6</v>
      </c>
      <c r="E45" s="123">
        <f>IF(TYPE(VLOOKUP(C45,'Sales_DC Price'!K:L,2,0))=16,0,VLOOKUP(C45,'Sales_DC Price'!K:L,2,0)*D45)</f>
        <v>1064.6399999999999</v>
      </c>
      <c r="F45" s="116">
        <f>IF(TYPE(VLOOKUP(C45,'Sales_DC Price'!Q:R,2,0))=16,0,VLOOKUP(C45,'Sales_DC Price'!Q:R,2,0))</f>
        <v>143.70284000000001</v>
      </c>
      <c r="G45" s="116">
        <f t="shared" si="0"/>
        <v>862.21704</v>
      </c>
    </row>
    <row r="46" spans="1:7" hidden="1">
      <c r="A46" s="388">
        <v>45631</v>
      </c>
      <c r="B46" s="120" t="s">
        <v>830</v>
      </c>
      <c r="C46" s="390" t="s">
        <v>831</v>
      </c>
      <c r="D46" s="396">
        <v>5</v>
      </c>
      <c r="E46" s="123">
        <f>IF(TYPE(VLOOKUP(C46,'Sales_DC Price'!K:L,2,0))=16,0,VLOOKUP(C46,'Sales_DC Price'!K:L,2,0)*D46)</f>
        <v>2706.3</v>
      </c>
      <c r="F46" s="116">
        <f>IF(TYPE(VLOOKUP(C46,'Sales_DC Price'!Q:R,2,0))=16,0,VLOOKUP(C46,'Sales_DC Price'!Q:R,2,0))</f>
        <v>405.79775000000001</v>
      </c>
      <c r="G46" s="116">
        <f t="shared" si="0"/>
        <v>2028.98875</v>
      </c>
    </row>
    <row r="47" spans="1:7">
      <c r="A47" s="389">
        <v>45631</v>
      </c>
      <c r="B47" s="120" t="s">
        <v>861</v>
      </c>
      <c r="C47" s="391" t="s">
        <v>862</v>
      </c>
      <c r="D47" s="397">
        <v>3</v>
      </c>
      <c r="E47" s="123">
        <f>1320*D47</f>
        <v>3960</v>
      </c>
      <c r="F47" s="116">
        <f>IF(TYPE(VLOOKUP(C47,'Sales_DC Price'!Q:R,2,0))=16,0,VLOOKUP(C47,'Sales_DC Price'!Q:R,2,0))</f>
        <v>776.81780000000003</v>
      </c>
      <c r="G47" s="116">
        <f t="shared" si="0"/>
        <v>2330.4534000000003</v>
      </c>
    </row>
    <row r="48" spans="1:7" hidden="1">
      <c r="A48" s="388">
        <v>45632</v>
      </c>
      <c r="B48" s="120" t="s">
        <v>863</v>
      </c>
      <c r="C48" s="390" t="s">
        <v>815</v>
      </c>
      <c r="D48" s="396">
        <v>2</v>
      </c>
      <c r="E48" s="123">
        <f>IF(TYPE(VLOOKUP(C48,'Sales_DC Price'!K:L,2,0))=16,0,VLOOKUP(C48,'Sales_DC Price'!K:L,2,0)*D48)</f>
        <v>1928</v>
      </c>
      <c r="F48" s="116">
        <f>IF(TYPE(VLOOKUP(C48,'Sales_DC Price'!Q:R,2,0))=16,0,VLOOKUP(C48,'Sales_DC Price'!Q:R,2,0))</f>
        <v>730.47328000000005</v>
      </c>
      <c r="G48" s="116">
        <f t="shared" si="0"/>
        <v>1460.9465600000001</v>
      </c>
    </row>
    <row r="49" spans="1:7" hidden="1">
      <c r="A49" s="389">
        <v>45632</v>
      </c>
      <c r="B49" s="120" t="s">
        <v>797</v>
      </c>
      <c r="C49" s="391" t="s">
        <v>798</v>
      </c>
      <c r="D49" s="397">
        <v>1</v>
      </c>
      <c r="E49" s="123">
        <f>IF(TYPE(VLOOKUP(C49,'Sales_DC Price'!K:L,2,0))=16,0,VLOOKUP(C49,'Sales_DC Price'!K:L,2,0)*D49)</f>
        <v>1030</v>
      </c>
      <c r="F49" s="116">
        <f>IF(TYPE(VLOOKUP(C49,'Sales_DC Price'!Q:R,2,0))=16,0,VLOOKUP(C49,'Sales_DC Price'!Q:R,2,0))</f>
        <v>735.14859000000001</v>
      </c>
      <c r="G49" s="116">
        <f t="shared" si="0"/>
        <v>735.14859000000001</v>
      </c>
    </row>
    <row r="50" spans="1:7" hidden="1">
      <c r="A50" s="388">
        <v>45632</v>
      </c>
      <c r="B50" s="120" t="s">
        <v>864</v>
      </c>
      <c r="C50" s="390" t="s">
        <v>865</v>
      </c>
      <c r="D50" s="396">
        <v>1</v>
      </c>
      <c r="E50" s="123">
        <f>IF(TYPE(VLOOKUP(C50,'Sales_DC Price'!K:L,2,0))=16,0,VLOOKUP(C50,'Sales_DC Price'!K:L,2,0)*D50)</f>
        <v>1960</v>
      </c>
      <c r="F50" s="116">
        <f>IF(TYPE(VLOOKUP(C50,'Sales_DC Price'!Q:R,2,0))=16,0,VLOOKUP(C50,'Sales_DC Price'!Q:R,2,0))</f>
        <v>1617.87069</v>
      </c>
      <c r="G50" s="116">
        <f t="shared" si="0"/>
        <v>1617.87069</v>
      </c>
    </row>
    <row r="51" spans="1:7" hidden="1">
      <c r="A51" s="389">
        <v>45632</v>
      </c>
      <c r="B51" s="120" t="s">
        <v>830</v>
      </c>
      <c r="C51" s="391" t="s">
        <v>831</v>
      </c>
      <c r="D51" s="397">
        <v>5</v>
      </c>
      <c r="E51" s="123">
        <f>IF(TYPE(VLOOKUP(C51,'Sales_DC Price'!K:L,2,0))=16,0,VLOOKUP(C51,'Sales_DC Price'!K:L,2,0)*D51)</f>
        <v>2706.3</v>
      </c>
      <c r="F51" s="116">
        <f>IF(TYPE(VLOOKUP(C51,'Sales_DC Price'!Q:R,2,0))=16,0,VLOOKUP(C51,'Sales_DC Price'!Q:R,2,0))</f>
        <v>405.79775000000001</v>
      </c>
      <c r="G51" s="116">
        <f t="shared" si="0"/>
        <v>2028.98875</v>
      </c>
    </row>
    <row r="52" spans="1:7" hidden="1">
      <c r="A52" s="388">
        <v>45632</v>
      </c>
      <c r="B52" s="120" t="s">
        <v>866</v>
      </c>
      <c r="C52" s="390" t="s">
        <v>867</v>
      </c>
      <c r="D52" s="396">
        <v>5</v>
      </c>
      <c r="E52" s="123">
        <f>IF(TYPE(VLOOKUP(C52,'Sales_DC Price'!K:L,2,0))=16,0,VLOOKUP(C52,'Sales_DC Price'!K:L,2,0)*D52)</f>
        <v>1735</v>
      </c>
      <c r="F52" s="116">
        <f>IF(TYPE(VLOOKUP(C52,'Sales_DC Price'!Q:R,2,0))=16,0,VLOOKUP(C52,'Sales_DC Price'!Q:R,2,0))</f>
        <v>308.29658999999998</v>
      </c>
      <c r="G52" s="116">
        <f t="shared" si="0"/>
        <v>1541.4829499999998</v>
      </c>
    </row>
    <row r="53" spans="1:7" hidden="1">
      <c r="A53" s="388">
        <v>45632</v>
      </c>
      <c r="B53" s="120" t="s">
        <v>868</v>
      </c>
      <c r="C53" s="390" t="s">
        <v>819</v>
      </c>
      <c r="D53" s="397">
        <v>2</v>
      </c>
      <c r="E53" s="123">
        <f>IF(TYPE(VLOOKUP(C53,'Sales_DC Price'!K:L,2,0))=16,0,VLOOKUP(C53,'Sales_DC Price'!K:L,2,0)*D53)</f>
        <v>1551.9</v>
      </c>
      <c r="F53" s="116">
        <f>IF(TYPE(VLOOKUP(C53,'Sales_DC Price'!Q:R,2,0))=16,0,VLOOKUP(C53,'Sales_DC Price'!Q:R,2,0))</f>
        <v>647.75509999999997</v>
      </c>
      <c r="G53" s="116">
        <f t="shared" si="0"/>
        <v>1295.5101999999999</v>
      </c>
    </row>
    <row r="54" spans="1:7" hidden="1">
      <c r="A54" s="389">
        <v>45632</v>
      </c>
      <c r="B54" s="120" t="s">
        <v>869</v>
      </c>
      <c r="C54" s="391" t="s">
        <v>870</v>
      </c>
      <c r="D54" s="396">
        <v>3</v>
      </c>
      <c r="E54" s="123">
        <f>IF(TYPE(VLOOKUP(C54,'Sales_DC Price'!K:L,2,0))=16,0,VLOOKUP(C54,'Sales_DC Price'!K:L,2,0)*D54)</f>
        <v>300</v>
      </c>
      <c r="F54" s="116">
        <f>IF(TYPE(VLOOKUP(C54,'Sales_DC Price'!Q:R,2,0))=16,0,VLOOKUP(C54,'Sales_DC Price'!Q:R,2,0))</f>
        <v>93.616590000000002</v>
      </c>
      <c r="G54" s="116">
        <f t="shared" si="0"/>
        <v>280.84977000000003</v>
      </c>
    </row>
    <row r="55" spans="1:7" hidden="1">
      <c r="A55" s="388">
        <v>45632</v>
      </c>
      <c r="B55" s="120" t="s">
        <v>871</v>
      </c>
      <c r="C55" s="390" t="s">
        <v>870</v>
      </c>
      <c r="D55" s="397">
        <v>3</v>
      </c>
      <c r="E55" s="123">
        <f>IF(TYPE(VLOOKUP(C55,'Sales_DC Price'!K:L,2,0))=16,0,VLOOKUP(C55,'Sales_DC Price'!K:L,2,0)*D55)</f>
        <v>300</v>
      </c>
      <c r="F55" s="116">
        <f>IF(TYPE(VLOOKUP(C55,'Sales_DC Price'!Q:R,2,0))=16,0,VLOOKUP(C55,'Sales_DC Price'!Q:R,2,0))</f>
        <v>93.616590000000002</v>
      </c>
      <c r="G55" s="116">
        <f t="shared" si="0"/>
        <v>280.84977000000003</v>
      </c>
    </row>
    <row r="56" spans="1:7" hidden="1">
      <c r="A56" s="389">
        <v>45632</v>
      </c>
      <c r="B56" s="120" t="s">
        <v>872</v>
      </c>
      <c r="C56" s="391" t="s">
        <v>870</v>
      </c>
      <c r="D56" s="396">
        <v>3</v>
      </c>
      <c r="E56" s="123">
        <f>IF(TYPE(VLOOKUP(C56,'Sales_DC Price'!K:L,2,0))=16,0,VLOOKUP(C56,'Sales_DC Price'!K:L,2,0)*D56)</f>
        <v>300</v>
      </c>
      <c r="F56" s="116">
        <f>IF(TYPE(VLOOKUP(C56,'Sales_DC Price'!Q:R,2,0))=16,0,VLOOKUP(C56,'Sales_DC Price'!Q:R,2,0))</f>
        <v>93.616590000000002</v>
      </c>
      <c r="G56" s="116">
        <f t="shared" si="0"/>
        <v>280.84977000000003</v>
      </c>
    </row>
    <row r="57" spans="1:7" hidden="1">
      <c r="A57" s="388">
        <v>45632</v>
      </c>
      <c r="B57" s="120" t="s">
        <v>873</v>
      </c>
      <c r="C57" s="390" t="s">
        <v>870</v>
      </c>
      <c r="D57" s="397">
        <v>3</v>
      </c>
      <c r="E57" s="123">
        <f>IF(TYPE(VLOOKUP(C57,'Sales_DC Price'!K:L,2,0))=16,0,VLOOKUP(C57,'Sales_DC Price'!K:L,2,0)*D57)</f>
        <v>300</v>
      </c>
      <c r="F57" s="116">
        <f>IF(TYPE(VLOOKUP(C57,'Sales_DC Price'!Q:R,2,0))=16,0,VLOOKUP(C57,'Sales_DC Price'!Q:R,2,0))</f>
        <v>93.616590000000002</v>
      </c>
      <c r="G57" s="116">
        <f t="shared" si="0"/>
        <v>280.84977000000003</v>
      </c>
    </row>
    <row r="58" spans="1:7" hidden="1">
      <c r="A58" s="389">
        <v>45632</v>
      </c>
      <c r="B58" s="120" t="s">
        <v>842</v>
      </c>
      <c r="C58" s="391" t="s">
        <v>815</v>
      </c>
      <c r="D58" s="396">
        <v>1</v>
      </c>
      <c r="E58" s="123">
        <f>IF(TYPE(VLOOKUP(C58,'Sales_DC Price'!K:L,2,0))=16,0,VLOOKUP(C58,'Sales_DC Price'!K:L,2,0)*D58)</f>
        <v>964</v>
      </c>
      <c r="F58" s="116">
        <f>IF(TYPE(VLOOKUP(C58,'Sales_DC Price'!Q:R,2,0))=16,0,VLOOKUP(C58,'Sales_DC Price'!Q:R,2,0))</f>
        <v>730.47328000000005</v>
      </c>
      <c r="G58" s="116">
        <f t="shared" si="0"/>
        <v>730.47328000000005</v>
      </c>
    </row>
    <row r="59" spans="1:7" hidden="1">
      <c r="A59" s="388">
        <v>45635</v>
      </c>
      <c r="B59" s="120" t="s">
        <v>874</v>
      </c>
      <c r="C59" s="390" t="s">
        <v>815</v>
      </c>
      <c r="D59" s="397">
        <v>1.6</v>
      </c>
      <c r="E59" s="123">
        <f>IF(TYPE(VLOOKUP(C59,'Sales_DC Price'!K:L,2,0))=16,0,VLOOKUP(C59,'Sales_DC Price'!K:L,2,0)*D59)</f>
        <v>1542.4</v>
      </c>
      <c r="F59" s="116">
        <f>IF(TYPE(VLOOKUP(C59,'Sales_DC Price'!Q:R,2,0))=16,0,VLOOKUP(C59,'Sales_DC Price'!Q:R,2,0))</f>
        <v>730.47328000000005</v>
      </c>
      <c r="G59" s="116">
        <f t="shared" si="0"/>
        <v>1168.7572480000001</v>
      </c>
    </row>
    <row r="60" spans="1:7" hidden="1">
      <c r="A60" s="389">
        <v>45635</v>
      </c>
      <c r="B60" s="120" t="s">
        <v>875</v>
      </c>
      <c r="C60" s="391" t="s">
        <v>798</v>
      </c>
      <c r="D60" s="396">
        <v>1</v>
      </c>
      <c r="E60" s="123">
        <f>IF(TYPE(VLOOKUP(C60,'Sales_DC Price'!K:L,2,0))=16,0,VLOOKUP(C60,'Sales_DC Price'!K:L,2,0)*D60)</f>
        <v>1030</v>
      </c>
      <c r="F60" s="116">
        <f>IF(TYPE(VLOOKUP(C60,'Sales_DC Price'!Q:R,2,0))=16,0,VLOOKUP(C60,'Sales_DC Price'!Q:R,2,0))</f>
        <v>735.14859000000001</v>
      </c>
      <c r="G60" s="116">
        <f t="shared" si="0"/>
        <v>735.14859000000001</v>
      </c>
    </row>
    <row r="61" spans="1:7" hidden="1">
      <c r="A61" s="388">
        <v>45635</v>
      </c>
      <c r="B61" s="120" t="s">
        <v>876</v>
      </c>
      <c r="C61" s="390" t="s">
        <v>847</v>
      </c>
      <c r="D61" s="397">
        <v>5</v>
      </c>
      <c r="E61" s="123">
        <f>IF(TYPE(VLOOKUP(C61,'Sales_DC Price'!K:L,2,0))=16,0,VLOOKUP(C61,'Sales_DC Price'!K:L,2,0)*D61)</f>
        <v>2975</v>
      </c>
      <c r="F61" s="116">
        <f>IF(TYPE(VLOOKUP(C61,'Sales_DC Price'!Q:R,2,0))=16,0,VLOOKUP(C61,'Sales_DC Price'!Q:R,2,0))</f>
        <v>169.67502999999999</v>
      </c>
      <c r="G61" s="116">
        <f t="shared" si="0"/>
        <v>848.37514999999996</v>
      </c>
    </row>
    <row r="62" spans="1:7" hidden="1">
      <c r="A62" s="388">
        <v>45635</v>
      </c>
      <c r="B62" s="120" t="s">
        <v>875</v>
      </c>
      <c r="C62" s="391" t="s">
        <v>798</v>
      </c>
      <c r="D62" s="396">
        <v>1.2</v>
      </c>
      <c r="E62" s="123">
        <f>IF(TYPE(VLOOKUP(C62,'Sales_DC Price'!K:L,2,0))=16,0,VLOOKUP(C62,'Sales_DC Price'!K:L,2,0)*D62)</f>
        <v>1236</v>
      </c>
      <c r="F62" s="116">
        <f>IF(TYPE(VLOOKUP(C62,'Sales_DC Price'!Q:R,2,0))=16,0,VLOOKUP(C62,'Sales_DC Price'!Q:R,2,0))</f>
        <v>735.14859000000001</v>
      </c>
      <c r="G62" s="116">
        <f t="shared" si="0"/>
        <v>882.17830800000002</v>
      </c>
    </row>
    <row r="63" spans="1:7" hidden="1">
      <c r="A63" s="389">
        <v>45635</v>
      </c>
      <c r="B63" s="120" t="s">
        <v>877</v>
      </c>
      <c r="C63" s="390" t="s">
        <v>851</v>
      </c>
      <c r="D63" s="397">
        <v>5</v>
      </c>
      <c r="E63" s="123">
        <f>IF(TYPE(VLOOKUP(C63,'Sales_DC Price'!K:L,2,0))=16,0,VLOOKUP(C63,'Sales_DC Price'!K:L,2,0)*D63)</f>
        <v>1622.5</v>
      </c>
      <c r="F63" s="116">
        <f>IF(TYPE(VLOOKUP(C63,'Sales_DC Price'!Q:R,2,0))=16,0,VLOOKUP(C63,'Sales_DC Price'!Q:R,2,0))</f>
        <v>160.20901000000001</v>
      </c>
      <c r="G63" s="116">
        <f t="shared" si="0"/>
        <v>801.04505000000006</v>
      </c>
    </row>
    <row r="64" spans="1:7" hidden="1">
      <c r="A64" s="388">
        <v>45635</v>
      </c>
      <c r="B64" s="120" t="s">
        <v>878</v>
      </c>
      <c r="C64" s="390" t="s">
        <v>879</v>
      </c>
      <c r="D64" s="396">
        <v>2.7759999999999998</v>
      </c>
      <c r="E64" s="123">
        <f>IF(TYPE(VLOOKUP(C64,'Sales_DC Price'!K:L,2,0))=16,0,VLOOKUP(C64,'Sales_DC Price'!K:L,2,0)*D64)</f>
        <v>750.6303999999999</v>
      </c>
      <c r="F64" s="116">
        <f>IF(TYPE(VLOOKUP(C64,'Sales_DC Price'!Q:R,2,0))=16,0,VLOOKUP(C64,'Sales_DC Price'!Q:R,2,0))</f>
        <v>177.11975000000001</v>
      </c>
      <c r="G64" s="116">
        <f t="shared" si="0"/>
        <v>491.68442599999997</v>
      </c>
    </row>
    <row r="65" spans="1:7" hidden="1">
      <c r="A65" s="389">
        <v>45635</v>
      </c>
      <c r="B65" s="120" t="s">
        <v>880</v>
      </c>
      <c r="C65" s="391" t="s">
        <v>881</v>
      </c>
      <c r="D65" s="397">
        <v>10</v>
      </c>
      <c r="E65" s="123">
        <f>IF(TYPE(VLOOKUP(C65,'Sales_DC Price'!K:L,2,0))=16,0,VLOOKUP(C65,'Sales_DC Price'!K:L,2,0)*D65)</f>
        <v>1800</v>
      </c>
      <c r="F65" s="116">
        <f>IF(TYPE(VLOOKUP(C65,'Sales_DC Price'!Q:R,2,0))=16,0,VLOOKUP(C65,'Sales_DC Price'!Q:R,2,0))</f>
        <v>147.22732999999999</v>
      </c>
      <c r="G65" s="116">
        <f t="shared" si="0"/>
        <v>1472.2732999999998</v>
      </c>
    </row>
    <row r="66" spans="1:7" hidden="1">
      <c r="A66" s="388">
        <v>45635</v>
      </c>
      <c r="B66" s="120" t="s">
        <v>882</v>
      </c>
      <c r="C66" s="390" t="s">
        <v>883</v>
      </c>
      <c r="D66" s="396">
        <v>2</v>
      </c>
      <c r="E66" s="123">
        <f>IF(TYPE(VLOOKUP(C66,'Sales_DC Price'!K:L,2,0))=16,0,VLOOKUP(C66,'Sales_DC Price'!K:L,2,0)*D66)</f>
        <v>720</v>
      </c>
      <c r="F66" s="116">
        <f>IF(TYPE(VLOOKUP(C66,'Sales_DC Price'!Q:R,2,0))=16,0,VLOOKUP(C66,'Sales_DC Price'!Q:R,2,0))</f>
        <v>326.49362000000002</v>
      </c>
      <c r="G66" s="116">
        <f t="shared" ref="G66:G129" si="1">F66*D66</f>
        <v>652.98724000000004</v>
      </c>
    </row>
    <row r="67" spans="1:7" hidden="1">
      <c r="A67" s="389">
        <v>45635</v>
      </c>
      <c r="B67" s="120" t="s">
        <v>863</v>
      </c>
      <c r="C67" s="391" t="s">
        <v>815</v>
      </c>
      <c r="D67" s="397">
        <v>1</v>
      </c>
      <c r="E67" s="123">
        <f>IF(TYPE(VLOOKUP(C67,'Sales_DC Price'!K:L,2,0))=16,0,VLOOKUP(C67,'Sales_DC Price'!K:L,2,0)*D67)</f>
        <v>964</v>
      </c>
      <c r="F67" s="116">
        <f>IF(TYPE(VLOOKUP(C67,'Sales_DC Price'!Q:R,2,0))=16,0,VLOOKUP(C67,'Sales_DC Price'!Q:R,2,0))</f>
        <v>730.47328000000005</v>
      </c>
      <c r="G67" s="116">
        <f t="shared" si="1"/>
        <v>730.47328000000005</v>
      </c>
    </row>
    <row r="68" spans="1:7" hidden="1">
      <c r="A68" s="388">
        <v>45635</v>
      </c>
      <c r="B68" s="120" t="s">
        <v>875</v>
      </c>
      <c r="C68" s="390" t="s">
        <v>798</v>
      </c>
      <c r="D68" s="396">
        <v>0.8</v>
      </c>
      <c r="E68" s="123">
        <f>IF(TYPE(VLOOKUP(C68,'Sales_DC Price'!K:L,2,0))=16,0,VLOOKUP(C68,'Sales_DC Price'!K:L,2,0)*D68)</f>
        <v>824</v>
      </c>
      <c r="F68" s="116">
        <f>IF(TYPE(VLOOKUP(C68,'Sales_DC Price'!Q:R,2,0))=16,0,VLOOKUP(C68,'Sales_DC Price'!Q:R,2,0))</f>
        <v>735.14859000000001</v>
      </c>
      <c r="G68" s="116">
        <f t="shared" si="1"/>
        <v>588.11887200000001</v>
      </c>
    </row>
    <row r="69" spans="1:7" hidden="1">
      <c r="A69" s="389">
        <v>45635</v>
      </c>
      <c r="B69" s="120" t="s">
        <v>884</v>
      </c>
      <c r="C69" s="391" t="s">
        <v>885</v>
      </c>
      <c r="D69" s="397">
        <v>15</v>
      </c>
      <c r="E69" s="123">
        <f>IF(TYPE(VLOOKUP(C69,'Sales_DC Price'!K:L,2,0))=16,0,VLOOKUP(C69,'Sales_DC Price'!K:L,2,0)*D69)</f>
        <v>16144.5</v>
      </c>
      <c r="F69" s="116">
        <f>IF(TYPE(VLOOKUP(C69,'Sales_DC Price'!Q:R,2,0))=16,0,VLOOKUP(C69,'Sales_DC Price'!Q:R,2,0))</f>
        <v>1023.2280000000001</v>
      </c>
      <c r="G69" s="116">
        <f t="shared" si="1"/>
        <v>15348.420000000002</v>
      </c>
    </row>
    <row r="70" spans="1:7" hidden="1">
      <c r="A70" s="388">
        <v>45635</v>
      </c>
      <c r="B70" s="120" t="s">
        <v>886</v>
      </c>
      <c r="C70" s="390" t="s">
        <v>821</v>
      </c>
      <c r="D70" s="396">
        <v>3</v>
      </c>
      <c r="E70" s="123">
        <f>IF(TYPE(VLOOKUP(C70,'Sales_DC Price'!K:L,2,0))=16,0,VLOOKUP(C70,'Sales_DC Price'!K:L,2,0)*D70)</f>
        <v>3270.6000000000004</v>
      </c>
      <c r="F70" s="116">
        <f>IF(TYPE(VLOOKUP(C70,'Sales_DC Price'!Q:R,2,0))=16,0,VLOOKUP(C70,'Sales_DC Price'!Q:R,2,0))</f>
        <v>1008.3579999999999</v>
      </c>
      <c r="G70" s="116">
        <f t="shared" si="1"/>
        <v>3025.0739999999996</v>
      </c>
    </row>
    <row r="71" spans="1:7" hidden="1">
      <c r="A71" s="389">
        <v>45636</v>
      </c>
      <c r="B71" s="120" t="s">
        <v>887</v>
      </c>
      <c r="C71" s="391" t="s">
        <v>888</v>
      </c>
      <c r="D71" s="397">
        <v>1</v>
      </c>
      <c r="E71" s="123">
        <f>IF(TYPE(VLOOKUP(C71,'Sales_DC Price'!K:L,2,0))=16,0,VLOOKUP(C71,'Sales_DC Price'!K:L,2,0)*D71)</f>
        <v>364</v>
      </c>
      <c r="F71" s="116">
        <f>IF(TYPE(VLOOKUP(C71,'Sales_DC Price'!Q:R,2,0))=16,0,VLOOKUP(C71,'Sales_DC Price'!Q:R,2,0))</f>
        <v>203.34772999999998</v>
      </c>
      <c r="G71" s="116">
        <f t="shared" si="1"/>
        <v>203.34772999999998</v>
      </c>
    </row>
    <row r="72" spans="1:7" hidden="1">
      <c r="A72" s="388">
        <v>45636</v>
      </c>
      <c r="B72" s="120" t="s">
        <v>843</v>
      </c>
      <c r="C72" s="390" t="s">
        <v>796</v>
      </c>
      <c r="D72" s="396">
        <v>1</v>
      </c>
      <c r="E72" s="123">
        <f>IF(TYPE(VLOOKUP(C72,'Sales_DC Price'!K:L,2,0))=16,0,VLOOKUP(C72,'Sales_DC Price'!K:L,2,0)*D72)</f>
        <v>1250</v>
      </c>
      <c r="F72" s="116">
        <f>IF(TYPE(VLOOKUP(C72,'Sales_DC Price'!Q:R,2,0))=16,0,VLOOKUP(C72,'Sales_DC Price'!Q:R,2,0))</f>
        <v>966.53413999999998</v>
      </c>
      <c r="G72" s="116">
        <f t="shared" si="1"/>
        <v>966.53413999999998</v>
      </c>
    </row>
    <row r="73" spans="1:7" hidden="1">
      <c r="A73" s="389">
        <v>45636</v>
      </c>
      <c r="B73" s="120" t="s">
        <v>889</v>
      </c>
      <c r="C73" s="391" t="s">
        <v>815</v>
      </c>
      <c r="D73" s="397">
        <v>1.6</v>
      </c>
      <c r="E73" s="123">
        <f>IF(TYPE(VLOOKUP(C73,'Sales_DC Price'!K:L,2,0))=16,0,VLOOKUP(C73,'Sales_DC Price'!K:L,2,0)*D73)</f>
        <v>1542.4</v>
      </c>
      <c r="F73" s="116">
        <f>IF(TYPE(VLOOKUP(C73,'Sales_DC Price'!Q:R,2,0))=16,0,VLOOKUP(C73,'Sales_DC Price'!Q:R,2,0))</f>
        <v>730.47328000000005</v>
      </c>
      <c r="G73" s="116">
        <f t="shared" si="1"/>
        <v>1168.7572480000001</v>
      </c>
    </row>
    <row r="74" spans="1:7" hidden="1">
      <c r="A74" s="388">
        <v>45636</v>
      </c>
      <c r="B74" s="120" t="s">
        <v>874</v>
      </c>
      <c r="C74" s="390" t="s">
        <v>815</v>
      </c>
      <c r="D74" s="396">
        <v>1.4</v>
      </c>
      <c r="E74" s="123">
        <f>IF(TYPE(VLOOKUP(C74,'Sales_DC Price'!K:L,2,0))=16,0,VLOOKUP(C74,'Sales_DC Price'!K:L,2,0)*D74)</f>
        <v>1349.6</v>
      </c>
      <c r="F74" s="116">
        <f>IF(TYPE(VLOOKUP(C74,'Sales_DC Price'!Q:R,2,0))=16,0,VLOOKUP(C74,'Sales_DC Price'!Q:R,2,0))</f>
        <v>730.47328000000005</v>
      </c>
      <c r="G74" s="116">
        <f t="shared" si="1"/>
        <v>1022.662592</v>
      </c>
    </row>
    <row r="75" spans="1:7" hidden="1">
      <c r="A75" s="389">
        <v>45636</v>
      </c>
      <c r="B75" s="120" t="s">
        <v>890</v>
      </c>
      <c r="C75" s="391" t="s">
        <v>849</v>
      </c>
      <c r="D75" s="397">
        <v>5</v>
      </c>
      <c r="E75" s="123">
        <f>IF(TYPE(VLOOKUP(C75,'Sales_DC Price'!K:L,2,0))=16,0,VLOOKUP(C75,'Sales_DC Price'!K:L,2,0)*D75)</f>
        <v>1194.1000000000001</v>
      </c>
      <c r="F75" s="116">
        <f>IF(TYPE(VLOOKUP(C75,'Sales_DC Price'!Q:R,2,0))=16,0,VLOOKUP(C75,'Sales_DC Price'!Q:R,2,0))</f>
        <v>224.99589000000003</v>
      </c>
      <c r="G75" s="116">
        <f t="shared" si="1"/>
        <v>1124.9794500000003</v>
      </c>
    </row>
    <row r="76" spans="1:7" hidden="1">
      <c r="A76" s="388">
        <v>45636</v>
      </c>
      <c r="B76" s="120" t="s">
        <v>891</v>
      </c>
      <c r="C76" s="390" t="s">
        <v>892</v>
      </c>
      <c r="D76" s="396">
        <v>2</v>
      </c>
      <c r="E76" s="123">
        <f>IF(TYPE(VLOOKUP(C76,'Sales_DC Price'!K:L,2,0))=16,0,VLOOKUP(C76,'Sales_DC Price'!K:L,2,0)*D76)</f>
        <v>378</v>
      </c>
      <c r="F76" s="116">
        <f>IF(TYPE(VLOOKUP(C76,'Sales_DC Price'!Q:R,2,0))=16,0,VLOOKUP(C76,'Sales_DC Price'!Q:R,2,0))</f>
        <v>64.373660000000001</v>
      </c>
      <c r="G76" s="116">
        <f t="shared" si="1"/>
        <v>128.74732</v>
      </c>
    </row>
    <row r="77" spans="1:7" hidden="1">
      <c r="A77" s="389">
        <v>45636</v>
      </c>
      <c r="B77" s="120" t="s">
        <v>843</v>
      </c>
      <c r="C77" s="391" t="s">
        <v>796</v>
      </c>
      <c r="D77" s="397">
        <v>1.6</v>
      </c>
      <c r="E77" s="123">
        <f>IF(TYPE(VLOOKUP(C77,'Sales_DC Price'!K:L,2,0))=16,0,VLOOKUP(C77,'Sales_DC Price'!K:L,2,0)*D77)</f>
        <v>2000</v>
      </c>
      <c r="F77" s="116">
        <f>IF(TYPE(VLOOKUP(C77,'Sales_DC Price'!Q:R,2,0))=16,0,VLOOKUP(C77,'Sales_DC Price'!Q:R,2,0))</f>
        <v>966.53413999999998</v>
      </c>
      <c r="G77" s="116">
        <f t="shared" si="1"/>
        <v>1546.454624</v>
      </c>
    </row>
    <row r="78" spans="1:7" hidden="1">
      <c r="A78" s="388">
        <v>45636</v>
      </c>
      <c r="B78" s="120" t="s">
        <v>893</v>
      </c>
      <c r="C78" s="390" t="s">
        <v>827</v>
      </c>
      <c r="D78" s="396">
        <v>15</v>
      </c>
      <c r="E78" s="123">
        <f>IF(TYPE(VLOOKUP(C78,'Sales_DC Price'!K:L,2,0))=16,0,VLOOKUP(C78,'Sales_DC Price'!K:L,2,0)*D78)</f>
        <v>22728.600000000002</v>
      </c>
      <c r="F78" s="116">
        <f>IF(TYPE(VLOOKUP(C78,'Sales_DC Price'!Q:R,2,0))=16,0,VLOOKUP(C78,'Sales_DC Price'!Q:R,2,0))</f>
        <v>1401.6079999999999</v>
      </c>
      <c r="G78" s="116">
        <f t="shared" si="1"/>
        <v>21024.12</v>
      </c>
    </row>
    <row r="79" spans="1:7" hidden="1">
      <c r="A79" s="389">
        <v>45636</v>
      </c>
      <c r="B79" s="120" t="s">
        <v>894</v>
      </c>
      <c r="C79" s="391" t="s">
        <v>895</v>
      </c>
      <c r="D79" s="397">
        <v>4</v>
      </c>
      <c r="E79" s="123">
        <f>IF(TYPE(VLOOKUP(C79,'Sales_DC Price'!K:L,2,0))=16,0,VLOOKUP(C79,'Sales_DC Price'!K:L,2,0)*D79)</f>
        <v>946.56</v>
      </c>
      <c r="F79" s="116">
        <f>IF(TYPE(VLOOKUP(C79,'Sales_DC Price'!Q:R,2,0))=16,0,VLOOKUP(C79,'Sales_DC Price'!Q:R,2,0))</f>
        <v>56.006</v>
      </c>
      <c r="G79" s="116">
        <f t="shared" si="1"/>
        <v>224.024</v>
      </c>
    </row>
    <row r="80" spans="1:7" hidden="1">
      <c r="A80" s="388">
        <v>45637</v>
      </c>
      <c r="B80" s="120" t="s">
        <v>896</v>
      </c>
      <c r="C80" s="390" t="s">
        <v>849</v>
      </c>
      <c r="D80" s="396">
        <v>5</v>
      </c>
      <c r="E80" s="123">
        <f>IF(TYPE(VLOOKUP(C80,'Sales_DC Price'!K:L,2,0))=16,0,VLOOKUP(C80,'Sales_DC Price'!K:L,2,0)*D80)</f>
        <v>1194.1000000000001</v>
      </c>
      <c r="F80" s="116">
        <f>IF(TYPE(VLOOKUP(C80,'Sales_DC Price'!Q:R,2,0))=16,0,VLOOKUP(C80,'Sales_DC Price'!Q:R,2,0))</f>
        <v>224.99589000000003</v>
      </c>
      <c r="G80" s="116">
        <f t="shared" si="1"/>
        <v>1124.9794500000003</v>
      </c>
    </row>
    <row r="81" spans="1:9">
      <c r="A81" s="389">
        <v>45637</v>
      </c>
      <c r="B81" s="120" t="s">
        <v>897</v>
      </c>
      <c r="C81" s="391"/>
      <c r="D81" s="397"/>
      <c r="E81" s="123">
        <f>IF(TYPE(VLOOKUP(C81,'Sales_DC Price'!K:L,2,0))=16,0,VLOOKUP(C81,'Sales_DC Price'!K:L,2,0)*D81)</f>
        <v>0</v>
      </c>
      <c r="F81" s="116">
        <f>IF(TYPE(VLOOKUP(C81,'Sales_DC Price'!Q:R,2,0))=16,0,VLOOKUP(C81,'Sales_DC Price'!Q:R,2,0))</f>
        <v>0</v>
      </c>
      <c r="G81" s="116">
        <f t="shared" si="1"/>
        <v>0</v>
      </c>
      <c r="H81" s="116" t="s">
        <v>796</v>
      </c>
      <c r="I81">
        <v>1E-3</v>
      </c>
    </row>
    <row r="82" spans="1:9" hidden="1">
      <c r="A82" s="473">
        <v>45637</v>
      </c>
      <c r="B82" s="120" t="s">
        <v>898</v>
      </c>
      <c r="C82" s="486" t="s">
        <v>899</v>
      </c>
      <c r="D82" s="487">
        <v>6</v>
      </c>
      <c r="E82" s="123">
        <v>1086</v>
      </c>
      <c r="F82" s="116">
        <v>81.36999999999999</v>
      </c>
      <c r="G82" s="116">
        <v>488.21999999999991</v>
      </c>
    </row>
    <row r="83" spans="1:9" hidden="1">
      <c r="A83" s="472">
        <v>45637</v>
      </c>
      <c r="B83" s="120" t="s">
        <v>900</v>
      </c>
      <c r="C83" s="488" t="s">
        <v>901</v>
      </c>
      <c r="D83" s="489">
        <v>5</v>
      </c>
      <c r="E83" s="123">
        <v>810</v>
      </c>
      <c r="F83" s="116">
        <v>58.412840000000003</v>
      </c>
      <c r="G83" s="116">
        <v>292.06420000000003</v>
      </c>
    </row>
    <row r="84" spans="1:9" hidden="1">
      <c r="A84" s="473">
        <v>45637</v>
      </c>
      <c r="B84" s="120" t="s">
        <v>902</v>
      </c>
      <c r="C84" s="486" t="s">
        <v>903</v>
      </c>
      <c r="D84" s="487">
        <v>1</v>
      </c>
      <c r="E84" s="123">
        <v>205.77600000000001</v>
      </c>
      <c r="F84" s="116">
        <v>82.339999999999989</v>
      </c>
      <c r="G84" s="116">
        <v>82.339999999999989</v>
      </c>
    </row>
    <row r="85" spans="1:9" hidden="1">
      <c r="A85" s="472">
        <v>45637</v>
      </c>
      <c r="B85" s="120" t="s">
        <v>904</v>
      </c>
      <c r="C85" s="488" t="s">
        <v>905</v>
      </c>
      <c r="D85" s="489">
        <v>10</v>
      </c>
      <c r="E85" s="123">
        <v>1730</v>
      </c>
      <c r="F85" s="116">
        <v>151.58224999999999</v>
      </c>
      <c r="G85" s="116">
        <v>1515.8224999999998</v>
      </c>
    </row>
    <row r="86" spans="1:9" hidden="1">
      <c r="A86" s="473">
        <v>45637</v>
      </c>
      <c r="B86" s="120" t="s">
        <v>906</v>
      </c>
      <c r="C86" s="486" t="s">
        <v>907</v>
      </c>
      <c r="D86" s="487">
        <v>5</v>
      </c>
      <c r="E86" s="123">
        <v>2515</v>
      </c>
      <c r="F86" s="116">
        <v>432.73671999999999</v>
      </c>
      <c r="G86" s="116">
        <v>2163.6835999999998</v>
      </c>
    </row>
    <row r="87" spans="1:9" hidden="1">
      <c r="A87" s="389">
        <v>45637</v>
      </c>
      <c r="B87" s="120" t="s">
        <v>908</v>
      </c>
      <c r="C87" s="391" t="s">
        <v>909</v>
      </c>
      <c r="D87" s="397">
        <v>5</v>
      </c>
      <c r="E87" s="123">
        <v>950.00000000000011</v>
      </c>
      <c r="F87" s="116">
        <v>132.49187999999998</v>
      </c>
      <c r="G87" s="116">
        <v>662.45939999999996</v>
      </c>
    </row>
    <row r="88" spans="1:9">
      <c r="A88" s="388">
        <v>45638</v>
      </c>
      <c r="B88" s="120" t="s">
        <v>5281</v>
      </c>
      <c r="C88" s="390"/>
      <c r="D88" s="396"/>
      <c r="E88" s="123">
        <v>0</v>
      </c>
      <c r="F88" s="116">
        <v>0</v>
      </c>
      <c r="G88" s="116">
        <v>0</v>
      </c>
      <c r="H88" s="116" t="s">
        <v>796</v>
      </c>
      <c r="I88">
        <v>1E-3</v>
      </c>
    </row>
    <row r="89" spans="1:9" hidden="1">
      <c r="A89" s="389">
        <v>45638</v>
      </c>
      <c r="B89" s="120" t="s">
        <v>5282</v>
      </c>
      <c r="C89" s="391" t="s">
        <v>1254</v>
      </c>
      <c r="D89" s="397">
        <v>1</v>
      </c>
      <c r="E89" s="123">
        <v>361.20000000000005</v>
      </c>
      <c r="F89" s="116">
        <v>283.47798</v>
      </c>
      <c r="G89" s="116">
        <v>283.47798</v>
      </c>
      <c r="H89" s="391"/>
      <c r="I89" s="397"/>
    </row>
    <row r="90" spans="1:9" hidden="1">
      <c r="A90" s="388">
        <v>45638</v>
      </c>
      <c r="B90" s="120" t="s">
        <v>5283</v>
      </c>
      <c r="C90" s="390" t="s">
        <v>247</v>
      </c>
      <c r="D90" s="396">
        <v>2</v>
      </c>
      <c r="E90" s="123">
        <v>420.59999999999997</v>
      </c>
      <c r="F90" s="116">
        <v>158.36579</v>
      </c>
      <c r="G90" s="116">
        <v>316.73158000000001</v>
      </c>
    </row>
    <row r="91" spans="1:9" hidden="1">
      <c r="A91" s="389">
        <v>45638</v>
      </c>
      <c r="B91" s="120" t="s">
        <v>5284</v>
      </c>
      <c r="C91" s="391" t="s">
        <v>1232</v>
      </c>
      <c r="D91" s="397">
        <v>1</v>
      </c>
      <c r="E91" s="123">
        <v>994</v>
      </c>
      <c r="F91" s="116">
        <v>848.5383700000001</v>
      </c>
      <c r="G91" s="116">
        <v>848.5383700000001</v>
      </c>
    </row>
    <row r="92" spans="1:9" hidden="1">
      <c r="A92" s="388">
        <v>45638</v>
      </c>
      <c r="B92" s="120" t="s">
        <v>5284</v>
      </c>
      <c r="C92" s="390" t="s">
        <v>1232</v>
      </c>
      <c r="D92" s="396">
        <v>2</v>
      </c>
      <c r="E92" s="123">
        <v>1988</v>
      </c>
      <c r="F92" s="116">
        <v>848.5383700000001</v>
      </c>
      <c r="G92" s="116">
        <v>1697.0767400000002</v>
      </c>
    </row>
    <row r="93" spans="1:9" hidden="1">
      <c r="A93" s="389">
        <v>45638</v>
      </c>
      <c r="B93" s="120" t="s">
        <v>5285</v>
      </c>
      <c r="C93" s="391" t="s">
        <v>1338</v>
      </c>
      <c r="D93" s="397">
        <v>5</v>
      </c>
      <c r="E93" s="123">
        <v>1262.5</v>
      </c>
      <c r="F93" s="116">
        <v>148.41274999999999</v>
      </c>
      <c r="G93" s="116">
        <v>742.06374999999991</v>
      </c>
    </row>
    <row r="94" spans="1:9" hidden="1">
      <c r="A94" s="388">
        <v>45638</v>
      </c>
      <c r="B94" s="120" t="s">
        <v>5282</v>
      </c>
      <c r="C94" s="390" t="s">
        <v>1254</v>
      </c>
      <c r="D94" s="396">
        <v>1</v>
      </c>
      <c r="E94" s="123">
        <v>361.20000000000005</v>
      </c>
      <c r="F94" s="116">
        <v>283.47798</v>
      </c>
      <c r="G94" s="116">
        <v>283.47798</v>
      </c>
    </row>
    <row r="95" spans="1:9" hidden="1">
      <c r="A95" s="389">
        <v>45638</v>
      </c>
      <c r="B95" s="120" t="s">
        <v>5286</v>
      </c>
      <c r="C95" s="391" t="s">
        <v>870</v>
      </c>
      <c r="D95" s="396">
        <v>3</v>
      </c>
      <c r="E95" s="123">
        <v>300</v>
      </c>
      <c r="F95" s="116">
        <v>93.616590000000002</v>
      </c>
      <c r="G95" s="116">
        <v>280.84977000000003</v>
      </c>
    </row>
    <row r="96" spans="1:9" hidden="1">
      <c r="A96" s="388">
        <v>45638</v>
      </c>
      <c r="B96" s="120" t="s">
        <v>5287</v>
      </c>
      <c r="C96" s="390" t="s">
        <v>870</v>
      </c>
      <c r="D96" s="397">
        <v>3</v>
      </c>
      <c r="E96" s="123">
        <v>300</v>
      </c>
      <c r="F96" s="116">
        <v>93.616590000000002</v>
      </c>
      <c r="G96" s="116">
        <v>280.84977000000003</v>
      </c>
    </row>
    <row r="97" spans="1:9" hidden="1">
      <c r="A97" s="389">
        <v>45638</v>
      </c>
      <c r="B97" s="120" t="s">
        <v>5288</v>
      </c>
      <c r="C97" s="391" t="s">
        <v>870</v>
      </c>
      <c r="D97" s="396">
        <v>3</v>
      </c>
      <c r="E97" s="123">
        <v>300</v>
      </c>
      <c r="F97" s="116">
        <v>93.616590000000002</v>
      </c>
      <c r="G97" s="116">
        <v>280.84977000000003</v>
      </c>
    </row>
    <row r="98" spans="1:9" hidden="1">
      <c r="A98" s="388">
        <v>45638</v>
      </c>
      <c r="B98" s="120" t="s">
        <v>5289</v>
      </c>
      <c r="C98" s="390" t="s">
        <v>870</v>
      </c>
      <c r="D98" s="397">
        <v>3</v>
      </c>
      <c r="E98" s="123">
        <v>300</v>
      </c>
      <c r="F98" s="116">
        <v>93.616590000000002</v>
      </c>
      <c r="G98" s="116">
        <v>280.84977000000003</v>
      </c>
      <c r="I98" s="498"/>
    </row>
    <row r="99" spans="1:9" hidden="1">
      <c r="A99" s="389">
        <v>45638</v>
      </c>
      <c r="B99" s="120" t="s">
        <v>5290</v>
      </c>
      <c r="C99" s="391" t="s">
        <v>870</v>
      </c>
      <c r="D99" s="396">
        <v>3</v>
      </c>
      <c r="E99" s="123">
        <v>300</v>
      </c>
      <c r="F99" s="116">
        <v>93.616590000000002</v>
      </c>
      <c r="G99" s="116">
        <v>280.84977000000003</v>
      </c>
      <c r="I99" s="498"/>
    </row>
    <row r="100" spans="1:9" hidden="1">
      <c r="A100" s="388">
        <v>45638</v>
      </c>
      <c r="B100" s="120" t="s">
        <v>5291</v>
      </c>
      <c r="C100" s="390" t="s">
        <v>1441</v>
      </c>
      <c r="D100" s="397">
        <v>3</v>
      </c>
      <c r="E100" s="123">
        <v>702</v>
      </c>
      <c r="F100" s="116">
        <v>147.47997000000001</v>
      </c>
      <c r="G100" s="116">
        <v>442.43991000000005</v>
      </c>
    </row>
    <row r="101" spans="1:9" hidden="1">
      <c r="A101" s="389">
        <v>45638</v>
      </c>
      <c r="B101" s="120" t="s">
        <v>5292</v>
      </c>
      <c r="C101" s="391" t="s">
        <v>1441</v>
      </c>
      <c r="D101" s="396">
        <v>3</v>
      </c>
      <c r="E101" s="123">
        <v>702</v>
      </c>
      <c r="F101" s="116">
        <v>147.47997000000001</v>
      </c>
      <c r="G101" s="116">
        <v>442.43991000000005</v>
      </c>
    </row>
    <row r="102" spans="1:9" hidden="1">
      <c r="A102" s="388">
        <v>45638</v>
      </c>
      <c r="B102" s="120" t="s">
        <v>5293</v>
      </c>
      <c r="C102" s="390" t="s">
        <v>1441</v>
      </c>
      <c r="D102" s="397">
        <v>3</v>
      </c>
      <c r="E102" s="123">
        <v>702</v>
      </c>
      <c r="F102" s="116">
        <v>147.47997000000001</v>
      </c>
      <c r="G102" s="116">
        <v>442.43991000000005</v>
      </c>
    </row>
    <row r="103" spans="1:9" hidden="1">
      <c r="A103" s="389">
        <v>45638</v>
      </c>
      <c r="B103" s="120" t="s">
        <v>5294</v>
      </c>
      <c r="C103" s="390" t="s">
        <v>1441</v>
      </c>
      <c r="D103" s="396">
        <v>3</v>
      </c>
      <c r="E103" s="123">
        <v>702</v>
      </c>
      <c r="F103" s="116">
        <v>147.47997000000001</v>
      </c>
      <c r="G103" s="116">
        <v>442.43991000000005</v>
      </c>
    </row>
    <row r="104" spans="1:9" hidden="1">
      <c r="A104" s="388">
        <v>45638</v>
      </c>
      <c r="B104" s="120" t="s">
        <v>5295</v>
      </c>
      <c r="C104" s="391" t="s">
        <v>1311</v>
      </c>
      <c r="D104" s="397">
        <v>3</v>
      </c>
      <c r="E104" s="123">
        <v>1350</v>
      </c>
      <c r="F104" s="116">
        <v>275.85791999999998</v>
      </c>
      <c r="G104" s="116">
        <v>827.57375999999999</v>
      </c>
    </row>
    <row r="105" spans="1:9">
      <c r="A105" s="389">
        <v>45638</v>
      </c>
      <c r="B105" s="120" t="s">
        <v>5296</v>
      </c>
      <c r="C105" s="390"/>
      <c r="D105" s="396"/>
      <c r="E105" s="123">
        <v>0</v>
      </c>
      <c r="F105" s="116">
        <v>0</v>
      </c>
      <c r="G105" s="116">
        <v>0</v>
      </c>
      <c r="H105" s="116" t="s">
        <v>815</v>
      </c>
      <c r="I105">
        <v>1E-3</v>
      </c>
    </row>
    <row r="106" spans="1:9">
      <c r="A106" s="388">
        <v>45639</v>
      </c>
      <c r="B106" s="120" t="s">
        <v>5302</v>
      </c>
      <c r="C106" s="391"/>
      <c r="D106" s="397"/>
      <c r="E106" s="123">
        <f>IF(TYPE(VLOOKUP(C106,'Sales_DC Price'!K:L,2,0))=16,0,VLOOKUP(C106,'Sales_DC Price'!K:L,2,0)*D106)</f>
        <v>0</v>
      </c>
      <c r="F106" s="116">
        <f>IF(TYPE(VLOOKUP(C106,'Sales_DC Price'!Q:R,2,0))=16,0,VLOOKUP(C106,'Sales_DC Price'!Q:R,2,0))</f>
        <v>0</v>
      </c>
      <c r="G106" s="116">
        <f t="shared" si="1"/>
        <v>0</v>
      </c>
      <c r="H106" s="116" t="s">
        <v>815</v>
      </c>
      <c r="I106">
        <v>1E-3</v>
      </c>
    </row>
    <row r="107" spans="1:9">
      <c r="A107" s="389">
        <v>45639</v>
      </c>
      <c r="B107" s="120" t="s">
        <v>5303</v>
      </c>
      <c r="C107" s="390"/>
      <c r="D107" s="396"/>
      <c r="E107" s="123">
        <f>IF(TYPE(VLOOKUP(C107,'Sales_DC Price'!K:L,2,0))=16,0,VLOOKUP(C107,'Sales_DC Price'!K:L,2,0)*D107)</f>
        <v>0</v>
      </c>
      <c r="F107" s="116">
        <f>IF(TYPE(VLOOKUP(C107,'Sales_DC Price'!Q:R,2,0))=16,0,VLOOKUP(C107,'Sales_DC Price'!Q:R,2,0))</f>
        <v>0</v>
      </c>
      <c r="G107" s="116">
        <f t="shared" si="1"/>
        <v>0</v>
      </c>
      <c r="H107" s="116" t="s">
        <v>796</v>
      </c>
      <c r="I107">
        <v>1E-3</v>
      </c>
    </row>
    <row r="108" spans="1:9">
      <c r="A108" s="388">
        <v>45639</v>
      </c>
      <c r="B108" s="120" t="s">
        <v>5304</v>
      </c>
      <c r="C108" s="391" t="s">
        <v>1361</v>
      </c>
      <c r="D108" s="397">
        <v>2</v>
      </c>
      <c r="E108" s="123">
        <f>276.2*D108</f>
        <v>552.4</v>
      </c>
      <c r="F108" s="116">
        <f>IF(TYPE(VLOOKUP(C108,'Sales_DC Price'!Q:R,2,0))=16,0,VLOOKUP(C108,'Sales_DC Price'!Q:R,2,0))</f>
        <v>225.23381000000001</v>
      </c>
      <c r="G108" s="116">
        <f t="shared" si="1"/>
        <v>450.46762000000001</v>
      </c>
    </row>
    <row r="109" spans="1:9" hidden="1">
      <c r="A109" s="389">
        <v>45639</v>
      </c>
      <c r="B109" s="120" t="s">
        <v>5305</v>
      </c>
      <c r="C109" s="390" t="s">
        <v>1382</v>
      </c>
      <c r="D109" s="396">
        <v>5</v>
      </c>
      <c r="E109" s="123">
        <f>IF(TYPE(VLOOKUP(C109,'Sales_DC Price'!K:L,2,0))=16,0,VLOOKUP(C109,'Sales_DC Price'!K:L,2,0)*D109)</f>
        <v>1875</v>
      </c>
      <c r="F109" s="116">
        <f>IF(TYPE(VLOOKUP(C109,'Sales_DC Price'!Q:R,2,0))=16,0,VLOOKUP(C109,'Sales_DC Price'!Q:R,2,0))</f>
        <v>145.88199</v>
      </c>
      <c r="G109" s="116">
        <f t="shared" si="1"/>
        <v>729.40994999999998</v>
      </c>
    </row>
    <row r="110" spans="1:9" hidden="1">
      <c r="A110" s="388">
        <v>45639</v>
      </c>
      <c r="B110" s="120" t="s">
        <v>5306</v>
      </c>
      <c r="C110" s="391" t="s">
        <v>1382</v>
      </c>
      <c r="D110" s="397">
        <v>5</v>
      </c>
      <c r="E110" s="123">
        <f>IF(TYPE(VLOOKUP(C110,'Sales_DC Price'!K:L,2,0))=16,0,VLOOKUP(C110,'Sales_DC Price'!K:L,2,0)*D110)</f>
        <v>1875</v>
      </c>
      <c r="F110" s="116">
        <f>IF(TYPE(VLOOKUP(C110,'Sales_DC Price'!Q:R,2,0))=16,0,VLOOKUP(C110,'Sales_DC Price'!Q:R,2,0))</f>
        <v>145.88199</v>
      </c>
      <c r="G110" s="116">
        <f t="shared" si="1"/>
        <v>729.40994999999998</v>
      </c>
    </row>
    <row r="111" spans="1:9" hidden="1">
      <c r="A111" s="389">
        <v>45639</v>
      </c>
      <c r="B111" s="120" t="s">
        <v>908</v>
      </c>
      <c r="C111" s="390" t="s">
        <v>909</v>
      </c>
      <c r="D111" s="396">
        <v>5</v>
      </c>
      <c r="E111" s="123">
        <f>IF(TYPE(VLOOKUP(C111,'Sales_DC Price'!K:L,2,0))=16,0,VLOOKUP(C111,'Sales_DC Price'!K:L,2,0)*D111)</f>
        <v>950.00000000000011</v>
      </c>
      <c r="F111" s="116">
        <f>IF(TYPE(VLOOKUP(C111,'Sales_DC Price'!Q:R,2,0))=16,0,VLOOKUP(C111,'Sales_DC Price'!Q:R,2,0))</f>
        <v>132.49187999999998</v>
      </c>
      <c r="G111" s="116">
        <f t="shared" si="1"/>
        <v>662.45939999999996</v>
      </c>
    </row>
    <row r="112" spans="1:9">
      <c r="A112" s="388">
        <v>45639</v>
      </c>
      <c r="B112" s="120" t="s">
        <v>5307</v>
      </c>
      <c r="C112" s="391"/>
      <c r="D112" s="397"/>
      <c r="E112" s="123">
        <f>IF(TYPE(VLOOKUP(C112,'Sales_DC Price'!K:L,2,0))=16,0,VLOOKUP(C112,'Sales_DC Price'!K:L,2,0)*D112)</f>
        <v>0</v>
      </c>
      <c r="F112" s="116">
        <f>IF(TYPE(VLOOKUP(C112,'Sales_DC Price'!Q:R,2,0))=16,0,VLOOKUP(C112,'Sales_DC Price'!Q:R,2,0))</f>
        <v>0</v>
      </c>
      <c r="G112" s="116">
        <f t="shared" si="1"/>
        <v>0</v>
      </c>
      <c r="H112" s="116" t="s">
        <v>815</v>
      </c>
      <c r="I112">
        <v>1E-3</v>
      </c>
    </row>
    <row r="113" spans="1:9" hidden="1">
      <c r="A113" s="389">
        <v>45639</v>
      </c>
      <c r="B113" s="120" t="s">
        <v>5308</v>
      </c>
      <c r="C113" s="390" t="s">
        <v>1628</v>
      </c>
      <c r="D113" s="396">
        <v>1.5</v>
      </c>
      <c r="E113" s="123">
        <f>IF(TYPE(VLOOKUP(C113,'Sales_DC Price'!K:L,2,0))=16,0,VLOOKUP(C113,'Sales_DC Price'!K:L,2,0)*D113)</f>
        <v>3825</v>
      </c>
      <c r="F113" s="116">
        <f>IF(TYPE(VLOOKUP(C113,'Sales_DC Price'!Q:R,2,0))=16,0,VLOOKUP(C113,'Sales_DC Price'!Q:R,2,0))</f>
        <v>1248.1361099999999</v>
      </c>
      <c r="G113" s="116">
        <f t="shared" si="1"/>
        <v>1872.2041649999999</v>
      </c>
    </row>
    <row r="114" spans="1:9" hidden="1">
      <c r="A114" s="388">
        <v>45639</v>
      </c>
      <c r="B114" s="120" t="s">
        <v>5309</v>
      </c>
      <c r="C114" s="391" t="s">
        <v>831</v>
      </c>
      <c r="D114" s="397">
        <v>5</v>
      </c>
      <c r="E114" s="123">
        <f>IF(TYPE(VLOOKUP(C114,'Sales_DC Price'!K:L,2,0))=16,0,VLOOKUP(C114,'Sales_DC Price'!K:L,2,0)*D114)</f>
        <v>2706.3</v>
      </c>
      <c r="F114" s="116">
        <f>IF(TYPE(VLOOKUP(C114,'Sales_DC Price'!Q:R,2,0))=16,0,VLOOKUP(C114,'Sales_DC Price'!Q:R,2,0))</f>
        <v>405.79775000000001</v>
      </c>
      <c r="G114" s="116">
        <f t="shared" si="1"/>
        <v>2028.98875</v>
      </c>
      <c r="H114" s="391"/>
      <c r="I114" s="497"/>
    </row>
    <row r="115" spans="1:9" hidden="1">
      <c r="A115" s="388">
        <v>45639</v>
      </c>
      <c r="B115" s="120" t="s">
        <v>830</v>
      </c>
      <c r="C115" s="390" t="s">
        <v>831</v>
      </c>
      <c r="D115" s="396">
        <v>5</v>
      </c>
      <c r="E115" s="123">
        <f>IF(TYPE(VLOOKUP(C115,'Sales_DC Price'!K:L,2,0))=16,0,VLOOKUP(C115,'Sales_DC Price'!K:L,2,0)*D115)</f>
        <v>2706.3</v>
      </c>
      <c r="F115" s="116">
        <f>IF(TYPE(VLOOKUP(C115,'Sales_DC Price'!Q:R,2,0))=16,0,VLOOKUP(C115,'Sales_DC Price'!Q:R,2,0))</f>
        <v>405.79775000000001</v>
      </c>
      <c r="G115" s="116">
        <f t="shared" si="1"/>
        <v>2028.98875</v>
      </c>
    </row>
    <row r="116" spans="1:9">
      <c r="A116" s="389">
        <v>45642</v>
      </c>
      <c r="B116" s="120" t="s">
        <v>5314</v>
      </c>
      <c r="C116" s="391"/>
      <c r="D116" s="397"/>
      <c r="E116" s="123">
        <f>IF(TYPE(VLOOKUP(C116,'Sales_DC Price'!K:L,2,0))=16,0,VLOOKUP(C116,'Sales_DC Price'!K:L,2,0)*D116)</f>
        <v>0</v>
      </c>
      <c r="F116" s="116">
        <f>IF(TYPE(VLOOKUP(C116,'Sales_DC Price'!Q:R,2,0))=16,0,VLOOKUP(C116,'Sales_DC Price'!Q:R,2,0))</f>
        <v>0</v>
      </c>
      <c r="G116" s="116">
        <f t="shared" si="1"/>
        <v>0</v>
      </c>
      <c r="H116" s="391" t="s">
        <v>815</v>
      </c>
      <c r="I116" s="497">
        <v>1E-3</v>
      </c>
    </row>
    <row r="117" spans="1:9" hidden="1">
      <c r="A117" s="388">
        <v>45642</v>
      </c>
      <c r="B117" s="120" t="s">
        <v>5315</v>
      </c>
      <c r="C117" s="390" t="s">
        <v>1715</v>
      </c>
      <c r="D117" s="396">
        <v>8</v>
      </c>
      <c r="E117" s="123">
        <v>3066</v>
      </c>
      <c r="F117" s="116">
        <f>IF(TYPE(VLOOKUP(C117,'Sales_DC Price'!Q:R,2,0))=16,0,VLOOKUP(C117,'Sales_DC Price'!Q:R,2,0))</f>
        <v>276.29284000000001</v>
      </c>
      <c r="G117" s="116">
        <f t="shared" si="1"/>
        <v>2210.3427200000001</v>
      </c>
    </row>
    <row r="118" spans="1:9" hidden="1">
      <c r="A118" s="389">
        <v>45642</v>
      </c>
      <c r="B118" s="120" t="s">
        <v>5316</v>
      </c>
      <c r="C118" s="391" t="s">
        <v>1408</v>
      </c>
      <c r="D118" s="397">
        <v>3</v>
      </c>
      <c r="E118" s="123">
        <f>IF(TYPE(VLOOKUP(C118,'Sales_DC Price'!K:L,2,0))=16,0,VLOOKUP(C118,'Sales_DC Price'!K:L,2,0)*D118)</f>
        <v>540</v>
      </c>
      <c r="F118" s="116">
        <f>IF(TYPE(VLOOKUP(C118,'Sales_DC Price'!Q:R,2,0))=16,0,VLOOKUP(C118,'Sales_DC Price'!Q:R,2,0))</f>
        <v>150.26659000000001</v>
      </c>
      <c r="G118" s="116">
        <f t="shared" si="1"/>
        <v>450.79977000000002</v>
      </c>
    </row>
    <row r="119" spans="1:9">
      <c r="A119" s="388">
        <v>45642</v>
      </c>
      <c r="B119" s="120" t="s">
        <v>5317</v>
      </c>
      <c r="C119" s="390" t="s">
        <v>1324</v>
      </c>
      <c r="D119" s="396">
        <v>3</v>
      </c>
      <c r="E119" s="123">
        <f>350*D119</f>
        <v>1050</v>
      </c>
      <c r="F119" s="116">
        <f>IF(TYPE(VLOOKUP(C119,'Sales_DC Price'!Q:R,2,0))=16,0,VLOOKUP(C119,'Sales_DC Price'!Q:R,2,0))</f>
        <v>401.18718000000001</v>
      </c>
      <c r="G119" s="116">
        <f t="shared" si="1"/>
        <v>1203.5615400000002</v>
      </c>
    </row>
    <row r="120" spans="1:9" hidden="1">
      <c r="A120" s="389">
        <v>45642</v>
      </c>
      <c r="B120" s="120" t="s">
        <v>868</v>
      </c>
      <c r="C120" s="391" t="s">
        <v>819</v>
      </c>
      <c r="D120" s="396">
        <v>6</v>
      </c>
      <c r="E120" s="123">
        <f>IF(TYPE(VLOOKUP(C120,'Sales_DC Price'!K:L,2,0))=16,0,VLOOKUP(C120,'Sales_DC Price'!K:L,2,0)*D120)</f>
        <v>4655.7000000000007</v>
      </c>
      <c r="F120" s="116">
        <f>IF(TYPE(VLOOKUP(C120,'Sales_DC Price'!Q:R,2,0))=16,0,VLOOKUP(C120,'Sales_DC Price'!Q:R,2,0))</f>
        <v>647.75509999999997</v>
      </c>
      <c r="G120" s="116">
        <f t="shared" si="1"/>
        <v>3886.5306</v>
      </c>
    </row>
    <row r="121" spans="1:9" hidden="1">
      <c r="A121" s="388">
        <v>45642</v>
      </c>
      <c r="B121" s="120" t="s">
        <v>5318</v>
      </c>
      <c r="C121" s="390" t="s">
        <v>1583</v>
      </c>
      <c r="D121" s="397">
        <v>4.5</v>
      </c>
      <c r="E121" s="123">
        <f>IF(TYPE(VLOOKUP(C121,'Sales_DC Price'!K:L,2,0))=16,0,VLOOKUP(C121,'Sales_DC Price'!K:L,2,0)*D121)</f>
        <v>2653.2</v>
      </c>
      <c r="F121" s="116">
        <f>IF(TYPE(VLOOKUP(C121,'Sales_DC Price'!Q:R,2,0))=16,0,VLOOKUP(C121,'Sales_DC Price'!Q:R,2,0))</f>
        <v>470.61682000000002</v>
      </c>
      <c r="G121" s="116">
        <f t="shared" si="1"/>
        <v>2117.7756899999999</v>
      </c>
    </row>
    <row r="122" spans="1:9" hidden="1">
      <c r="A122" s="389">
        <v>45642</v>
      </c>
      <c r="B122" s="120" t="s">
        <v>812</v>
      </c>
      <c r="C122" s="390" t="s">
        <v>813</v>
      </c>
      <c r="D122" s="396">
        <v>2</v>
      </c>
      <c r="E122" s="123">
        <f>IF(TYPE(VLOOKUP(C122,'Sales_DC Price'!K:L,2,0))=16,0,VLOOKUP(C122,'Sales_DC Price'!K:L,2,0)*D122)</f>
        <v>2592.6</v>
      </c>
      <c r="F122" s="116">
        <f>IF(TYPE(VLOOKUP(C122,'Sales_DC Price'!Q:R,2,0))=16,0,VLOOKUP(C122,'Sales_DC Price'!Q:R,2,0))</f>
        <v>1219.8346899999999</v>
      </c>
      <c r="G122" s="116">
        <f t="shared" si="1"/>
        <v>2439.6693799999998</v>
      </c>
    </row>
    <row r="123" spans="1:9" hidden="1">
      <c r="A123" s="388">
        <v>45642</v>
      </c>
      <c r="B123" s="120" t="s">
        <v>5319</v>
      </c>
      <c r="C123" s="391" t="s">
        <v>940</v>
      </c>
      <c r="D123" s="397">
        <v>0.125</v>
      </c>
      <c r="E123" s="123">
        <f>IF(TYPE(VLOOKUP(C123,'Sales_DC Price'!K:L,2,0))=16,0,VLOOKUP(C123,'Sales_DC Price'!K:L,2,0)*D123)</f>
        <v>62.499999999999993</v>
      </c>
      <c r="F123" s="116">
        <f>IF(TYPE(VLOOKUP(C123,'Sales_DC Price'!Q:R,2,0))=16,0,VLOOKUP(C123,'Sales_DC Price'!Q:R,2,0))</f>
        <v>497.89280999999994</v>
      </c>
      <c r="G123" s="116">
        <f t="shared" si="1"/>
        <v>62.236601249999993</v>
      </c>
    </row>
    <row r="124" spans="1:9" hidden="1">
      <c r="A124" s="389">
        <v>45642</v>
      </c>
      <c r="B124" s="120" t="s">
        <v>5320</v>
      </c>
      <c r="C124" s="390" t="s">
        <v>1382</v>
      </c>
      <c r="D124" s="396">
        <v>5</v>
      </c>
      <c r="E124" s="123">
        <f>IF(TYPE(VLOOKUP(C124,'Sales_DC Price'!K:L,2,0))=16,0,VLOOKUP(C124,'Sales_DC Price'!K:L,2,0)*D124)</f>
        <v>1875</v>
      </c>
      <c r="F124" s="116">
        <f>IF(TYPE(VLOOKUP(C124,'Sales_DC Price'!Q:R,2,0))=16,0,VLOOKUP(C124,'Sales_DC Price'!Q:R,2,0))</f>
        <v>145.88199</v>
      </c>
      <c r="G124" s="116">
        <f t="shared" si="1"/>
        <v>729.40994999999998</v>
      </c>
    </row>
    <row r="125" spans="1:9" hidden="1">
      <c r="A125" s="388">
        <v>45642</v>
      </c>
      <c r="B125" s="120" t="s">
        <v>5309</v>
      </c>
      <c r="C125" s="391" t="s">
        <v>831</v>
      </c>
      <c r="D125" s="397">
        <v>5</v>
      </c>
      <c r="E125" s="123">
        <f>IF(TYPE(VLOOKUP(C125,'Sales_DC Price'!K:L,2,0))=16,0,VLOOKUP(C125,'Sales_DC Price'!K:L,2,0)*D125)</f>
        <v>2706.3</v>
      </c>
      <c r="F125" s="116">
        <f>IF(TYPE(VLOOKUP(C125,'Sales_DC Price'!Q:R,2,0))=16,0,VLOOKUP(C125,'Sales_DC Price'!Q:R,2,0))</f>
        <v>405.79775000000001</v>
      </c>
      <c r="G125" s="116">
        <f t="shared" si="1"/>
        <v>2028.98875</v>
      </c>
    </row>
    <row r="126" spans="1:9" hidden="1">
      <c r="A126" s="389">
        <v>45642</v>
      </c>
      <c r="B126" s="120" t="s">
        <v>5321</v>
      </c>
      <c r="C126" s="390" t="s">
        <v>853</v>
      </c>
      <c r="D126" s="396">
        <v>3</v>
      </c>
      <c r="E126" s="123">
        <f>IF(TYPE(VLOOKUP(C126,'Sales_DC Price'!K:L,2,0))=16,0,VLOOKUP(C126,'Sales_DC Price'!K:L,2,0)*D126)</f>
        <v>2652</v>
      </c>
      <c r="F126" s="116">
        <f>IF(TYPE(VLOOKUP(C126,'Sales_DC Price'!Q:R,2,0))=16,0,VLOOKUP(C126,'Sales_DC Price'!Q:R,2,0))</f>
        <v>560.28428000000008</v>
      </c>
      <c r="G126" s="116">
        <f t="shared" si="1"/>
        <v>1680.8528400000002</v>
      </c>
    </row>
    <row r="127" spans="1:9" hidden="1">
      <c r="A127" s="388">
        <v>45642</v>
      </c>
      <c r="B127" s="120" t="s">
        <v>5295</v>
      </c>
      <c r="C127" s="391" t="s">
        <v>1311</v>
      </c>
      <c r="D127" s="397">
        <v>3</v>
      </c>
      <c r="E127" s="123">
        <f>IF(TYPE(VLOOKUP(C127,'Sales_DC Price'!K:L,2,0))=16,0,VLOOKUP(C127,'Sales_DC Price'!K:L,2,0)*D127)</f>
        <v>1350</v>
      </c>
      <c r="F127" s="116">
        <f>IF(TYPE(VLOOKUP(C127,'Sales_DC Price'!Q:R,2,0))=16,0,VLOOKUP(C127,'Sales_DC Price'!Q:R,2,0))</f>
        <v>275.85791999999998</v>
      </c>
      <c r="G127" s="116">
        <f t="shared" si="1"/>
        <v>827.57375999999999</v>
      </c>
      <c r="H127" s="391"/>
      <c r="I127" s="497"/>
    </row>
    <row r="128" spans="1:9" hidden="1">
      <c r="A128" s="389">
        <v>45643</v>
      </c>
      <c r="B128" s="120" t="s">
        <v>5329</v>
      </c>
      <c r="C128" s="390" t="s">
        <v>1502</v>
      </c>
      <c r="D128" s="396">
        <v>0.15</v>
      </c>
      <c r="E128" s="123">
        <f>IF(TYPE(VLOOKUP(C128,'Sales_DC Price'!K:L,2,0))=16,0,VLOOKUP(C128,'Sales_DC Price'!K:L,2,0)*D128)</f>
        <v>0</v>
      </c>
      <c r="F128" s="116">
        <f>IF(TYPE(VLOOKUP(C128,'Sales_DC Price'!Q:R,2,0))=16,0,VLOOKUP(C128,'Sales_DC Price'!Q:R,2,0))</f>
        <v>0</v>
      </c>
      <c r="G128" s="116">
        <f t="shared" si="1"/>
        <v>0</v>
      </c>
    </row>
    <row r="129" spans="1:9" hidden="1">
      <c r="A129" s="388">
        <v>45643</v>
      </c>
      <c r="B129" s="120" t="s">
        <v>5330</v>
      </c>
      <c r="C129" s="391" t="s">
        <v>1502</v>
      </c>
      <c r="D129" s="397">
        <v>0.2</v>
      </c>
      <c r="E129" s="123">
        <f>IF(TYPE(VLOOKUP(C129,'Sales_DC Price'!K:L,2,0))=16,0,VLOOKUP(C129,'Sales_DC Price'!K:L,2,0)*D129)</f>
        <v>0</v>
      </c>
      <c r="F129" s="116">
        <f>IF(TYPE(VLOOKUP(C129,'Sales_DC Price'!Q:R,2,0))=16,0,VLOOKUP(C129,'Sales_DC Price'!Q:R,2,0))</f>
        <v>0</v>
      </c>
      <c r="G129" s="116">
        <f t="shared" si="1"/>
        <v>0</v>
      </c>
    </row>
    <row r="130" spans="1:9">
      <c r="A130" s="389">
        <v>45643</v>
      </c>
      <c r="B130" s="120" t="s">
        <v>5331</v>
      </c>
      <c r="C130" s="390"/>
      <c r="D130" s="396"/>
      <c r="E130" s="123">
        <f>IF(TYPE(VLOOKUP(C130,'Sales_DC Price'!K:L,2,0))=16,0,VLOOKUP(C130,'Sales_DC Price'!K:L,2,0)*D130)</f>
        <v>0</v>
      </c>
      <c r="F130" s="116">
        <f>IF(TYPE(VLOOKUP(C130,'Sales_DC Price'!Q:R,2,0))=16,0,VLOOKUP(C130,'Sales_DC Price'!Q:R,2,0))</f>
        <v>0</v>
      </c>
      <c r="G130" s="116">
        <f t="shared" ref="G130:G193" si="2">F130*D130</f>
        <v>0</v>
      </c>
      <c r="H130" s="116" t="s">
        <v>815</v>
      </c>
      <c r="I130">
        <v>1E-3</v>
      </c>
    </row>
    <row r="131" spans="1:9" hidden="1">
      <c r="A131" s="388">
        <v>45643</v>
      </c>
      <c r="B131" s="120" t="s">
        <v>882</v>
      </c>
      <c r="C131" s="391" t="s">
        <v>883</v>
      </c>
      <c r="D131" s="397">
        <v>2</v>
      </c>
      <c r="E131" s="123">
        <f>IF(TYPE(VLOOKUP(C131,'Sales_DC Price'!K:L,2,0))=16,0,VLOOKUP(C131,'Sales_DC Price'!K:L,2,0)*D131)</f>
        <v>720</v>
      </c>
      <c r="F131" s="116">
        <f>IF(TYPE(VLOOKUP(C131,'Sales_DC Price'!Q:R,2,0))=16,0,VLOOKUP(C131,'Sales_DC Price'!Q:R,2,0))</f>
        <v>326.49362000000002</v>
      </c>
      <c r="G131" s="116">
        <f t="shared" si="2"/>
        <v>652.98724000000004</v>
      </c>
    </row>
    <row r="132" spans="1:9">
      <c r="A132" s="389">
        <v>45643</v>
      </c>
      <c r="B132" s="120" t="s">
        <v>5332</v>
      </c>
      <c r="C132" s="390"/>
      <c r="D132" s="396"/>
      <c r="E132" s="123">
        <f>IF(TYPE(VLOOKUP(C132,'Sales_DC Price'!K:L,2,0))=16,0,VLOOKUP(C132,'Sales_DC Price'!K:L,2,0)*D132)</f>
        <v>0</v>
      </c>
      <c r="F132" s="116">
        <f>IF(TYPE(VLOOKUP(C132,'Sales_DC Price'!Q:R,2,0))=16,0,VLOOKUP(C132,'Sales_DC Price'!Q:R,2,0))</f>
        <v>0</v>
      </c>
      <c r="G132" s="116">
        <f t="shared" si="2"/>
        <v>0</v>
      </c>
      <c r="H132" s="116" t="s">
        <v>796</v>
      </c>
      <c r="I132">
        <v>1E-3</v>
      </c>
    </row>
    <row r="133" spans="1:9" hidden="1">
      <c r="A133" s="388">
        <v>45643</v>
      </c>
      <c r="B133" s="120" t="s">
        <v>5333</v>
      </c>
      <c r="C133" s="391" t="s">
        <v>796</v>
      </c>
      <c r="D133" s="397">
        <v>3</v>
      </c>
      <c r="E133" s="123">
        <f>IF(TYPE(VLOOKUP(C133,'Sales_DC Price'!K:L,2,0))=16,0,VLOOKUP(C133,'Sales_DC Price'!K:L,2,0)*D133)</f>
        <v>3750</v>
      </c>
      <c r="F133" s="116">
        <f>IF(TYPE(VLOOKUP(C133,'Sales_DC Price'!Q:R,2,0))=16,0,VLOOKUP(C133,'Sales_DC Price'!Q:R,2,0))</f>
        <v>966.53413999999998</v>
      </c>
      <c r="G133" s="116">
        <f t="shared" si="2"/>
        <v>2899.6024200000002</v>
      </c>
    </row>
    <row r="134" spans="1:9" hidden="1">
      <c r="A134" s="389">
        <v>45643</v>
      </c>
      <c r="B134" s="120" t="s">
        <v>864</v>
      </c>
      <c r="C134" s="390" t="s">
        <v>865</v>
      </c>
      <c r="D134" s="396">
        <v>1</v>
      </c>
      <c r="E134" s="123">
        <f>IF(TYPE(VLOOKUP(C134,'Sales_DC Price'!K:L,2,0))=16,0,VLOOKUP(C134,'Sales_DC Price'!K:L,2,0)*D134)</f>
        <v>1960</v>
      </c>
      <c r="F134" s="116">
        <f>IF(TYPE(VLOOKUP(C134,'Sales_DC Price'!Q:R,2,0))=16,0,VLOOKUP(C134,'Sales_DC Price'!Q:R,2,0))</f>
        <v>1617.87069</v>
      </c>
      <c r="G134" s="116">
        <f t="shared" si="2"/>
        <v>1617.87069</v>
      </c>
    </row>
    <row r="135" spans="1:9" hidden="1">
      <c r="A135" s="388">
        <v>45643</v>
      </c>
      <c r="B135" s="120" t="s">
        <v>5334</v>
      </c>
      <c r="C135" s="391" t="s">
        <v>815</v>
      </c>
      <c r="D135" s="397">
        <v>3</v>
      </c>
      <c r="E135" s="123">
        <f>IF(TYPE(VLOOKUP(C135,'Sales_DC Price'!K:L,2,0))=16,0,VLOOKUP(C135,'Sales_DC Price'!K:L,2,0)*D135)</f>
        <v>2892</v>
      </c>
      <c r="F135" s="116">
        <f>IF(TYPE(VLOOKUP(C135,'Sales_DC Price'!Q:R,2,0))=16,0,VLOOKUP(C135,'Sales_DC Price'!Q:R,2,0))</f>
        <v>730.47328000000005</v>
      </c>
      <c r="G135" s="116">
        <f t="shared" si="2"/>
        <v>2191.41984</v>
      </c>
    </row>
    <row r="136" spans="1:9" hidden="1">
      <c r="A136" s="389">
        <v>45643</v>
      </c>
      <c r="B136" s="120" t="s">
        <v>5335</v>
      </c>
      <c r="C136" s="390" t="s">
        <v>796</v>
      </c>
      <c r="D136" s="396">
        <v>3</v>
      </c>
      <c r="E136" s="123">
        <f>IF(TYPE(VLOOKUP(C136,'Sales_DC Price'!K:L,2,0))=16,0,VLOOKUP(C136,'Sales_DC Price'!K:L,2,0)*D136)</f>
        <v>3750</v>
      </c>
      <c r="F136" s="116">
        <f>IF(TYPE(VLOOKUP(C136,'Sales_DC Price'!Q:R,2,0))=16,0,VLOOKUP(C136,'Sales_DC Price'!Q:R,2,0))</f>
        <v>966.53413999999998</v>
      </c>
      <c r="G136" s="116">
        <f t="shared" si="2"/>
        <v>2899.6024200000002</v>
      </c>
    </row>
    <row r="137" spans="1:9" hidden="1">
      <c r="A137" s="388">
        <v>45643</v>
      </c>
      <c r="B137" s="120" t="s">
        <v>5336</v>
      </c>
      <c r="C137" s="391" t="s">
        <v>858</v>
      </c>
      <c r="D137" s="397">
        <v>6</v>
      </c>
      <c r="E137" s="123">
        <f>IF(TYPE(VLOOKUP(C137,'Sales_DC Price'!K:L,2,0))=16,0,VLOOKUP(C137,'Sales_DC Price'!K:L,2,0)*D137)</f>
        <v>1380.0000000000002</v>
      </c>
      <c r="F137" s="116">
        <f>IF(TYPE(VLOOKUP(C137,'Sales_DC Price'!Q:R,2,0))=16,0,VLOOKUP(C137,'Sales_DC Price'!Q:R,2,0))</f>
        <v>190.03057999999999</v>
      </c>
      <c r="G137" s="116">
        <f t="shared" si="2"/>
        <v>1140.1834799999999</v>
      </c>
    </row>
    <row r="138" spans="1:9" hidden="1">
      <c r="A138" s="389">
        <v>45643</v>
      </c>
      <c r="B138" s="120" t="s">
        <v>5337</v>
      </c>
      <c r="C138" s="390" t="s">
        <v>1502</v>
      </c>
      <c r="D138" s="396">
        <v>1.4999999999999999E-2</v>
      </c>
      <c r="E138" s="123">
        <f>IF(TYPE(VLOOKUP(C138,'Sales_DC Price'!K:L,2,0))=16,0,VLOOKUP(C138,'Sales_DC Price'!K:L,2,0)*D138)</f>
        <v>0</v>
      </c>
      <c r="F138" s="116">
        <f>IF(TYPE(VLOOKUP(C138,'Sales_DC Price'!Q:R,2,0))=16,0,VLOOKUP(C138,'Sales_DC Price'!Q:R,2,0))</f>
        <v>0</v>
      </c>
      <c r="G138" s="116">
        <f t="shared" si="2"/>
        <v>0</v>
      </c>
    </row>
    <row r="139" spans="1:9">
      <c r="A139" s="388">
        <v>45643</v>
      </c>
      <c r="B139" s="120" t="s">
        <v>5338</v>
      </c>
      <c r="C139" s="391" t="s">
        <v>1643</v>
      </c>
      <c r="D139" s="397">
        <v>3.5</v>
      </c>
      <c r="E139" s="123">
        <f>813.096*D139</f>
        <v>2845.8360000000002</v>
      </c>
      <c r="F139" s="116">
        <f>IF(TYPE(VLOOKUP(C139,'Sales_DC Price'!Q:R,2,0))=16,0,VLOOKUP(C139,'Sales_DC Price'!Q:R,2,0))</f>
        <v>759.66030999999998</v>
      </c>
      <c r="G139" s="116">
        <f t="shared" si="2"/>
        <v>2658.8110849999998</v>
      </c>
    </row>
    <row r="140" spans="1:9">
      <c r="A140" s="389">
        <v>45643</v>
      </c>
      <c r="B140" s="120" t="s">
        <v>5339</v>
      </c>
      <c r="C140" s="390"/>
      <c r="D140" s="396"/>
      <c r="E140" s="123">
        <f>IF(TYPE(VLOOKUP(C140,'Sales_DC Price'!K:L,2,0))=16,0,VLOOKUP(C140,'Sales_DC Price'!K:L,2,0)*D140)</f>
        <v>0</v>
      </c>
      <c r="F140" s="116">
        <f>IF(TYPE(VLOOKUP(C140,'Sales_DC Price'!Q:R,2,0))=16,0,VLOOKUP(C140,'Sales_DC Price'!Q:R,2,0))</f>
        <v>0</v>
      </c>
      <c r="G140" s="116">
        <f t="shared" si="2"/>
        <v>0</v>
      </c>
      <c r="H140" s="116" t="s">
        <v>815</v>
      </c>
      <c r="I140">
        <v>1E-3</v>
      </c>
    </row>
    <row r="141" spans="1:9">
      <c r="A141" s="388">
        <v>45643</v>
      </c>
      <c r="B141" s="120" t="s">
        <v>5340</v>
      </c>
      <c r="C141" s="391"/>
      <c r="D141" s="397"/>
      <c r="E141" s="123">
        <f>IF(TYPE(VLOOKUP(C141,'Sales_DC Price'!K:L,2,0))=16,0,VLOOKUP(C141,'Sales_DC Price'!K:L,2,0)*D141)</f>
        <v>0</v>
      </c>
      <c r="F141" s="116">
        <f>IF(TYPE(VLOOKUP(C141,'Sales_DC Price'!Q:R,2,0))=16,0,VLOOKUP(C141,'Sales_DC Price'!Q:R,2,0))</f>
        <v>0</v>
      </c>
      <c r="G141" s="116">
        <f t="shared" si="2"/>
        <v>0</v>
      </c>
      <c r="H141" s="116" t="s">
        <v>796</v>
      </c>
      <c r="I141">
        <v>1E-3</v>
      </c>
    </row>
    <row r="142" spans="1:9">
      <c r="A142" s="389">
        <v>45644</v>
      </c>
      <c r="B142" s="390" t="s">
        <v>5343</v>
      </c>
      <c r="C142" s="390"/>
      <c r="D142" s="396"/>
      <c r="E142" s="123">
        <f>IF(TYPE(VLOOKUP(C142,'Sales_DC Price'!K:L,2,0))=16,0,VLOOKUP(C142,'Sales_DC Price'!K:L,2,0)*D142)</f>
        <v>0</v>
      </c>
      <c r="F142" s="116">
        <f>IF(TYPE(VLOOKUP(C142,'Sales_DC Price'!Q:R,2,0))=16,0,VLOOKUP(C142,'Sales_DC Price'!Q:R,2,0))</f>
        <v>0</v>
      </c>
      <c r="G142" s="116">
        <f t="shared" ref="G142:G147" si="3">F142*D142</f>
        <v>0</v>
      </c>
      <c r="H142" s="116" t="s">
        <v>815</v>
      </c>
      <c r="I142">
        <v>1E-3</v>
      </c>
    </row>
    <row r="143" spans="1:9" hidden="1">
      <c r="A143" s="388">
        <v>45644</v>
      </c>
      <c r="B143" s="391" t="s">
        <v>5344</v>
      </c>
      <c r="C143" s="391" t="s">
        <v>796</v>
      </c>
      <c r="D143" s="397">
        <v>3</v>
      </c>
      <c r="E143" s="123">
        <f>IF(TYPE(VLOOKUP(C143,'Sales_DC Price'!K:L,2,0))=16,0,VLOOKUP(C143,'Sales_DC Price'!K:L,2,0)*D143)</f>
        <v>3750</v>
      </c>
      <c r="F143" s="116">
        <f>IF(TYPE(VLOOKUP(C143,'Sales_DC Price'!Q:R,2,0))=16,0,VLOOKUP(C143,'Sales_DC Price'!Q:R,2,0))</f>
        <v>966.53413999999998</v>
      </c>
      <c r="G143" s="116">
        <f t="shared" si="3"/>
        <v>2899.6024200000002</v>
      </c>
    </row>
    <row r="144" spans="1:9" hidden="1">
      <c r="A144" s="389">
        <v>45644</v>
      </c>
      <c r="B144" s="390" t="s">
        <v>5345</v>
      </c>
      <c r="C144" s="390" t="s">
        <v>1304</v>
      </c>
      <c r="D144" s="396">
        <v>5</v>
      </c>
      <c r="E144" s="123">
        <f>IF(TYPE(VLOOKUP(C144,'Sales_DC Price'!K:L,2,0))=16,0,VLOOKUP(C144,'Sales_DC Price'!K:L,2,0)*D144)</f>
        <v>1225</v>
      </c>
      <c r="F144" s="116">
        <f>IF(TYPE(VLOOKUP(C144,'Sales_DC Price'!Q:R,2,0))=16,0,VLOOKUP(C144,'Sales_DC Price'!Q:R,2,0))</f>
        <v>210.72752</v>
      </c>
      <c r="G144" s="116">
        <f t="shared" si="3"/>
        <v>1053.6376</v>
      </c>
    </row>
    <row r="145" spans="1:9">
      <c r="A145" s="389">
        <v>45644</v>
      </c>
      <c r="B145" s="391" t="s">
        <v>5346</v>
      </c>
      <c r="C145" s="391" t="s">
        <v>841</v>
      </c>
      <c r="D145" s="397">
        <v>4</v>
      </c>
      <c r="E145" s="123">
        <f>662*D145</f>
        <v>2648</v>
      </c>
      <c r="F145" s="116">
        <f>IF(TYPE(VLOOKUP(C145,'Sales_DC Price'!Q:R,2,0))=16,0,VLOOKUP(C145,'Sales_DC Price'!Q:R,2,0))</f>
        <v>548.46776</v>
      </c>
      <c r="G145" s="116">
        <f t="shared" si="3"/>
        <v>2193.87104</v>
      </c>
    </row>
    <row r="146" spans="1:9" hidden="1">
      <c r="A146" s="388">
        <v>45644</v>
      </c>
      <c r="B146" s="390" t="s">
        <v>5347</v>
      </c>
      <c r="C146" s="390" t="s">
        <v>1305</v>
      </c>
      <c r="D146" s="396">
        <v>5</v>
      </c>
      <c r="E146" s="123">
        <f>IF(TYPE(VLOOKUP(C146,'Sales_DC Price'!K:L,2,0))=16,0,VLOOKUP(C146,'Sales_DC Price'!K:L,2,0)*D146)</f>
        <v>1225</v>
      </c>
      <c r="F146" s="116">
        <f>IF(TYPE(VLOOKUP(C146,'Sales_DC Price'!Q:R,2,0))=16,0,VLOOKUP(C146,'Sales_DC Price'!Q:R,2,0))</f>
        <v>210.63542000000001</v>
      </c>
      <c r="G146" s="116">
        <f t="shared" si="3"/>
        <v>1053.1771000000001</v>
      </c>
    </row>
    <row r="147" spans="1:9" hidden="1">
      <c r="A147" s="389">
        <v>45644</v>
      </c>
      <c r="B147" s="391" t="s">
        <v>5348</v>
      </c>
      <c r="C147" s="391" t="s">
        <v>1694</v>
      </c>
      <c r="D147" s="397">
        <v>1E-3</v>
      </c>
      <c r="E147" s="123">
        <f>IF(TYPE(VLOOKUP(C147,'Sales_DC Price'!K:L,2,0))=16,0,VLOOKUP(C147,'Sales_DC Price'!K:L,2,0)*D147)</f>
        <v>1.151</v>
      </c>
      <c r="F147" s="116">
        <f>IF(TYPE(VLOOKUP(C147,'Sales_DC Price'!Q:R,2,0))=16,0,VLOOKUP(C147,'Sales_DC Price'!Q:R,2,0))</f>
        <v>876.60652000000005</v>
      </c>
      <c r="G147" s="116">
        <f t="shared" si="3"/>
        <v>0.87660652000000006</v>
      </c>
    </row>
    <row r="148" spans="1:9" hidden="1">
      <c r="A148" s="388">
        <v>45644</v>
      </c>
      <c r="B148" s="390" t="s">
        <v>889</v>
      </c>
      <c r="C148" s="390" t="s">
        <v>815</v>
      </c>
      <c r="D148" s="396">
        <v>0.8</v>
      </c>
      <c r="E148" s="123">
        <f>IF(TYPE(VLOOKUP(C148,'Sales_DC Price'!K:L,2,0))=16,0,VLOOKUP(C148,'Sales_DC Price'!K:L,2,0)*D148)</f>
        <v>771.2</v>
      </c>
      <c r="F148" s="116">
        <f>IF(TYPE(VLOOKUP(C148,'Sales_DC Price'!Q:R,2,0))=16,0,VLOOKUP(C148,'Sales_DC Price'!Q:R,2,0))</f>
        <v>730.47328000000005</v>
      </c>
      <c r="G148" s="116">
        <f t="shared" si="2"/>
        <v>584.37862400000006</v>
      </c>
    </row>
    <row r="149" spans="1:9">
      <c r="A149" s="389">
        <v>45644</v>
      </c>
      <c r="B149" s="391" t="s">
        <v>5349</v>
      </c>
      <c r="C149" s="391"/>
      <c r="D149" s="397"/>
      <c r="E149" s="123">
        <f>IF(TYPE(VLOOKUP(C149,'Sales_DC Price'!K:L,2,0))=16,0,VLOOKUP(C149,'Sales_DC Price'!K:L,2,0)*D149)</f>
        <v>0</v>
      </c>
      <c r="F149" s="116">
        <f>IF(TYPE(VLOOKUP(C149,'Sales_DC Price'!Q:R,2,0))=16,0,VLOOKUP(C149,'Sales_DC Price'!Q:R,2,0))</f>
        <v>0</v>
      </c>
      <c r="G149" s="116">
        <f t="shared" si="2"/>
        <v>0</v>
      </c>
      <c r="H149" s="116" t="s">
        <v>1694</v>
      </c>
      <c r="I149">
        <v>1E-3</v>
      </c>
    </row>
    <row r="150" spans="1:9" hidden="1">
      <c r="A150" s="388">
        <v>45644</v>
      </c>
      <c r="B150" s="390" t="s">
        <v>864</v>
      </c>
      <c r="C150" s="390" t="s">
        <v>865</v>
      </c>
      <c r="D150" s="396">
        <v>1</v>
      </c>
      <c r="E150" s="123">
        <f>IF(TYPE(VLOOKUP(C150,'Sales_DC Price'!K:L,2,0))=16,0,VLOOKUP(C150,'Sales_DC Price'!K:L,2,0)*D150)</f>
        <v>1960</v>
      </c>
      <c r="F150" s="116">
        <f>IF(TYPE(VLOOKUP(C150,'Sales_DC Price'!Q:R,2,0))=16,0,VLOOKUP(C150,'Sales_DC Price'!Q:R,2,0))</f>
        <v>1617.87069</v>
      </c>
      <c r="G150" s="116">
        <f t="shared" si="2"/>
        <v>1617.87069</v>
      </c>
    </row>
    <row r="151" spans="1:9" hidden="1">
      <c r="A151" s="389">
        <v>45645</v>
      </c>
      <c r="B151" s="390" t="s">
        <v>5352</v>
      </c>
      <c r="C151" s="391" t="s">
        <v>815</v>
      </c>
      <c r="D151" s="397">
        <v>1.6</v>
      </c>
      <c r="E151" s="123">
        <f>IF(TYPE(VLOOKUP(C151,'Sales_DC Price'!K:L,2,0))=16,0,VLOOKUP(C151,'Sales_DC Price'!K:L,2,0)*D151)</f>
        <v>1542.4</v>
      </c>
      <c r="F151" s="116">
        <f>IF(TYPE(VLOOKUP(C151,'Sales_DC Price'!Q:R,2,0))=16,0,VLOOKUP(C151,'Sales_DC Price'!Q:R,2,0))</f>
        <v>730.47328000000005</v>
      </c>
      <c r="G151" s="116">
        <f t="shared" si="2"/>
        <v>1168.7572480000001</v>
      </c>
    </row>
    <row r="152" spans="1:9" hidden="1">
      <c r="A152" s="388">
        <v>45645</v>
      </c>
      <c r="B152" s="391" t="s">
        <v>889</v>
      </c>
      <c r="C152" s="390" t="s">
        <v>815</v>
      </c>
      <c r="D152" s="396">
        <v>0.6</v>
      </c>
      <c r="E152" s="123">
        <f>IF(TYPE(VLOOKUP(C152,'Sales_DC Price'!K:L,2,0))=16,0,VLOOKUP(C152,'Sales_DC Price'!K:L,2,0)*D152)</f>
        <v>578.4</v>
      </c>
      <c r="F152" s="116">
        <f>IF(TYPE(VLOOKUP(C152,'Sales_DC Price'!Q:R,2,0))=16,0,VLOOKUP(C152,'Sales_DC Price'!Q:R,2,0))</f>
        <v>730.47328000000005</v>
      </c>
      <c r="G152" s="116">
        <f t="shared" si="2"/>
        <v>438.28396800000002</v>
      </c>
    </row>
    <row r="153" spans="1:9">
      <c r="A153" s="389">
        <v>45645</v>
      </c>
      <c r="B153" s="390" t="s">
        <v>5353</v>
      </c>
      <c r="C153" s="391"/>
      <c r="D153" s="396"/>
      <c r="E153" s="123">
        <f>IF(TYPE(VLOOKUP(C153,'Sales_DC Price'!K:L,2,0))=16,0,VLOOKUP(C153,'Sales_DC Price'!K:L,2,0)*D153)</f>
        <v>0</v>
      </c>
      <c r="F153" s="116">
        <f>IF(TYPE(VLOOKUP(C153,'Sales_DC Price'!Q:R,2,0))=16,0,VLOOKUP(C153,'Sales_DC Price'!Q:R,2,0))</f>
        <v>0</v>
      </c>
      <c r="G153" s="116">
        <f t="shared" si="2"/>
        <v>0</v>
      </c>
      <c r="H153" s="391" t="s">
        <v>798</v>
      </c>
      <c r="I153" s="396">
        <v>1E-3</v>
      </c>
    </row>
    <row r="154" spans="1:9" hidden="1">
      <c r="A154" s="388">
        <v>45645</v>
      </c>
      <c r="B154" s="391" t="s">
        <v>5354</v>
      </c>
      <c r="C154" s="390" t="s">
        <v>825</v>
      </c>
      <c r="D154" s="397">
        <v>3</v>
      </c>
      <c r="E154" s="123">
        <f>IF(TYPE(VLOOKUP(C154,'Sales_DC Price'!K:L,2,0))=16,0,VLOOKUP(C154,'Sales_DC Price'!K:L,2,0)*D154)</f>
        <v>5058.2699999999995</v>
      </c>
      <c r="F154" s="116">
        <f>IF(TYPE(VLOOKUP(C154,'Sales_DC Price'!Q:R,2,0))=16,0,VLOOKUP(C154,'Sales_DC Price'!Q:R,2,0))</f>
        <v>1601.1879999999999</v>
      </c>
      <c r="G154" s="116">
        <f t="shared" si="2"/>
        <v>4803.5639999999994</v>
      </c>
    </row>
    <row r="155" spans="1:9" hidden="1">
      <c r="A155" s="389">
        <v>45645</v>
      </c>
      <c r="B155" s="390" t="s">
        <v>5355</v>
      </c>
      <c r="C155" s="391" t="s">
        <v>823</v>
      </c>
      <c r="D155" s="396">
        <v>3</v>
      </c>
      <c r="E155" s="123">
        <f>IF(TYPE(VLOOKUP(C155,'Sales_DC Price'!K:L,2,0))=16,0,VLOOKUP(C155,'Sales_DC Price'!K:L,2,0)*D155)</f>
        <v>3334.08</v>
      </c>
      <c r="F155" s="116">
        <f>IF(TYPE(VLOOKUP(C155,'Sales_DC Price'!Q:R,2,0))=16,0,VLOOKUP(C155,'Sales_DC Price'!Q:R,2,0))</f>
        <v>1031.4680000000001</v>
      </c>
      <c r="G155" s="116">
        <f t="shared" si="2"/>
        <v>3094.4040000000005</v>
      </c>
    </row>
    <row r="156" spans="1:9">
      <c r="A156" s="388">
        <v>45645</v>
      </c>
      <c r="B156" s="391" t="s">
        <v>5356</v>
      </c>
      <c r="C156" s="390"/>
      <c r="D156" s="397"/>
      <c r="E156" s="123">
        <f>IF(TYPE(VLOOKUP(C156,'Sales_DC Price'!K:L,2,0))=16,0,VLOOKUP(C156,'Sales_DC Price'!K:L,2,0)*D156)</f>
        <v>0</v>
      </c>
      <c r="F156" s="116">
        <f>IF(TYPE(VLOOKUP(C156,'Sales_DC Price'!Q:R,2,0))=16,0,VLOOKUP(C156,'Sales_DC Price'!Q:R,2,0))</f>
        <v>0</v>
      </c>
      <c r="G156" s="116">
        <f t="shared" si="2"/>
        <v>0</v>
      </c>
      <c r="H156" s="116" t="s">
        <v>796</v>
      </c>
      <c r="I156">
        <v>1E-3</v>
      </c>
    </row>
    <row r="157" spans="1:9" hidden="1">
      <c r="A157" s="389">
        <v>45645</v>
      </c>
      <c r="B157" s="390" t="s">
        <v>5357</v>
      </c>
      <c r="C157" s="391" t="s">
        <v>1374</v>
      </c>
      <c r="D157" s="396">
        <v>1</v>
      </c>
      <c r="E157" s="123">
        <f>IF(TYPE(VLOOKUP(C157,'Sales_DC Price'!K:L,2,0))=16,0,VLOOKUP(C157,'Sales_DC Price'!K:L,2,0)*D157)</f>
        <v>547.54000000000008</v>
      </c>
      <c r="F157" s="116">
        <f>IF(TYPE(VLOOKUP(C157,'Sales_DC Price'!Q:R,2,0))=16,0,VLOOKUP(C157,'Sales_DC Price'!Q:R,2,0))</f>
        <v>329.52931999999998</v>
      </c>
      <c r="G157" s="116">
        <f t="shared" si="2"/>
        <v>329.52931999999998</v>
      </c>
    </row>
    <row r="158" spans="1:9">
      <c r="A158" s="388">
        <v>45645</v>
      </c>
      <c r="B158" s="391" t="s">
        <v>5338</v>
      </c>
      <c r="C158" s="390" t="s">
        <v>1643</v>
      </c>
      <c r="D158" s="397">
        <v>3.5</v>
      </c>
      <c r="E158" s="123">
        <f>813.096*D158</f>
        <v>2845.8360000000002</v>
      </c>
      <c r="F158" s="116">
        <f>IF(TYPE(VLOOKUP(C158,'Sales_DC Price'!Q:R,2,0))=16,0,VLOOKUP(C158,'Sales_DC Price'!Q:R,2,0))</f>
        <v>759.66030999999998</v>
      </c>
      <c r="G158" s="116">
        <f t="shared" si="2"/>
        <v>2658.8110849999998</v>
      </c>
    </row>
    <row r="159" spans="1:9" hidden="1">
      <c r="A159" s="389">
        <v>45645</v>
      </c>
      <c r="B159" s="390" t="s">
        <v>5358</v>
      </c>
      <c r="C159" s="391" t="s">
        <v>796</v>
      </c>
      <c r="D159" s="396">
        <v>3</v>
      </c>
      <c r="E159" s="123">
        <f>IF(TYPE(VLOOKUP(C159,'Sales_DC Price'!K:L,2,0))=16,0,VLOOKUP(C159,'Sales_DC Price'!K:L,2,0)*D159)</f>
        <v>3750</v>
      </c>
      <c r="F159" s="116">
        <f>IF(TYPE(VLOOKUP(C159,'Sales_DC Price'!Q:R,2,0))=16,0,VLOOKUP(C159,'Sales_DC Price'!Q:R,2,0))</f>
        <v>966.53413999999998</v>
      </c>
      <c r="G159" s="116">
        <f t="shared" si="2"/>
        <v>2899.6024200000002</v>
      </c>
    </row>
    <row r="160" spans="1:9" hidden="1">
      <c r="A160" s="388">
        <v>45646</v>
      </c>
      <c r="B160" s="390" t="s">
        <v>5361</v>
      </c>
      <c r="C160" s="390" t="s">
        <v>1603</v>
      </c>
      <c r="D160" s="397">
        <v>2</v>
      </c>
      <c r="E160" s="123">
        <f>IF(TYPE(VLOOKUP(C160,'Sales_DC Price'!K:L,2,0))=16,0,VLOOKUP(C160,'Sales_DC Price'!K:L,2,0)*D160)</f>
        <v>291</v>
      </c>
      <c r="F160" s="116">
        <f>IF(TYPE(VLOOKUP(C160,'Sales_DC Price'!Q:R,2,0))=16,0,VLOOKUP(C160,'Sales_DC Price'!Q:R,2,0))</f>
        <v>87.710000000000008</v>
      </c>
      <c r="G160" s="116">
        <f t="shared" si="2"/>
        <v>175.42000000000002</v>
      </c>
    </row>
    <row r="161" spans="1:9">
      <c r="A161" s="389">
        <v>45646</v>
      </c>
      <c r="B161" s="391" t="s">
        <v>5362</v>
      </c>
      <c r="C161" s="391"/>
      <c r="D161" s="396"/>
      <c r="E161" s="123">
        <f>IF(TYPE(VLOOKUP(C161,'Sales_DC Price'!K:L,2,0))=16,0,VLOOKUP(C161,'Sales_DC Price'!K:L,2,0)*D161)</f>
        <v>0</v>
      </c>
      <c r="F161" s="116">
        <f>IF(TYPE(VLOOKUP(C161,'Sales_DC Price'!Q:R,2,0))=16,0,VLOOKUP(C161,'Sales_DC Price'!Q:R,2,0))</f>
        <v>0</v>
      </c>
      <c r="G161" s="116">
        <f t="shared" si="2"/>
        <v>0</v>
      </c>
      <c r="H161" s="116" t="s">
        <v>796</v>
      </c>
      <c r="I161">
        <v>1E-3</v>
      </c>
    </row>
    <row r="162" spans="1:9" hidden="1">
      <c r="A162" s="388">
        <v>45646</v>
      </c>
      <c r="B162" s="390" t="s">
        <v>5363</v>
      </c>
      <c r="C162" s="390" t="s">
        <v>1469</v>
      </c>
      <c r="D162" s="397">
        <v>2</v>
      </c>
      <c r="E162" s="123">
        <f>IF(TYPE(VLOOKUP(C162,'Sales_DC Price'!K:L,2,0))=16,0,VLOOKUP(C162,'Sales_DC Price'!K:L,2,0)*D162)</f>
        <v>618</v>
      </c>
      <c r="F162" s="116">
        <f>IF(TYPE(VLOOKUP(C162,'Sales_DC Price'!Q:R,2,0))=16,0,VLOOKUP(C162,'Sales_DC Price'!Q:R,2,0))</f>
        <v>278.48658999999998</v>
      </c>
      <c r="G162" s="116">
        <f t="shared" si="2"/>
        <v>556.97317999999996</v>
      </c>
    </row>
    <row r="163" spans="1:9" hidden="1">
      <c r="A163" s="389">
        <v>45646</v>
      </c>
      <c r="B163" s="391" t="s">
        <v>5364</v>
      </c>
      <c r="C163" s="390" t="s">
        <v>1401</v>
      </c>
      <c r="D163" s="397">
        <v>2</v>
      </c>
      <c r="E163" s="123">
        <f>IF(TYPE(VLOOKUP(C163,'Sales_DC Price'!K:L,2,0))=16,0,VLOOKUP(C163,'Sales_DC Price'!K:L,2,0)*D163)</f>
        <v>724.29</v>
      </c>
      <c r="F163" s="116">
        <f>IF(TYPE(VLOOKUP(C163,'Sales_DC Price'!Q:R,2,0))=16,0,VLOOKUP(C163,'Sales_DC Price'!Q:R,2,0))</f>
        <v>226.99310000000003</v>
      </c>
      <c r="G163" s="116">
        <f t="shared" si="2"/>
        <v>453.98620000000005</v>
      </c>
    </row>
    <row r="164" spans="1:9" hidden="1">
      <c r="A164" s="388">
        <v>45646</v>
      </c>
      <c r="B164" s="390" t="s">
        <v>5365</v>
      </c>
      <c r="C164" s="391" t="s">
        <v>1409</v>
      </c>
      <c r="D164" s="396">
        <v>2</v>
      </c>
      <c r="E164" s="123">
        <f>IF(TYPE(VLOOKUP(C164,'Sales_DC Price'!K:L,2,0))=16,0,VLOOKUP(C164,'Sales_DC Price'!K:L,2,0)*D164)</f>
        <v>1220</v>
      </c>
      <c r="F164" s="116">
        <f>IF(TYPE(VLOOKUP(C164,'Sales_DC Price'!Q:R,2,0))=16,0,VLOOKUP(C164,'Sales_DC Price'!Q:R,2,0))</f>
        <v>213.83510000000001</v>
      </c>
      <c r="G164" s="116">
        <f t="shared" si="2"/>
        <v>427.67020000000002</v>
      </c>
    </row>
    <row r="165" spans="1:9">
      <c r="A165" s="389">
        <v>45646</v>
      </c>
      <c r="B165" s="391" t="s">
        <v>5366</v>
      </c>
      <c r="C165" s="390" t="s">
        <v>1061</v>
      </c>
      <c r="D165" s="397">
        <v>1.5</v>
      </c>
      <c r="E165" s="123">
        <f>1183*D165</f>
        <v>1774.5</v>
      </c>
      <c r="F165" s="116">
        <f>IF(TYPE(VLOOKUP(C165,'Sales_DC Price'!Q:R,2,0))=16,0,VLOOKUP(C165,'Sales_DC Price'!Q:R,2,0))</f>
        <v>790.04780000000005</v>
      </c>
      <c r="G165" s="116">
        <f t="shared" si="2"/>
        <v>1185.0717</v>
      </c>
    </row>
    <row r="166" spans="1:9" hidden="1">
      <c r="A166" s="388">
        <v>45646</v>
      </c>
      <c r="B166" s="390" t="s">
        <v>5367</v>
      </c>
      <c r="C166" s="391" t="s">
        <v>1694</v>
      </c>
      <c r="D166" s="396">
        <v>1</v>
      </c>
      <c r="E166" s="123">
        <f>IF(TYPE(VLOOKUP(C166,'Sales_DC Price'!K:L,2,0))=16,0,VLOOKUP(C166,'Sales_DC Price'!K:L,2,0)*D166)</f>
        <v>1151</v>
      </c>
      <c r="F166" s="116">
        <f>IF(TYPE(VLOOKUP(C166,'Sales_DC Price'!Q:R,2,0))=16,0,VLOOKUP(C166,'Sales_DC Price'!Q:R,2,0))</f>
        <v>876.60652000000005</v>
      </c>
      <c r="G166" s="116">
        <f t="shared" si="2"/>
        <v>876.60652000000005</v>
      </c>
    </row>
    <row r="167" spans="1:9" hidden="1">
      <c r="A167" s="389">
        <v>45646</v>
      </c>
      <c r="B167" s="391" t="s">
        <v>5368</v>
      </c>
      <c r="C167" s="390" t="s">
        <v>1694</v>
      </c>
      <c r="D167" s="397">
        <v>0.2</v>
      </c>
      <c r="E167" s="123">
        <f>IF(TYPE(VLOOKUP(C167,'Sales_DC Price'!K:L,2,0))=16,0,VLOOKUP(C167,'Sales_DC Price'!K:L,2,0)*D167)</f>
        <v>230.20000000000002</v>
      </c>
      <c r="F167" s="116">
        <f>IF(TYPE(VLOOKUP(C167,'Sales_DC Price'!Q:R,2,0))=16,0,VLOOKUP(C167,'Sales_DC Price'!Q:R,2,0))</f>
        <v>876.60652000000005</v>
      </c>
      <c r="G167" s="116">
        <f t="shared" si="2"/>
        <v>175.32130400000003</v>
      </c>
    </row>
    <row r="168" spans="1:9" hidden="1">
      <c r="A168" s="388">
        <v>45646</v>
      </c>
      <c r="B168" s="390" t="s">
        <v>5369</v>
      </c>
      <c r="C168" s="391" t="s">
        <v>1502</v>
      </c>
      <c r="D168" s="396">
        <v>0.4</v>
      </c>
      <c r="E168" s="123">
        <f>IF(TYPE(VLOOKUP(C168,'Sales_DC Price'!K:L,2,0))=16,0,VLOOKUP(C168,'Sales_DC Price'!K:L,2,0)*D168)</f>
        <v>0</v>
      </c>
      <c r="F168" s="116">
        <f>IF(TYPE(VLOOKUP(C168,'Sales_DC Price'!Q:R,2,0))=16,0,VLOOKUP(C168,'Sales_DC Price'!Q:R,2,0))</f>
        <v>0</v>
      </c>
      <c r="G168" s="116">
        <f t="shared" si="2"/>
        <v>0</v>
      </c>
    </row>
    <row r="169" spans="1:9" hidden="1">
      <c r="A169" s="389">
        <v>45646</v>
      </c>
      <c r="B169" s="391" t="s">
        <v>5370</v>
      </c>
      <c r="C169" s="390" t="s">
        <v>1502</v>
      </c>
      <c r="D169" s="397">
        <v>5.5E-2</v>
      </c>
      <c r="E169" s="123">
        <f>IF(TYPE(VLOOKUP(C169,'Sales_DC Price'!K:L,2,0))=16,0,VLOOKUP(C169,'Sales_DC Price'!K:L,2,0)*D169)</f>
        <v>0</v>
      </c>
      <c r="F169" s="116">
        <f>IF(TYPE(VLOOKUP(C169,'Sales_DC Price'!Q:R,2,0))=16,0,VLOOKUP(C169,'Sales_DC Price'!Q:R,2,0))</f>
        <v>0</v>
      </c>
      <c r="G169" s="116">
        <f t="shared" si="2"/>
        <v>0</v>
      </c>
    </row>
    <row r="170" spans="1:9" hidden="1">
      <c r="A170" s="388">
        <v>45646</v>
      </c>
      <c r="B170" s="390" t="s">
        <v>5368</v>
      </c>
      <c r="C170" s="391" t="s">
        <v>1694</v>
      </c>
      <c r="D170" s="396">
        <v>0.8</v>
      </c>
      <c r="E170" s="123">
        <f>IF(TYPE(VLOOKUP(C170,'Sales_DC Price'!K:L,2,0))=16,0,VLOOKUP(C170,'Sales_DC Price'!K:L,2,0)*D170)</f>
        <v>920.80000000000007</v>
      </c>
      <c r="F170" s="116">
        <f>IF(TYPE(VLOOKUP(C170,'Sales_DC Price'!Q:R,2,0))=16,0,VLOOKUP(C170,'Sales_DC Price'!Q:R,2,0))</f>
        <v>876.60652000000005</v>
      </c>
      <c r="G170" s="116">
        <f t="shared" si="2"/>
        <v>701.2852160000001</v>
      </c>
    </row>
    <row r="171" spans="1:9">
      <c r="A171" s="389">
        <v>45646</v>
      </c>
      <c r="B171" s="391" t="s">
        <v>5371</v>
      </c>
      <c r="C171" s="390"/>
      <c r="D171" s="397"/>
      <c r="E171" s="123">
        <f>IF(TYPE(VLOOKUP(C171,'Sales_DC Price'!K:L,2,0))=16,0,VLOOKUP(C171,'Sales_DC Price'!K:L,2,0)*D171)</f>
        <v>0</v>
      </c>
      <c r="F171" s="116">
        <f>IF(TYPE(VLOOKUP(C171,'Sales_DC Price'!Q:R,2,0))=16,0,VLOOKUP(C171,'Sales_DC Price'!Q:R,2,0))</f>
        <v>0</v>
      </c>
      <c r="G171" s="116">
        <f t="shared" si="2"/>
        <v>0</v>
      </c>
      <c r="H171" s="116" t="s">
        <v>798</v>
      </c>
      <c r="I171">
        <v>1E-3</v>
      </c>
    </row>
    <row r="172" spans="1:9" hidden="1">
      <c r="A172" s="388">
        <v>45646</v>
      </c>
      <c r="B172" s="390" t="s">
        <v>5372</v>
      </c>
      <c r="C172" s="391" t="s">
        <v>855</v>
      </c>
      <c r="D172" s="397">
        <v>3</v>
      </c>
      <c r="E172" s="123">
        <f>IF(TYPE(VLOOKUP(C172,'Sales_DC Price'!K:L,2,0))=16,0,VLOOKUP(C172,'Sales_DC Price'!K:L,2,0)*D172)</f>
        <v>510</v>
      </c>
      <c r="F172" s="116">
        <f>IF(TYPE(VLOOKUP(C172,'Sales_DC Price'!Q:R,2,0))=16,0,VLOOKUP(C172,'Sales_DC Price'!Q:R,2,0))</f>
        <v>142.89058</v>
      </c>
      <c r="G172" s="116">
        <f t="shared" si="2"/>
        <v>428.67174</v>
      </c>
    </row>
    <row r="173" spans="1:9">
      <c r="A173" s="389">
        <v>45646</v>
      </c>
      <c r="B173" s="391" t="s">
        <v>5373</v>
      </c>
      <c r="C173" s="390"/>
      <c r="D173" s="397"/>
      <c r="E173" s="123">
        <f>IF(TYPE(VLOOKUP(C173,'Sales_DC Price'!K:L,2,0))=16,0,VLOOKUP(C173,'Sales_DC Price'!K:L,2,0)*D173)</f>
        <v>0</v>
      </c>
      <c r="F173" s="116">
        <f>IF(TYPE(VLOOKUP(C173,'Sales_DC Price'!Q:R,2,0))=16,0,VLOOKUP(C173,'Sales_DC Price'!Q:R,2,0))</f>
        <v>0</v>
      </c>
      <c r="G173" s="116">
        <f t="shared" si="2"/>
        <v>0</v>
      </c>
      <c r="H173" s="116" t="s">
        <v>815</v>
      </c>
      <c r="I173">
        <v>1E-3</v>
      </c>
    </row>
    <row r="174" spans="1:9" hidden="1">
      <c r="A174" s="388">
        <v>45646</v>
      </c>
      <c r="B174" s="390" t="s">
        <v>5374</v>
      </c>
      <c r="C174" s="391" t="s">
        <v>858</v>
      </c>
      <c r="D174" s="396">
        <v>6</v>
      </c>
      <c r="E174" s="123">
        <f>IF(TYPE(VLOOKUP(C174,'Sales_DC Price'!K:L,2,0))=16,0,VLOOKUP(C174,'Sales_DC Price'!K:L,2,0)*D174)</f>
        <v>1380.0000000000002</v>
      </c>
      <c r="F174" s="116">
        <f>IF(TYPE(VLOOKUP(C174,'Sales_DC Price'!Q:R,2,0))=16,0,VLOOKUP(C174,'Sales_DC Price'!Q:R,2,0))</f>
        <v>190.03057999999999</v>
      </c>
      <c r="G174" s="116">
        <f t="shared" si="2"/>
        <v>1140.1834799999999</v>
      </c>
    </row>
    <row r="175" spans="1:9" hidden="1">
      <c r="A175" s="389">
        <v>45646</v>
      </c>
      <c r="B175" s="391" t="s">
        <v>5375</v>
      </c>
      <c r="C175" s="390" t="s">
        <v>796</v>
      </c>
      <c r="D175" s="397">
        <v>3</v>
      </c>
      <c r="E175" s="123">
        <f>IF(TYPE(VLOOKUP(C175,'Sales_DC Price'!K:L,2,0))=16,0,VLOOKUP(C175,'Sales_DC Price'!K:L,2,0)*D175)</f>
        <v>3750</v>
      </c>
      <c r="F175" s="116">
        <f>IF(TYPE(VLOOKUP(C175,'Sales_DC Price'!Q:R,2,0))=16,0,VLOOKUP(C175,'Sales_DC Price'!Q:R,2,0))</f>
        <v>966.53413999999998</v>
      </c>
      <c r="G175" s="116">
        <f t="shared" si="2"/>
        <v>2899.6024200000002</v>
      </c>
    </row>
    <row r="176" spans="1:9">
      <c r="A176" s="388"/>
      <c r="B176" s="391"/>
      <c r="C176" s="391"/>
      <c r="D176" s="396"/>
      <c r="E176" s="123">
        <f>IF(TYPE(VLOOKUP(C176,'Sales_DC Price'!K:L,2,0))=16,0,VLOOKUP(C176,'Sales_DC Price'!K:L,2,0)*D176)</f>
        <v>0</v>
      </c>
      <c r="F176" s="116">
        <f>IF(TYPE(VLOOKUP(C176,'Sales_DC Price'!Q:R,2,0))=16,0,VLOOKUP(C176,'Sales_DC Price'!Q:R,2,0))</f>
        <v>0</v>
      </c>
      <c r="G176" s="116">
        <f t="shared" si="2"/>
        <v>0</v>
      </c>
    </row>
    <row r="177" spans="1:7">
      <c r="A177" s="389"/>
      <c r="B177" s="390"/>
      <c r="C177" s="390"/>
      <c r="D177" s="397"/>
      <c r="E177" s="123">
        <f>IF(TYPE(VLOOKUP(C177,'Sales_DC Price'!K:L,2,0))=16,0,VLOOKUP(C177,'Sales_DC Price'!K:L,2,0)*D177)</f>
        <v>0</v>
      </c>
      <c r="F177" s="116">
        <f>IF(TYPE(VLOOKUP(C177,'Sales_DC Price'!Q:R,2,0))=16,0,VLOOKUP(C177,'Sales_DC Price'!Q:R,2,0))</f>
        <v>0</v>
      </c>
      <c r="G177" s="116">
        <f t="shared" si="2"/>
        <v>0</v>
      </c>
    </row>
    <row r="178" spans="1:7">
      <c r="A178" s="388"/>
      <c r="B178" s="391"/>
      <c r="C178" s="391"/>
      <c r="D178" s="396"/>
      <c r="E178" s="123">
        <f>IF(TYPE(VLOOKUP(C178,'Sales_DC Price'!K:L,2,0))=16,0,VLOOKUP(C178,'Sales_DC Price'!K:L,2,0)*D178)</f>
        <v>0</v>
      </c>
      <c r="F178" s="116">
        <f>IF(TYPE(VLOOKUP(C178,'Sales_DC Price'!Q:R,2,0))=16,0,VLOOKUP(C178,'Sales_DC Price'!Q:R,2,0))</f>
        <v>0</v>
      </c>
      <c r="G178" s="116">
        <f t="shared" si="2"/>
        <v>0</v>
      </c>
    </row>
    <row r="179" spans="1:7">
      <c r="A179" s="389"/>
      <c r="B179" s="390"/>
      <c r="C179" s="390"/>
      <c r="D179" s="397"/>
      <c r="E179" s="123">
        <f>IF(TYPE(VLOOKUP(C179,'Sales_DC Price'!K:L,2,0))=16,0,VLOOKUP(C179,'Sales_DC Price'!K:L,2,0)*D179)</f>
        <v>0</v>
      </c>
      <c r="F179" s="116">
        <f>IF(TYPE(VLOOKUP(C179,'Sales_DC Price'!Q:R,2,0))=16,0,VLOOKUP(C179,'Sales_DC Price'!Q:R,2,0))</f>
        <v>0</v>
      </c>
      <c r="G179" s="116">
        <f t="shared" si="2"/>
        <v>0</v>
      </c>
    </row>
    <row r="180" spans="1:7">
      <c r="A180" s="388"/>
      <c r="B180" s="120"/>
      <c r="C180" s="391"/>
      <c r="D180" s="396"/>
      <c r="E180" s="123">
        <f>IF(TYPE(VLOOKUP(C180,'Sales_DC Price'!K:L,2,0))=16,0,VLOOKUP(C180,'Sales_DC Price'!K:L,2,0)*D180)</f>
        <v>0</v>
      </c>
      <c r="F180" s="116">
        <f>IF(TYPE(VLOOKUP(C180,'Sales_DC Price'!Q:R,2,0))=16,0,VLOOKUP(C180,'Sales_DC Price'!Q:R,2,0))</f>
        <v>0</v>
      </c>
      <c r="G180" s="116">
        <f t="shared" si="2"/>
        <v>0</v>
      </c>
    </row>
    <row r="181" spans="1:7">
      <c r="A181" s="388"/>
      <c r="B181" s="120"/>
      <c r="C181" s="390"/>
      <c r="D181" s="397"/>
      <c r="E181" s="123">
        <f>IF(TYPE(VLOOKUP(C181,'Sales_DC Price'!K:L,2,0))=16,0,VLOOKUP(C181,'Sales_DC Price'!K:L,2,0)*D181)</f>
        <v>0</v>
      </c>
      <c r="F181" s="116">
        <f>IF(TYPE(VLOOKUP(C181,'Sales_DC Price'!Q:R,2,0))=16,0,VLOOKUP(C181,'Sales_DC Price'!Q:R,2,0))</f>
        <v>0</v>
      </c>
      <c r="G181" s="116">
        <f t="shared" si="2"/>
        <v>0</v>
      </c>
    </row>
    <row r="182" spans="1:7">
      <c r="A182" s="389"/>
      <c r="B182" s="120"/>
      <c r="C182" s="391"/>
      <c r="D182" s="396"/>
      <c r="E182" s="123">
        <f>IF(TYPE(VLOOKUP(C182,'Sales_DC Price'!K:L,2,0))=16,0,VLOOKUP(C182,'Sales_DC Price'!K:L,2,0)*D182)</f>
        <v>0</v>
      </c>
      <c r="F182" s="116">
        <f>IF(TYPE(VLOOKUP(C182,'Sales_DC Price'!Q:R,2,0))=16,0,VLOOKUP(C182,'Sales_DC Price'!Q:R,2,0))</f>
        <v>0</v>
      </c>
      <c r="G182" s="116">
        <f t="shared" si="2"/>
        <v>0</v>
      </c>
    </row>
    <row r="183" spans="1:7">
      <c r="A183" s="388"/>
      <c r="B183" s="120"/>
      <c r="C183" s="390"/>
      <c r="D183" s="397"/>
      <c r="E183" s="123">
        <f>IF(TYPE(VLOOKUP(C183,'Sales_DC Price'!K:L,2,0))=16,0,VLOOKUP(C183,'Sales_DC Price'!K:L,2,0)*D183)</f>
        <v>0</v>
      </c>
      <c r="F183" s="116">
        <f>IF(TYPE(VLOOKUP(C183,'Sales_DC Price'!Q:R,2,0))=16,0,VLOOKUP(C183,'Sales_DC Price'!Q:R,2,0))</f>
        <v>0</v>
      </c>
      <c r="G183" s="116">
        <f t="shared" si="2"/>
        <v>0</v>
      </c>
    </row>
    <row r="184" spans="1:7">
      <c r="A184" s="388"/>
      <c r="B184" s="120"/>
      <c r="C184" s="391"/>
      <c r="D184" s="396"/>
      <c r="E184" s="123">
        <f>IF(TYPE(VLOOKUP(C184,'Sales_DC Price'!K:L,2,0))=16,0,VLOOKUP(C184,'Sales_DC Price'!K:L,2,0)*D184)</f>
        <v>0</v>
      </c>
      <c r="F184" s="116">
        <f>IF(TYPE(VLOOKUP(C184,'Sales_DC Price'!Q:R,2,0))=16,0,VLOOKUP(C184,'Sales_DC Price'!Q:R,2,0))</f>
        <v>0</v>
      </c>
      <c r="G184" s="116">
        <f t="shared" si="2"/>
        <v>0</v>
      </c>
    </row>
    <row r="185" spans="1:7">
      <c r="A185" s="389"/>
      <c r="B185" s="120"/>
      <c r="C185" s="390"/>
      <c r="D185" s="397"/>
      <c r="E185" s="123">
        <f>IF(TYPE(VLOOKUP(C185,'Sales_DC Price'!K:L,2,0))=16,0,VLOOKUP(C185,'Sales_DC Price'!K:L,2,0)*D185)</f>
        <v>0</v>
      </c>
      <c r="F185" s="116">
        <f>IF(TYPE(VLOOKUP(C185,'Sales_DC Price'!Q:R,2,0))=16,0,VLOOKUP(C185,'Sales_DC Price'!Q:R,2,0))</f>
        <v>0</v>
      </c>
      <c r="G185" s="116">
        <f t="shared" si="2"/>
        <v>0</v>
      </c>
    </row>
    <row r="186" spans="1:7">
      <c r="A186" s="388"/>
      <c r="B186" s="120"/>
      <c r="C186" s="391"/>
      <c r="D186" s="396"/>
      <c r="E186" s="123">
        <f>IF(TYPE(VLOOKUP(C186,'Sales_DC Price'!K:L,2,0))=16,0,VLOOKUP(C186,'Sales_DC Price'!K:L,2,0)*D186)</f>
        <v>0</v>
      </c>
      <c r="F186" s="116">
        <f>IF(TYPE(VLOOKUP(C186,'Sales_DC Price'!Q:R,2,0))=16,0,VLOOKUP(C186,'Sales_DC Price'!Q:R,2,0))</f>
        <v>0</v>
      </c>
      <c r="G186" s="116">
        <f t="shared" si="2"/>
        <v>0</v>
      </c>
    </row>
    <row r="187" spans="1:7">
      <c r="A187" s="389"/>
      <c r="B187" s="120"/>
      <c r="C187" s="390"/>
      <c r="D187" s="396"/>
      <c r="E187" s="123">
        <f>IF(TYPE(VLOOKUP(C187,'Sales_DC Price'!K:L,2,0))=16,0,VLOOKUP(C187,'Sales_DC Price'!K:L,2,0)*D187)</f>
        <v>0</v>
      </c>
      <c r="F187" s="116">
        <f>IF(TYPE(VLOOKUP(C187,'Sales_DC Price'!Q:R,2,0))=16,0,VLOOKUP(C187,'Sales_DC Price'!Q:R,2,0))</f>
        <v>0</v>
      </c>
      <c r="G187" s="116">
        <f t="shared" si="2"/>
        <v>0</v>
      </c>
    </row>
    <row r="188" spans="1:7">
      <c r="A188" s="388"/>
      <c r="B188" s="120"/>
      <c r="C188" s="391"/>
      <c r="D188" s="397"/>
      <c r="E188" s="123">
        <f>IF(TYPE(VLOOKUP(C188,'Sales_DC Price'!K:L,2,0))=16,0,VLOOKUP(C188,'Sales_DC Price'!K:L,2,0)*D188)</f>
        <v>0</v>
      </c>
      <c r="F188" s="116">
        <f>IF(TYPE(VLOOKUP(C188,'Sales_DC Price'!Q:R,2,0))=16,0,VLOOKUP(C188,'Sales_DC Price'!Q:R,2,0))</f>
        <v>0</v>
      </c>
      <c r="G188" s="116">
        <f t="shared" si="2"/>
        <v>0</v>
      </c>
    </row>
    <row r="189" spans="1:7">
      <c r="A189" s="389"/>
      <c r="B189" s="120"/>
      <c r="C189" s="390"/>
      <c r="D189" s="396"/>
      <c r="E189" s="123">
        <f>IF(TYPE(VLOOKUP(C189,'Sales_DC Price'!K:L,2,0))=16,0,VLOOKUP(C189,'Sales_DC Price'!K:L,2,0)*D189)</f>
        <v>0</v>
      </c>
      <c r="F189" s="116">
        <f>IF(TYPE(VLOOKUP(C189,'Sales_DC Price'!Q:R,2,0))=16,0,VLOOKUP(C189,'Sales_DC Price'!Q:R,2,0))</f>
        <v>0</v>
      </c>
      <c r="G189" s="116">
        <f t="shared" si="2"/>
        <v>0</v>
      </c>
    </row>
    <row r="190" spans="1:7">
      <c r="A190" s="388"/>
      <c r="B190" s="120"/>
      <c r="C190" s="391"/>
      <c r="D190" s="397"/>
      <c r="E190" s="123">
        <f>IF(TYPE(VLOOKUP(C190,'Sales_DC Price'!K:L,2,0))=16,0,VLOOKUP(C190,'Sales_DC Price'!K:L,2,0)*D190)</f>
        <v>0</v>
      </c>
      <c r="F190" s="116">
        <f>IF(TYPE(VLOOKUP(C190,'Sales_DC Price'!Q:R,2,0))=16,0,VLOOKUP(C190,'Sales_DC Price'!Q:R,2,0))</f>
        <v>0</v>
      </c>
      <c r="G190" s="116">
        <f t="shared" si="2"/>
        <v>0</v>
      </c>
    </row>
    <row r="191" spans="1:7">
      <c r="A191" s="389"/>
      <c r="B191" s="120"/>
      <c r="C191" s="390"/>
      <c r="D191" s="396"/>
      <c r="E191" s="123">
        <f>IF(TYPE(VLOOKUP(C191,'Sales_DC Price'!K:L,2,0))=16,0,VLOOKUP(C191,'Sales_DC Price'!K:L,2,0)*D191)</f>
        <v>0</v>
      </c>
      <c r="F191" s="116">
        <f>IF(TYPE(VLOOKUP(C191,'Sales_DC Price'!Q:R,2,0))=16,0,VLOOKUP(C191,'Sales_DC Price'!Q:R,2,0))</f>
        <v>0</v>
      </c>
      <c r="G191" s="116">
        <f t="shared" si="2"/>
        <v>0</v>
      </c>
    </row>
    <row r="192" spans="1:7">
      <c r="A192" s="388"/>
      <c r="B192" s="120"/>
      <c r="C192" s="391"/>
      <c r="D192" s="397"/>
      <c r="E192" s="123">
        <f>IF(TYPE(VLOOKUP(C192,'Sales_DC Price'!K:L,2,0))=16,0,VLOOKUP(C192,'Sales_DC Price'!K:L,2,0)*D192)</f>
        <v>0</v>
      </c>
      <c r="F192" s="116">
        <f>IF(TYPE(VLOOKUP(C192,'Sales_DC Price'!Q:R,2,0))=16,0,VLOOKUP(C192,'Sales_DC Price'!Q:R,2,0))</f>
        <v>0</v>
      </c>
      <c r="G192" s="116">
        <f t="shared" si="2"/>
        <v>0</v>
      </c>
    </row>
    <row r="193" spans="1:7">
      <c r="A193" s="389"/>
      <c r="B193" s="120"/>
      <c r="C193" s="390"/>
      <c r="D193" s="396"/>
      <c r="E193" s="123">
        <f>IF(TYPE(VLOOKUP(C193,'Sales_DC Price'!K:L,2,0))=16,0,VLOOKUP(C193,'Sales_DC Price'!K:L,2,0)*D193)</f>
        <v>0</v>
      </c>
      <c r="F193" s="116">
        <f>IF(TYPE(VLOOKUP(C193,'Sales_DC Price'!Q:R,2,0))=16,0,VLOOKUP(C193,'Sales_DC Price'!Q:R,2,0))</f>
        <v>0</v>
      </c>
      <c r="G193" s="116">
        <f t="shared" si="2"/>
        <v>0</v>
      </c>
    </row>
    <row r="194" spans="1:7">
      <c r="A194" s="388"/>
      <c r="B194" s="120"/>
      <c r="C194" s="391"/>
      <c r="D194" s="397"/>
      <c r="E194" s="123">
        <f>IF(TYPE(VLOOKUP(C194,'Sales_DC Price'!K:L,2,0))=16,0,VLOOKUP(C194,'Sales_DC Price'!K:L,2,0)*D194)</f>
        <v>0</v>
      </c>
      <c r="F194" s="116">
        <f>IF(TYPE(VLOOKUP(C194,'Sales_DC Price'!Q:R,2,0))=16,0,VLOOKUP(C194,'Sales_DC Price'!Q:R,2,0))</f>
        <v>0</v>
      </c>
      <c r="G194" s="116">
        <f t="shared" ref="G194:G257" si="4">F194*D194</f>
        <v>0</v>
      </c>
    </row>
    <row r="195" spans="1:7">
      <c r="A195" s="388"/>
      <c r="B195" s="120"/>
      <c r="C195" s="390"/>
      <c r="D195" s="396"/>
      <c r="E195" s="123">
        <f>IF(TYPE(VLOOKUP(C195,'Sales_DC Price'!K:L,2,0))=16,0,VLOOKUP(C195,'Sales_DC Price'!K:L,2,0)*D195)</f>
        <v>0</v>
      </c>
      <c r="F195" s="116">
        <f>IF(TYPE(VLOOKUP(C195,'Sales_DC Price'!Q:R,2,0))=16,0,VLOOKUP(C195,'Sales_DC Price'!Q:R,2,0))</f>
        <v>0</v>
      </c>
      <c r="G195" s="116">
        <f t="shared" si="4"/>
        <v>0</v>
      </c>
    </row>
    <row r="196" spans="1:7">
      <c r="A196" s="389"/>
      <c r="B196" s="120"/>
      <c r="C196" s="391"/>
      <c r="D196" s="397"/>
      <c r="E196" s="123">
        <f>IF(TYPE(VLOOKUP(C196,'Sales_DC Price'!K:L,2,0))=16,0,VLOOKUP(C196,'Sales_DC Price'!K:L,2,0)*D196)</f>
        <v>0</v>
      </c>
      <c r="F196" s="116">
        <f>IF(TYPE(VLOOKUP(C196,'Sales_DC Price'!Q:R,2,0))=16,0,VLOOKUP(C196,'Sales_DC Price'!Q:R,2,0))</f>
        <v>0</v>
      </c>
      <c r="G196" s="116">
        <f t="shared" si="4"/>
        <v>0</v>
      </c>
    </row>
    <row r="197" spans="1:7">
      <c r="A197" s="388"/>
      <c r="B197" s="120"/>
      <c r="C197" s="390"/>
      <c r="D197" s="396"/>
      <c r="E197" s="123">
        <f>IF(TYPE(VLOOKUP(C197,'Sales_DC Price'!K:L,2,0))=16,0,VLOOKUP(C197,'Sales_DC Price'!K:L,2,0)*D197)</f>
        <v>0</v>
      </c>
      <c r="F197" s="116">
        <f>IF(TYPE(VLOOKUP(C197,'Sales_DC Price'!Q:R,2,0))=16,0,VLOOKUP(C197,'Sales_DC Price'!Q:R,2,0))</f>
        <v>0</v>
      </c>
      <c r="G197" s="116">
        <f t="shared" si="4"/>
        <v>0</v>
      </c>
    </row>
    <row r="198" spans="1:7">
      <c r="A198" s="389"/>
      <c r="B198" s="120"/>
      <c r="C198" s="391"/>
      <c r="D198" s="397"/>
      <c r="E198" s="123">
        <f>IF(TYPE(VLOOKUP(C198,'Sales_DC Price'!K:L,2,0))=16,0,VLOOKUP(C198,'Sales_DC Price'!K:L,2,0)*D198)</f>
        <v>0</v>
      </c>
      <c r="F198" s="116">
        <f>IF(TYPE(VLOOKUP(C198,'Sales_DC Price'!Q:R,2,0))=16,0,VLOOKUP(C198,'Sales_DC Price'!Q:R,2,0))</f>
        <v>0</v>
      </c>
      <c r="G198" s="116">
        <f t="shared" si="4"/>
        <v>0</v>
      </c>
    </row>
    <row r="199" spans="1:7">
      <c r="A199" s="388"/>
      <c r="B199" s="120"/>
      <c r="C199" s="390"/>
      <c r="D199" s="396"/>
      <c r="E199" s="123">
        <f>IF(TYPE(VLOOKUP(C199,'Sales_DC Price'!K:L,2,0))=16,0,VLOOKUP(C199,'Sales_DC Price'!K:L,2,0)*D199)</f>
        <v>0</v>
      </c>
      <c r="F199" s="116">
        <f>IF(TYPE(VLOOKUP(C199,'Sales_DC Price'!Q:R,2,0))=16,0,VLOOKUP(C199,'Sales_DC Price'!Q:R,2,0))</f>
        <v>0</v>
      </c>
      <c r="G199" s="116">
        <f t="shared" si="4"/>
        <v>0</v>
      </c>
    </row>
    <row r="200" spans="1:7">
      <c r="A200" s="389"/>
      <c r="B200" s="120"/>
      <c r="C200" s="391"/>
      <c r="D200" s="397"/>
      <c r="E200" s="123">
        <f>IF(TYPE(VLOOKUP(C200,'Sales_DC Price'!K:L,2,0))=16,0,VLOOKUP(C200,'Sales_DC Price'!K:L,2,0)*D200)</f>
        <v>0</v>
      </c>
      <c r="F200" s="116">
        <f>IF(TYPE(VLOOKUP(C200,'Sales_DC Price'!Q:R,2,0))=16,0,VLOOKUP(C200,'Sales_DC Price'!Q:R,2,0))</f>
        <v>0</v>
      </c>
      <c r="G200" s="116">
        <f t="shared" si="4"/>
        <v>0</v>
      </c>
    </row>
    <row r="201" spans="1:7">
      <c r="A201" s="388"/>
      <c r="B201" s="120"/>
      <c r="C201" s="390"/>
      <c r="D201" s="396"/>
      <c r="E201" s="123">
        <f>IF(TYPE(VLOOKUP(C201,'Sales_DC Price'!K:L,2,0))=16,0,VLOOKUP(C201,'Sales_DC Price'!K:L,2,0)*D201)</f>
        <v>0</v>
      </c>
      <c r="F201" s="116">
        <f>IF(TYPE(VLOOKUP(C201,'Sales_DC Price'!Q:R,2,0))=16,0,VLOOKUP(C201,'Sales_DC Price'!Q:R,2,0))</f>
        <v>0</v>
      </c>
      <c r="G201" s="116">
        <f t="shared" si="4"/>
        <v>0</v>
      </c>
    </row>
    <row r="202" spans="1:7">
      <c r="A202" s="389"/>
      <c r="B202" s="120"/>
      <c r="C202" s="391"/>
      <c r="D202" s="397"/>
      <c r="E202" s="123">
        <f>IF(TYPE(VLOOKUP(C202,'Sales_DC Price'!K:L,2,0))=16,0,VLOOKUP(C202,'Sales_DC Price'!K:L,2,0)*D202)</f>
        <v>0</v>
      </c>
      <c r="F202" s="116">
        <f>IF(TYPE(VLOOKUP(C202,'Sales_DC Price'!Q:R,2,0))=16,0,VLOOKUP(C202,'Sales_DC Price'!Q:R,2,0))</f>
        <v>0</v>
      </c>
      <c r="G202" s="116">
        <f t="shared" si="4"/>
        <v>0</v>
      </c>
    </row>
    <row r="203" spans="1:7">
      <c r="A203" s="388"/>
      <c r="B203" s="120"/>
      <c r="C203" s="390"/>
      <c r="D203" s="396"/>
      <c r="E203" s="123">
        <f>IF(TYPE(VLOOKUP(C203,'Sales_DC Price'!K:L,2,0))=16,0,VLOOKUP(C203,'Sales_DC Price'!K:L,2,0)*D203)</f>
        <v>0</v>
      </c>
      <c r="F203" s="116">
        <f>IF(TYPE(VLOOKUP(C203,'Sales_DC Price'!Q:R,2,0))=16,0,VLOOKUP(C203,'Sales_DC Price'!Q:R,2,0))</f>
        <v>0</v>
      </c>
      <c r="G203" s="116">
        <f t="shared" si="4"/>
        <v>0</v>
      </c>
    </row>
    <row r="204" spans="1:7">
      <c r="A204" s="388"/>
      <c r="B204" s="120"/>
      <c r="C204" s="391"/>
      <c r="D204" s="396"/>
      <c r="E204" s="123">
        <f>IF(TYPE(VLOOKUP(C204,'Sales_DC Price'!K:L,2,0))=16,0,VLOOKUP(C204,'Sales_DC Price'!K:L,2,0)*D204)</f>
        <v>0</v>
      </c>
      <c r="F204" s="116">
        <f>IF(TYPE(VLOOKUP(C204,'Sales_DC Price'!Q:R,2,0))=16,0,VLOOKUP(C204,'Sales_DC Price'!Q:R,2,0))</f>
        <v>0</v>
      </c>
      <c r="G204" s="116">
        <f t="shared" si="4"/>
        <v>0</v>
      </c>
    </row>
    <row r="205" spans="1:7">
      <c r="A205" s="389"/>
      <c r="B205" s="120"/>
      <c r="C205" s="390"/>
      <c r="D205" s="397"/>
      <c r="E205" s="123">
        <f>IF(TYPE(VLOOKUP(C205,'Sales_DC Price'!K:L,2,0))=16,0,VLOOKUP(C205,'Sales_DC Price'!K:L,2,0)*D205)</f>
        <v>0</v>
      </c>
      <c r="F205" s="116">
        <f>IF(TYPE(VLOOKUP(C205,'Sales_DC Price'!Q:R,2,0))=16,0,VLOOKUP(C205,'Sales_DC Price'!Q:R,2,0))</f>
        <v>0</v>
      </c>
      <c r="G205" s="116">
        <f t="shared" si="4"/>
        <v>0</v>
      </c>
    </row>
    <row r="206" spans="1:7">
      <c r="A206" s="388"/>
      <c r="B206" s="120"/>
      <c r="C206" s="391"/>
      <c r="D206" s="396"/>
      <c r="E206" s="123">
        <f>IF(TYPE(VLOOKUP(C206,'Sales_DC Price'!K:L,2,0))=16,0,VLOOKUP(C206,'Sales_DC Price'!K:L,2,0)*D206)</f>
        <v>0</v>
      </c>
      <c r="F206" s="116">
        <f>IF(TYPE(VLOOKUP(C206,'Sales_DC Price'!Q:R,2,0))=16,0,VLOOKUP(C206,'Sales_DC Price'!Q:R,2,0))</f>
        <v>0</v>
      </c>
      <c r="G206" s="116">
        <f t="shared" si="4"/>
        <v>0</v>
      </c>
    </row>
    <row r="207" spans="1:7">
      <c r="A207" s="389"/>
      <c r="B207" s="120"/>
      <c r="C207" s="390"/>
      <c r="D207" s="397"/>
      <c r="E207" s="123">
        <f>IF(TYPE(VLOOKUP(C207,'Sales_DC Price'!K:L,2,0))=16,0,VLOOKUP(C207,'Sales_DC Price'!K:L,2,0)*D207)</f>
        <v>0</v>
      </c>
      <c r="F207" s="116">
        <f>IF(TYPE(VLOOKUP(C207,'Sales_DC Price'!Q:R,2,0))=16,0,VLOOKUP(C207,'Sales_DC Price'!Q:R,2,0))</f>
        <v>0</v>
      </c>
      <c r="G207" s="116">
        <f t="shared" si="4"/>
        <v>0</v>
      </c>
    </row>
    <row r="208" spans="1:7">
      <c r="A208" s="388"/>
      <c r="B208" s="120"/>
      <c r="C208" s="391"/>
      <c r="D208" s="396"/>
      <c r="E208" s="123">
        <f>IF(TYPE(VLOOKUP(C208,'Sales_DC Price'!K:L,2,0))=16,0,VLOOKUP(C208,'Sales_DC Price'!K:L,2,0)*D208)</f>
        <v>0</v>
      </c>
      <c r="F208" s="116">
        <f>IF(TYPE(VLOOKUP(C208,'Sales_DC Price'!Q:R,2,0))=16,0,VLOOKUP(C208,'Sales_DC Price'!Q:R,2,0))</f>
        <v>0</v>
      </c>
      <c r="G208" s="116">
        <f t="shared" si="4"/>
        <v>0</v>
      </c>
    </row>
    <row r="209" spans="1:7">
      <c r="A209" s="389"/>
      <c r="B209" s="120"/>
      <c r="C209" s="390"/>
      <c r="D209" s="397"/>
      <c r="E209" s="123">
        <f>IF(TYPE(VLOOKUP(C209,'Sales_DC Price'!K:L,2,0))=16,0,VLOOKUP(C209,'Sales_DC Price'!K:L,2,0)*D209)</f>
        <v>0</v>
      </c>
      <c r="F209" s="116">
        <f>IF(TYPE(VLOOKUP(C209,'Sales_DC Price'!Q:R,2,0))=16,0,VLOOKUP(C209,'Sales_DC Price'!Q:R,2,0))</f>
        <v>0</v>
      </c>
      <c r="G209" s="116">
        <f t="shared" si="4"/>
        <v>0</v>
      </c>
    </row>
    <row r="210" spans="1:7">
      <c r="A210" s="388"/>
      <c r="B210" s="120"/>
      <c r="C210" s="391"/>
      <c r="D210" s="396"/>
      <c r="E210" s="123">
        <f>IF(TYPE(VLOOKUP(C210,'Sales_DC Price'!K:L,2,0))=16,0,VLOOKUP(C210,'Sales_DC Price'!K:L,2,0)*D210)</f>
        <v>0</v>
      </c>
      <c r="F210" s="116">
        <f>IF(TYPE(VLOOKUP(C210,'Sales_DC Price'!Q:R,2,0))=16,0,VLOOKUP(C210,'Sales_DC Price'!Q:R,2,0))</f>
        <v>0</v>
      </c>
      <c r="G210" s="116">
        <f t="shared" si="4"/>
        <v>0</v>
      </c>
    </row>
    <row r="211" spans="1:7">
      <c r="A211" s="389"/>
      <c r="B211" s="120"/>
      <c r="C211" s="390"/>
      <c r="D211" s="397"/>
      <c r="E211" s="123">
        <f>IF(TYPE(VLOOKUP(C211,'Sales_DC Price'!K:L,2,0))=16,0,VLOOKUP(C211,'Sales_DC Price'!K:L,2,0)*D211)</f>
        <v>0</v>
      </c>
      <c r="F211" s="116">
        <f>IF(TYPE(VLOOKUP(C211,'Sales_DC Price'!Q:R,2,0))=16,0,VLOOKUP(C211,'Sales_DC Price'!Q:R,2,0))</f>
        <v>0</v>
      </c>
      <c r="G211" s="116">
        <f t="shared" si="4"/>
        <v>0</v>
      </c>
    </row>
    <row r="212" spans="1:7">
      <c r="A212" s="388"/>
      <c r="B212" s="120"/>
      <c r="C212" s="391"/>
      <c r="D212" s="396"/>
      <c r="E212" s="123">
        <f>IF(TYPE(VLOOKUP(C212,'Sales_DC Price'!K:L,2,0))=16,0,VLOOKUP(C212,'Sales_DC Price'!K:L,2,0)*D212)</f>
        <v>0</v>
      </c>
      <c r="F212" s="116">
        <f>IF(TYPE(VLOOKUP(C212,'Sales_DC Price'!Q:R,2,0))=16,0,VLOOKUP(C212,'Sales_DC Price'!Q:R,2,0))</f>
        <v>0</v>
      </c>
      <c r="G212" s="116">
        <f t="shared" si="4"/>
        <v>0</v>
      </c>
    </row>
    <row r="213" spans="1:7">
      <c r="A213" s="389"/>
      <c r="B213" s="120"/>
      <c r="C213" s="390"/>
      <c r="D213" s="397"/>
      <c r="E213" s="123">
        <f>IF(TYPE(VLOOKUP(C213,'Sales_DC Price'!K:L,2,0))=16,0,VLOOKUP(C213,'Sales_DC Price'!K:L,2,0)*D213)</f>
        <v>0</v>
      </c>
      <c r="F213" s="116">
        <f>IF(TYPE(VLOOKUP(C213,'Sales_DC Price'!Q:R,2,0))=16,0,VLOOKUP(C213,'Sales_DC Price'!Q:R,2,0))</f>
        <v>0</v>
      </c>
      <c r="G213" s="116">
        <f t="shared" si="4"/>
        <v>0</v>
      </c>
    </row>
    <row r="214" spans="1:7">
      <c r="A214" s="388"/>
      <c r="B214" s="120"/>
      <c r="C214" s="390"/>
      <c r="D214" s="396"/>
      <c r="E214" s="123">
        <f>IF(TYPE(VLOOKUP(C214,'Sales_DC Price'!K:L,2,0))=16,0,VLOOKUP(C214,'Sales_DC Price'!K:L,2,0)*D214)</f>
        <v>0</v>
      </c>
      <c r="F214" s="116">
        <f>IF(TYPE(VLOOKUP(C214,'Sales_DC Price'!Q:R,2,0))=16,0,VLOOKUP(C214,'Sales_DC Price'!Q:R,2,0))</f>
        <v>0</v>
      </c>
      <c r="G214" s="116">
        <f t="shared" si="4"/>
        <v>0</v>
      </c>
    </row>
    <row r="215" spans="1:7">
      <c r="A215" s="389"/>
      <c r="B215" s="120"/>
      <c r="C215" s="391"/>
      <c r="D215" s="397"/>
      <c r="E215" s="123">
        <f>IF(TYPE(VLOOKUP(C215,'Sales_DC Price'!K:L,2,0))=16,0,VLOOKUP(C215,'Sales_DC Price'!K:L,2,0)*D215)</f>
        <v>0</v>
      </c>
      <c r="F215" s="116">
        <f>IF(TYPE(VLOOKUP(C215,'Sales_DC Price'!Q:R,2,0))=16,0,VLOOKUP(C215,'Sales_DC Price'!Q:R,2,0))</f>
        <v>0</v>
      </c>
      <c r="G215" s="116">
        <f t="shared" si="4"/>
        <v>0</v>
      </c>
    </row>
    <row r="216" spans="1:7">
      <c r="A216" s="388"/>
      <c r="B216" s="120"/>
      <c r="C216" s="390"/>
      <c r="D216" s="396"/>
      <c r="E216" s="123">
        <f>IF(TYPE(VLOOKUP(C216,'Sales_DC Price'!K:L,2,0))=16,0,VLOOKUP(C216,'Sales_DC Price'!K:L,2,0)*D216)</f>
        <v>0</v>
      </c>
      <c r="F216" s="116">
        <f>IF(TYPE(VLOOKUP(C216,'Sales_DC Price'!Q:R,2,0))=16,0,VLOOKUP(C216,'Sales_DC Price'!Q:R,2,0))</f>
        <v>0</v>
      </c>
      <c r="G216" s="116">
        <f t="shared" si="4"/>
        <v>0</v>
      </c>
    </row>
    <row r="217" spans="1:7">
      <c r="A217" s="389"/>
      <c r="B217" s="120"/>
      <c r="C217" s="391"/>
      <c r="D217" s="397"/>
      <c r="E217" s="123">
        <f>IF(TYPE(VLOOKUP(C217,'Sales_DC Price'!K:L,2,0))=16,0,VLOOKUP(C217,'Sales_DC Price'!K:L,2,0)*D217)</f>
        <v>0</v>
      </c>
      <c r="F217" s="116">
        <f>IF(TYPE(VLOOKUP(C217,'Sales_DC Price'!Q:R,2,0))=16,0,VLOOKUP(C217,'Sales_DC Price'!Q:R,2,0))</f>
        <v>0</v>
      </c>
      <c r="G217" s="116">
        <f t="shared" si="4"/>
        <v>0</v>
      </c>
    </row>
    <row r="218" spans="1:7">
      <c r="A218" s="388"/>
      <c r="B218" s="120"/>
      <c r="C218" s="390"/>
      <c r="D218" s="396"/>
      <c r="E218" s="123">
        <f>IF(TYPE(VLOOKUP(C218,'Sales_DC Price'!K:L,2,0))=16,0,VLOOKUP(C218,'Sales_DC Price'!K:L,2,0)*D218)</f>
        <v>0</v>
      </c>
      <c r="F218" s="116">
        <f>IF(TYPE(VLOOKUP(C218,'Sales_DC Price'!Q:R,2,0))=16,0,VLOOKUP(C218,'Sales_DC Price'!Q:R,2,0))</f>
        <v>0</v>
      </c>
      <c r="G218" s="116">
        <f t="shared" si="4"/>
        <v>0</v>
      </c>
    </row>
    <row r="219" spans="1:7">
      <c r="A219" s="389"/>
      <c r="B219" s="120"/>
      <c r="C219" s="391"/>
      <c r="D219" s="397"/>
      <c r="E219" s="123">
        <f>IF(TYPE(VLOOKUP(C219,'Sales_DC Price'!K:L,2,0))=16,0,VLOOKUP(C219,'Sales_DC Price'!K:L,2,0)*D219)</f>
        <v>0</v>
      </c>
      <c r="F219" s="116">
        <f>IF(TYPE(VLOOKUP(C219,'Sales_DC Price'!Q:R,2,0))=16,0,VLOOKUP(C219,'Sales_DC Price'!Q:R,2,0))</f>
        <v>0</v>
      </c>
      <c r="G219" s="116">
        <f t="shared" si="4"/>
        <v>0</v>
      </c>
    </row>
    <row r="220" spans="1:7">
      <c r="A220" s="388"/>
      <c r="B220" s="120"/>
      <c r="C220" s="390"/>
      <c r="D220" s="396"/>
      <c r="E220" s="123">
        <f>IF(TYPE(VLOOKUP(C220,'Sales_DC Price'!K:L,2,0))=16,0,VLOOKUP(C220,'Sales_DC Price'!K:L,2,0)*D220)</f>
        <v>0</v>
      </c>
      <c r="F220" s="116">
        <f>IF(TYPE(VLOOKUP(C220,'Sales_DC Price'!Q:R,2,0))=16,0,VLOOKUP(C220,'Sales_DC Price'!Q:R,2,0))</f>
        <v>0</v>
      </c>
      <c r="G220" s="116">
        <f t="shared" si="4"/>
        <v>0</v>
      </c>
    </row>
    <row r="221" spans="1:7">
      <c r="A221" s="389"/>
      <c r="B221" s="120"/>
      <c r="C221" s="391"/>
      <c r="D221" s="397"/>
      <c r="E221" s="123">
        <f>IF(TYPE(VLOOKUP(C221,'Sales_DC Price'!K:L,2,0))=16,0,VLOOKUP(C221,'Sales_DC Price'!K:L,2,0)*D221)</f>
        <v>0</v>
      </c>
      <c r="F221" s="116">
        <f>IF(TYPE(VLOOKUP(C221,'Sales_DC Price'!Q:R,2,0))=16,0,VLOOKUP(C221,'Sales_DC Price'!Q:R,2,0))</f>
        <v>0</v>
      </c>
      <c r="G221" s="116">
        <f t="shared" si="4"/>
        <v>0</v>
      </c>
    </row>
    <row r="222" spans="1:7">
      <c r="A222" s="388"/>
      <c r="B222" s="120"/>
      <c r="C222" s="390"/>
      <c r="D222" s="396"/>
      <c r="E222" s="123">
        <f>IF(TYPE(VLOOKUP(C222,'Sales_DC Price'!K:L,2,0))=16,0,VLOOKUP(C222,'Sales_DC Price'!K:L,2,0)*D222)</f>
        <v>0</v>
      </c>
      <c r="F222" s="116">
        <f>IF(TYPE(VLOOKUP(C222,'Sales_DC Price'!Q:R,2,0))=16,0,VLOOKUP(C222,'Sales_DC Price'!Q:R,2,0))</f>
        <v>0</v>
      </c>
      <c r="G222" s="116">
        <f t="shared" si="4"/>
        <v>0</v>
      </c>
    </row>
    <row r="223" spans="1:7">
      <c r="A223" s="389"/>
      <c r="B223" s="120"/>
      <c r="C223" s="391"/>
      <c r="D223" s="397"/>
      <c r="E223" s="123">
        <f>IF(TYPE(VLOOKUP(C223,'Sales_DC Price'!K:L,2,0))=16,0,VLOOKUP(C223,'Sales_DC Price'!K:L,2,0)*D223)</f>
        <v>0</v>
      </c>
      <c r="F223" s="116">
        <f>IF(TYPE(VLOOKUP(C223,'Sales_DC Price'!Q:R,2,0))=16,0,VLOOKUP(C223,'Sales_DC Price'!Q:R,2,0))</f>
        <v>0</v>
      </c>
      <c r="G223" s="116">
        <f t="shared" si="4"/>
        <v>0</v>
      </c>
    </row>
    <row r="224" spans="1:7">
      <c r="A224" s="388"/>
      <c r="B224" s="120"/>
      <c r="C224" s="390"/>
      <c r="D224" s="396"/>
      <c r="E224" s="123">
        <f>IF(TYPE(VLOOKUP(C224,'Sales_DC Price'!K:L,2,0))=16,0,VLOOKUP(C224,'Sales_DC Price'!K:L,2,0)*D224)</f>
        <v>0</v>
      </c>
      <c r="F224" s="116">
        <f>IF(TYPE(VLOOKUP(C224,'Sales_DC Price'!Q:R,2,0))=16,0,VLOOKUP(C224,'Sales_DC Price'!Q:R,2,0))</f>
        <v>0</v>
      </c>
      <c r="G224" s="116">
        <f t="shared" si="4"/>
        <v>0</v>
      </c>
    </row>
    <row r="225" spans="1:7">
      <c r="A225" s="472"/>
      <c r="B225" s="120"/>
      <c r="C225" s="391"/>
      <c r="D225" s="397"/>
      <c r="E225" s="123">
        <f>IF(TYPE(VLOOKUP(C225,'Sales_DC Price'!K:L,2,0))=16,0,VLOOKUP(C225,'Sales_DC Price'!K:L,2,0)*D225)</f>
        <v>0</v>
      </c>
      <c r="F225" s="116">
        <f>IF(TYPE(VLOOKUP(C225,'Sales_DC Price'!Q:R,2,0))=16,0,VLOOKUP(C225,'Sales_DC Price'!Q:R,2,0))</f>
        <v>0</v>
      </c>
      <c r="G225" s="116">
        <f t="shared" si="4"/>
        <v>0</v>
      </c>
    </row>
    <row r="226" spans="1:7">
      <c r="A226" s="473"/>
      <c r="B226" s="120"/>
      <c r="C226" s="390"/>
      <c r="D226" s="396"/>
      <c r="E226" s="123">
        <f>IF(TYPE(VLOOKUP(C226,'Sales_DC Price'!K:L,2,0))=16,0,VLOOKUP(C226,'Sales_DC Price'!K:L,2,0)*D226)</f>
        <v>0</v>
      </c>
      <c r="F226" s="116">
        <f>IF(TYPE(VLOOKUP(C226,'Sales_DC Price'!Q:R,2,0))=16,0,VLOOKUP(C226,'Sales_DC Price'!Q:R,2,0))</f>
        <v>0</v>
      </c>
      <c r="G226" s="116">
        <f t="shared" si="4"/>
        <v>0</v>
      </c>
    </row>
    <row r="227" spans="1:7">
      <c r="A227" s="472"/>
      <c r="B227" s="120"/>
      <c r="C227" s="391"/>
      <c r="D227" s="397"/>
      <c r="E227" s="123">
        <f>IF(TYPE(VLOOKUP(C227,'Sales_DC Price'!K:L,2,0))=16,0,VLOOKUP(C227,'Sales_DC Price'!K:L,2,0)*D227)</f>
        <v>0</v>
      </c>
      <c r="F227" s="116">
        <f>IF(TYPE(VLOOKUP(C227,'Sales_DC Price'!Q:R,2,0))=16,0,VLOOKUP(C227,'Sales_DC Price'!Q:R,2,0))</f>
        <v>0</v>
      </c>
      <c r="G227" s="116">
        <f t="shared" si="4"/>
        <v>0</v>
      </c>
    </row>
    <row r="228" spans="1:7">
      <c r="A228" s="473"/>
      <c r="B228" s="120"/>
      <c r="C228" s="390"/>
      <c r="D228" s="396"/>
      <c r="E228" s="123">
        <f>IF(TYPE(VLOOKUP(C228,'Sales_DC Price'!K:L,2,0))=16,0,VLOOKUP(C228,'Sales_DC Price'!K:L,2,0)*D228)</f>
        <v>0</v>
      </c>
      <c r="F228" s="116">
        <f>IF(TYPE(VLOOKUP(C228,'Sales_DC Price'!Q:R,2,0))=16,0,VLOOKUP(C228,'Sales_DC Price'!Q:R,2,0))</f>
        <v>0</v>
      </c>
      <c r="G228" s="116">
        <f t="shared" si="4"/>
        <v>0</v>
      </c>
    </row>
    <row r="229" spans="1:7">
      <c r="A229" s="472"/>
      <c r="B229" s="120"/>
      <c r="C229" s="391"/>
      <c r="D229" s="397"/>
      <c r="E229" s="123">
        <f>IF(TYPE(VLOOKUP(C229,'Sales_DC Price'!K:L,2,0))=16,0,VLOOKUP(C229,'Sales_DC Price'!K:L,2,0)*D229)</f>
        <v>0</v>
      </c>
      <c r="F229" s="116">
        <f>IF(TYPE(VLOOKUP(C229,'Sales_DC Price'!Q:R,2,0))=16,0,VLOOKUP(C229,'Sales_DC Price'!Q:R,2,0))</f>
        <v>0</v>
      </c>
      <c r="G229" s="116">
        <f t="shared" si="4"/>
        <v>0</v>
      </c>
    </row>
    <row r="230" spans="1:7">
      <c r="A230" s="473"/>
      <c r="B230" s="120"/>
      <c r="C230" s="390"/>
      <c r="D230" s="396"/>
      <c r="E230" s="123">
        <f>IF(TYPE(VLOOKUP(C230,'Sales_DC Price'!K:L,2,0))=16,0,VLOOKUP(C230,'Sales_DC Price'!K:L,2,0)*D230)</f>
        <v>0</v>
      </c>
      <c r="F230" s="116">
        <f>IF(TYPE(VLOOKUP(C230,'Sales_DC Price'!Q:R,2,0))=16,0,VLOOKUP(C230,'Sales_DC Price'!Q:R,2,0))</f>
        <v>0</v>
      </c>
      <c r="G230" s="116">
        <f t="shared" si="4"/>
        <v>0</v>
      </c>
    </row>
    <row r="231" spans="1:7">
      <c r="A231" s="472"/>
      <c r="B231" s="120"/>
      <c r="C231" s="391"/>
      <c r="D231" s="397"/>
      <c r="E231" s="123">
        <f>IF(TYPE(VLOOKUP(C231,'Sales_DC Price'!K:L,2,0))=16,0,VLOOKUP(C231,'Sales_DC Price'!K:L,2,0)*D231)</f>
        <v>0</v>
      </c>
      <c r="F231" s="116">
        <f>IF(TYPE(VLOOKUP(C231,'Sales_DC Price'!Q:R,2,0))=16,0,VLOOKUP(C231,'Sales_DC Price'!Q:R,2,0))</f>
        <v>0</v>
      </c>
      <c r="G231" s="116">
        <f t="shared" si="4"/>
        <v>0</v>
      </c>
    </row>
    <row r="232" spans="1:7">
      <c r="A232" s="473"/>
      <c r="B232" s="120"/>
      <c r="C232" s="390"/>
      <c r="D232" s="396"/>
      <c r="E232" s="123">
        <f>IF(TYPE(VLOOKUP(C232,'Sales_DC Price'!K:L,2,0))=16,0,VLOOKUP(C232,'Sales_DC Price'!K:L,2,0)*D232)</f>
        <v>0</v>
      </c>
      <c r="F232" s="116">
        <f>IF(TYPE(VLOOKUP(C232,'Sales_DC Price'!Q:R,2,0))=16,0,VLOOKUP(C232,'Sales_DC Price'!Q:R,2,0))</f>
        <v>0</v>
      </c>
      <c r="G232" s="116">
        <f t="shared" si="4"/>
        <v>0</v>
      </c>
    </row>
    <row r="233" spans="1:7">
      <c r="A233" s="472"/>
      <c r="B233" s="120"/>
      <c r="C233" s="391"/>
      <c r="D233" s="397"/>
      <c r="E233" s="123">
        <f>IF(TYPE(VLOOKUP(C233,'Sales_DC Price'!K:L,2,0))=16,0,VLOOKUP(C233,'Sales_DC Price'!K:L,2,0)*D233)</f>
        <v>0</v>
      </c>
      <c r="F233" s="116">
        <f>IF(TYPE(VLOOKUP(C233,'Sales_DC Price'!Q:R,2,0))=16,0,VLOOKUP(C233,'Sales_DC Price'!Q:R,2,0))</f>
        <v>0</v>
      </c>
      <c r="G233" s="116">
        <f t="shared" si="4"/>
        <v>0</v>
      </c>
    </row>
    <row r="234" spans="1:7">
      <c r="A234" s="473"/>
      <c r="B234" s="120"/>
      <c r="C234" s="390"/>
      <c r="D234" s="396"/>
      <c r="E234" s="123">
        <f>IF(TYPE(VLOOKUP(C234,'Sales_DC Price'!K:L,2,0))=16,0,VLOOKUP(C234,'Sales_DC Price'!K:L,2,0)*D234)</f>
        <v>0</v>
      </c>
      <c r="F234" s="116">
        <f>IF(TYPE(VLOOKUP(C234,'Sales_DC Price'!Q:R,2,0))=16,0,VLOOKUP(C234,'Sales_DC Price'!Q:R,2,0))</f>
        <v>0</v>
      </c>
      <c r="G234" s="116">
        <f t="shared" si="4"/>
        <v>0</v>
      </c>
    </row>
    <row r="235" spans="1:7">
      <c r="A235" s="389"/>
      <c r="B235" s="120"/>
      <c r="C235" s="391"/>
      <c r="D235" s="397"/>
      <c r="E235" s="123">
        <f>IF(TYPE(VLOOKUP(C235,'Sales_DC Price'!K:L,2,0))=16,0,VLOOKUP(C235,'Sales_DC Price'!K:L,2,0)*D235)</f>
        <v>0</v>
      </c>
      <c r="F235" s="116">
        <f>IF(TYPE(VLOOKUP(C235,'Sales_DC Price'!Q:R,2,0))=16,0,VLOOKUP(C235,'Sales_DC Price'!Q:R,2,0))</f>
        <v>0</v>
      </c>
      <c r="G235" s="116">
        <f t="shared" si="4"/>
        <v>0</v>
      </c>
    </row>
    <row r="236" spans="1:7">
      <c r="A236" s="388"/>
      <c r="B236" s="120"/>
      <c r="C236" s="390"/>
      <c r="D236" s="396"/>
      <c r="E236" s="123">
        <f>IF(TYPE(VLOOKUP(C236,'Sales_DC Price'!K:L,2,0))=16,0,VLOOKUP(C236,'Sales_DC Price'!K:L,2,0)*D236)</f>
        <v>0</v>
      </c>
      <c r="F236" s="116">
        <f>IF(TYPE(VLOOKUP(C236,'Sales_DC Price'!Q:R,2,0))=16,0,VLOOKUP(C236,'Sales_DC Price'!Q:R,2,0))</f>
        <v>0</v>
      </c>
      <c r="G236" s="116">
        <f t="shared" si="4"/>
        <v>0</v>
      </c>
    </row>
    <row r="237" spans="1:7">
      <c r="A237" s="389"/>
      <c r="B237" s="120"/>
      <c r="C237" s="391"/>
      <c r="D237" s="397"/>
      <c r="E237" s="123">
        <f>IF(TYPE(VLOOKUP(C237,'Sales_DC Price'!K:L,2,0))=16,0,VLOOKUP(C237,'Sales_DC Price'!K:L,2,0)*D237)</f>
        <v>0</v>
      </c>
      <c r="F237" s="116">
        <f>IF(TYPE(VLOOKUP(C237,'Sales_DC Price'!Q:R,2,0))=16,0,VLOOKUP(C237,'Sales_DC Price'!Q:R,2,0))</f>
        <v>0</v>
      </c>
      <c r="G237" s="116">
        <f t="shared" si="4"/>
        <v>0</v>
      </c>
    </row>
    <row r="238" spans="1:7">
      <c r="A238" s="388"/>
      <c r="B238" s="120"/>
      <c r="C238" s="390"/>
      <c r="D238" s="396"/>
      <c r="E238" s="123">
        <f>IF(TYPE(VLOOKUP(C238,'Sales_DC Price'!K:L,2,0))=16,0,VLOOKUP(C238,'Sales_DC Price'!K:L,2,0)*D238)</f>
        <v>0</v>
      </c>
      <c r="F238" s="116">
        <f>IF(TYPE(VLOOKUP(C238,'Sales_DC Price'!Q:R,2,0))=16,0,VLOOKUP(C238,'Sales_DC Price'!Q:R,2,0))</f>
        <v>0</v>
      </c>
      <c r="G238" s="116">
        <f t="shared" si="4"/>
        <v>0</v>
      </c>
    </row>
    <row r="239" spans="1:7">
      <c r="A239" s="389"/>
      <c r="B239" s="120"/>
      <c r="C239" s="391"/>
      <c r="D239" s="397"/>
      <c r="E239" s="123">
        <f>IF(TYPE(VLOOKUP(C239,'Sales_DC Price'!K:L,2,0))=16,0,VLOOKUP(C239,'Sales_DC Price'!K:L,2,0)*D239)</f>
        <v>0</v>
      </c>
      <c r="F239" s="116">
        <f>IF(TYPE(VLOOKUP(C239,'Sales_DC Price'!Q:R,2,0))=16,0,VLOOKUP(C239,'Sales_DC Price'!Q:R,2,0))</f>
        <v>0</v>
      </c>
      <c r="G239" s="116">
        <f t="shared" ref="G239" si="5">F239*D239</f>
        <v>0</v>
      </c>
    </row>
    <row r="240" spans="1:7">
      <c r="A240" s="388"/>
      <c r="B240" s="120"/>
      <c r="C240" s="390"/>
      <c r="D240" s="396"/>
      <c r="E240" s="123">
        <f>IF(TYPE(VLOOKUP(C240,'Sales_DC Price'!K:L,2,0))=16,0,VLOOKUP(C240,'Sales_DC Price'!K:L,2,0)*D240)</f>
        <v>0</v>
      </c>
      <c r="F240" s="116">
        <f>IF(TYPE(VLOOKUP(C240,'Sales_DC Price'!Q:R,2,0))=16,0,VLOOKUP(C240,'Sales_DC Price'!Q:R,2,0))</f>
        <v>0</v>
      </c>
      <c r="G240" s="116">
        <f t="shared" si="4"/>
        <v>0</v>
      </c>
    </row>
    <row r="241" spans="1:7">
      <c r="A241" s="389"/>
      <c r="B241" s="120"/>
      <c r="C241" s="391"/>
      <c r="D241" s="397"/>
      <c r="E241" s="123">
        <f>IF(TYPE(VLOOKUP(C241,'Sales_DC Price'!K:L,2,0))=16,0,VLOOKUP(C241,'Sales_DC Price'!K:L,2,0)*D241)</f>
        <v>0</v>
      </c>
      <c r="F241" s="116">
        <f>IF(TYPE(VLOOKUP(C241,'Sales_DC Price'!Q:R,2,0))=16,0,VLOOKUP(C241,'Sales_DC Price'!Q:R,2,0))</f>
        <v>0</v>
      </c>
      <c r="G241" s="116">
        <f t="shared" si="4"/>
        <v>0</v>
      </c>
    </row>
    <row r="242" spans="1:7">
      <c r="A242" s="388"/>
      <c r="B242" s="120"/>
      <c r="C242" s="390"/>
      <c r="D242" s="396"/>
      <c r="E242" s="123">
        <f>IF(TYPE(VLOOKUP(C242,'Sales_DC Price'!K:L,2,0))=16,0,VLOOKUP(C242,'Sales_DC Price'!K:L,2,0)*D242)</f>
        <v>0</v>
      </c>
      <c r="F242" s="116">
        <f>IF(TYPE(VLOOKUP(C242,'Sales_DC Price'!Q:R,2,0))=16,0,VLOOKUP(C242,'Sales_DC Price'!Q:R,2,0))</f>
        <v>0</v>
      </c>
      <c r="G242" s="116">
        <f t="shared" si="4"/>
        <v>0</v>
      </c>
    </row>
    <row r="243" spans="1:7">
      <c r="A243" s="389"/>
      <c r="B243" s="120"/>
      <c r="C243" s="391"/>
      <c r="D243" s="121"/>
      <c r="E243" s="123">
        <f>IF(TYPE(VLOOKUP(C243,'Sales_DC Price'!K:L,2,0))=16,0,VLOOKUP(C243,'Sales_DC Price'!K:L,2,0)*D243)</f>
        <v>0</v>
      </c>
      <c r="F243" s="116">
        <f>IF(TYPE(VLOOKUP(C243,'Sales_DC Price'!Q:R,2,0))=16,0,VLOOKUP(C243,'Sales_DC Price'!Q:R,2,0))</f>
        <v>0</v>
      </c>
      <c r="G243" s="116">
        <f t="shared" si="4"/>
        <v>0</v>
      </c>
    </row>
    <row r="244" spans="1:7">
      <c r="A244" s="388"/>
      <c r="B244" s="120"/>
      <c r="C244" s="390"/>
      <c r="D244" s="121"/>
      <c r="E244" s="123">
        <f>IF(TYPE(VLOOKUP(C244,'Sales_DC Price'!K:L,2,0))=16,0,VLOOKUP(C244,'Sales_DC Price'!K:L,2,0)*D244)</f>
        <v>0</v>
      </c>
      <c r="F244" s="116">
        <f>IF(TYPE(VLOOKUP(C244,'Sales_DC Price'!Q:R,2,0))=16,0,VLOOKUP(C244,'Sales_DC Price'!Q:R,2,0))</f>
        <v>0</v>
      </c>
      <c r="G244" s="116">
        <f t="shared" si="4"/>
        <v>0</v>
      </c>
    </row>
    <row r="245" spans="1:7">
      <c r="A245" s="389"/>
      <c r="B245" s="120"/>
      <c r="C245" s="391"/>
      <c r="D245" s="121"/>
      <c r="E245" s="123">
        <f>IF(TYPE(VLOOKUP(C245,'Sales_DC Price'!K:L,2,0))=16,0,VLOOKUP(C245,'Sales_DC Price'!K:L,2,0)*D245)</f>
        <v>0</v>
      </c>
      <c r="F245" s="116">
        <f>IF(TYPE(VLOOKUP(C245,'Sales_DC Price'!Q:R,2,0))=16,0,VLOOKUP(C245,'Sales_DC Price'!Q:R,2,0))</f>
        <v>0</v>
      </c>
      <c r="G245" s="116">
        <f t="shared" si="4"/>
        <v>0</v>
      </c>
    </row>
    <row r="246" spans="1:7">
      <c r="A246" s="388"/>
      <c r="B246" s="120"/>
      <c r="C246" s="390"/>
      <c r="D246" s="121"/>
      <c r="E246" s="123">
        <f>IF(TYPE(VLOOKUP(C246,'Sales_DC Price'!K:L,2,0))=16,0,VLOOKUP(C246,'Sales_DC Price'!K:L,2,0)*D246)</f>
        <v>0</v>
      </c>
      <c r="F246" s="116">
        <f>IF(TYPE(VLOOKUP(C246,'Sales_DC Price'!Q:R,2,0))=16,0,VLOOKUP(C246,'Sales_DC Price'!Q:R,2,0))</f>
        <v>0</v>
      </c>
      <c r="G246" s="116">
        <f t="shared" si="4"/>
        <v>0</v>
      </c>
    </row>
    <row r="247" spans="1:7">
      <c r="A247" s="389"/>
      <c r="B247" s="120"/>
      <c r="C247" s="391"/>
      <c r="D247" s="121"/>
      <c r="E247" s="123">
        <f>IF(TYPE(VLOOKUP(C247,'Sales_DC Price'!K:L,2,0))=16,0,VLOOKUP(C247,'Sales_DC Price'!K:L,2,0)*D247)</f>
        <v>0</v>
      </c>
      <c r="F247" s="116">
        <f>IF(TYPE(VLOOKUP(C247,'Sales_DC Price'!Q:R,2,0))=16,0,VLOOKUP(C247,'Sales_DC Price'!Q:R,2,0))</f>
        <v>0</v>
      </c>
      <c r="G247" s="116">
        <f t="shared" si="4"/>
        <v>0</v>
      </c>
    </row>
    <row r="248" spans="1:7">
      <c r="A248" s="388"/>
      <c r="B248" s="120"/>
      <c r="C248" s="390"/>
      <c r="D248" s="121"/>
      <c r="E248" s="123">
        <f>IF(TYPE(VLOOKUP(C248,'Sales_DC Price'!K:L,2,0))=16,0,VLOOKUP(C248,'Sales_DC Price'!K:L,2,0)*D248)</f>
        <v>0</v>
      </c>
      <c r="F248" s="116">
        <f>IF(TYPE(VLOOKUP(C248,'Sales_DC Price'!Q:R,2,0))=16,0,VLOOKUP(C248,'Sales_DC Price'!Q:R,2,0))</f>
        <v>0</v>
      </c>
      <c r="G248" s="116">
        <f t="shared" si="4"/>
        <v>0</v>
      </c>
    </row>
    <row r="249" spans="1:7">
      <c r="A249" s="389"/>
      <c r="B249" s="120"/>
      <c r="C249" s="391"/>
      <c r="D249" s="121"/>
      <c r="E249" s="123">
        <f>IF(TYPE(VLOOKUP(C249,'Sales_DC Price'!K:L,2,0))=16,0,VLOOKUP(C249,'Sales_DC Price'!K:L,2,0)*D249)</f>
        <v>0</v>
      </c>
      <c r="F249" s="116">
        <f>IF(TYPE(VLOOKUP(C249,'Sales_DC Price'!Q:R,2,0))=16,0,VLOOKUP(C249,'Sales_DC Price'!Q:R,2,0))</f>
        <v>0</v>
      </c>
      <c r="G249" s="116">
        <f t="shared" si="4"/>
        <v>0</v>
      </c>
    </row>
    <row r="250" spans="1:7">
      <c r="A250" s="388"/>
      <c r="B250" s="120"/>
      <c r="C250" s="390"/>
      <c r="D250" s="121"/>
      <c r="E250" s="123">
        <f>IF(TYPE(VLOOKUP(C250,'Sales_DC Price'!K:L,2,0))=16,0,VLOOKUP(C250,'Sales_DC Price'!K:L,2,0)*D250)</f>
        <v>0</v>
      </c>
      <c r="F250" s="116">
        <f>IF(TYPE(VLOOKUP(C250,'Sales_DC Price'!Q:R,2,0))=16,0,VLOOKUP(C250,'Sales_DC Price'!Q:R,2,0))</f>
        <v>0</v>
      </c>
      <c r="G250" s="116">
        <f t="shared" si="4"/>
        <v>0</v>
      </c>
    </row>
    <row r="251" spans="1:7">
      <c r="A251" s="389"/>
      <c r="B251" s="120"/>
      <c r="C251" s="391"/>
      <c r="D251" s="121"/>
      <c r="E251" s="123">
        <f>IF(TYPE(VLOOKUP(C251,'Sales_DC Price'!K:L,2,0))=16,0,VLOOKUP(C251,'Sales_DC Price'!K:L,2,0)*D251)</f>
        <v>0</v>
      </c>
      <c r="F251" s="116">
        <f>IF(TYPE(VLOOKUP(C251,'Sales_DC Price'!Q:R,2,0))=16,0,VLOOKUP(C251,'Sales_DC Price'!Q:R,2,0))</f>
        <v>0</v>
      </c>
      <c r="G251" s="116">
        <f t="shared" si="4"/>
        <v>0</v>
      </c>
    </row>
    <row r="252" spans="1:7">
      <c r="A252" s="388"/>
      <c r="B252" s="120"/>
      <c r="C252" s="390"/>
      <c r="D252" s="121"/>
      <c r="E252" s="123">
        <f>IF(TYPE(VLOOKUP(C252,'Sales_DC Price'!K:L,2,0))=16,0,VLOOKUP(C252,'Sales_DC Price'!K:L,2,0)*D252)</f>
        <v>0</v>
      </c>
      <c r="F252" s="116">
        <f>IF(TYPE(VLOOKUP(C252,'Sales_DC Price'!Q:R,2,0))=16,0,VLOOKUP(C252,'Sales_DC Price'!Q:R,2,0))</f>
        <v>0</v>
      </c>
      <c r="G252" s="116">
        <f t="shared" si="4"/>
        <v>0</v>
      </c>
    </row>
    <row r="253" spans="1:7">
      <c r="A253" s="389"/>
      <c r="B253" s="120"/>
      <c r="C253" s="391"/>
      <c r="D253" s="121"/>
      <c r="E253" s="123">
        <f>IF(TYPE(VLOOKUP(C253,'Sales_DC Price'!K:L,2,0))=16,0,VLOOKUP(C253,'Sales_DC Price'!K:L,2,0)*D253)</f>
        <v>0</v>
      </c>
      <c r="F253" s="116">
        <f>IF(TYPE(VLOOKUP(C253,'Sales_DC Price'!Q:R,2,0))=16,0,VLOOKUP(C253,'Sales_DC Price'!Q:R,2,0))</f>
        <v>0</v>
      </c>
      <c r="G253" s="116">
        <f t="shared" si="4"/>
        <v>0</v>
      </c>
    </row>
    <row r="254" spans="1:7">
      <c r="A254" s="388"/>
      <c r="B254" s="120"/>
      <c r="C254" s="390"/>
      <c r="D254" s="121"/>
      <c r="E254" s="123">
        <f>IF(TYPE(VLOOKUP(C254,'Sales_DC Price'!K:L,2,0))=16,0,VLOOKUP(C254,'Sales_DC Price'!K:L,2,0)*D254)</f>
        <v>0</v>
      </c>
      <c r="F254" s="116">
        <f>IF(TYPE(VLOOKUP(C254,'Sales_DC Price'!Q:R,2,0))=16,0,VLOOKUP(C254,'Sales_DC Price'!Q:R,2,0))</f>
        <v>0</v>
      </c>
      <c r="G254" s="116">
        <f t="shared" si="4"/>
        <v>0</v>
      </c>
    </row>
    <row r="255" spans="1:7">
      <c r="A255" s="388"/>
      <c r="B255" s="120"/>
      <c r="C255" s="390"/>
      <c r="D255" s="121"/>
      <c r="E255" s="123">
        <f>IF(TYPE(VLOOKUP(C255,'Sales_DC Price'!K:L,2,0))=16,0,VLOOKUP(C255,'Sales_DC Price'!K:L,2,0)*D255)</f>
        <v>0</v>
      </c>
      <c r="F255" s="116">
        <f>IF(TYPE(VLOOKUP(C255,'Sales_DC Price'!Q:R,2,0))=16,0,VLOOKUP(C255,'Sales_DC Price'!Q:R,2,0))</f>
        <v>0</v>
      </c>
      <c r="G255" s="116">
        <f t="shared" si="4"/>
        <v>0</v>
      </c>
    </row>
    <row r="256" spans="1:7">
      <c r="A256" s="389"/>
      <c r="B256" s="120"/>
      <c r="C256" s="391"/>
      <c r="D256" s="121"/>
      <c r="E256" s="123">
        <f>IF(TYPE(VLOOKUP(C256,'Sales_DC Price'!K:L,2,0))=16,0,VLOOKUP(C256,'Sales_DC Price'!K:L,2,0)*D256)</f>
        <v>0</v>
      </c>
      <c r="F256" s="116">
        <f>IF(TYPE(VLOOKUP(C256,'Sales_DC Price'!Q:R,2,0))=16,0,VLOOKUP(C256,'Sales_DC Price'!Q:R,2,0))</f>
        <v>0</v>
      </c>
      <c r="G256" s="116">
        <f t="shared" si="4"/>
        <v>0</v>
      </c>
    </row>
    <row r="257" spans="1:7">
      <c r="A257" s="388"/>
      <c r="B257" s="120"/>
      <c r="C257" s="390"/>
      <c r="D257" s="121"/>
      <c r="E257" s="123">
        <f>IF(TYPE(VLOOKUP(C257,'Sales_DC Price'!K:L,2,0))=16,0,VLOOKUP(C257,'Sales_DC Price'!K:L,2,0)*D257)</f>
        <v>0</v>
      </c>
      <c r="F257" s="116">
        <f>IF(TYPE(VLOOKUP(C257,'Sales_DC Price'!Q:R,2,0))=16,0,VLOOKUP(C257,'Sales_DC Price'!Q:R,2,0))</f>
        <v>0</v>
      </c>
      <c r="G257" s="116">
        <f t="shared" si="4"/>
        <v>0</v>
      </c>
    </row>
    <row r="258" spans="1:7">
      <c r="A258" s="389"/>
      <c r="B258" s="120"/>
      <c r="C258" s="391"/>
      <c r="D258" s="121"/>
      <c r="E258" s="123">
        <f>IF(TYPE(VLOOKUP(C258,'Sales_DC Price'!K:L,2,0))=16,0,VLOOKUP(C258,'Sales_DC Price'!K:L,2,0)*D258)</f>
        <v>0</v>
      </c>
      <c r="F258" s="116">
        <f>IF(TYPE(VLOOKUP(C258,'Sales_DC Price'!Q:R,2,0))=16,0,VLOOKUP(C258,'Sales_DC Price'!Q:R,2,0))</f>
        <v>0</v>
      </c>
      <c r="G258" s="116">
        <f t="shared" ref="G258:G321" si="6">F258*D258</f>
        <v>0</v>
      </c>
    </row>
    <row r="259" spans="1:7">
      <c r="A259" s="388"/>
      <c r="B259" s="120"/>
      <c r="C259" s="390"/>
      <c r="D259" s="121"/>
      <c r="E259" s="123">
        <f>IF(TYPE(VLOOKUP(C259,'Sales_DC Price'!K:L,2,0))=16,0,VLOOKUP(C259,'Sales_DC Price'!K:L,2,0)*D259)</f>
        <v>0</v>
      </c>
      <c r="F259" s="116">
        <f>IF(TYPE(VLOOKUP(C259,'Sales_DC Price'!Q:R,2,0))=16,0,VLOOKUP(C259,'Sales_DC Price'!Q:R,2,0))</f>
        <v>0</v>
      </c>
      <c r="G259" s="116">
        <f t="shared" si="6"/>
        <v>0</v>
      </c>
    </row>
    <row r="260" spans="1:7">
      <c r="A260" s="389"/>
      <c r="B260" s="120"/>
      <c r="C260" s="391"/>
      <c r="D260" s="121"/>
      <c r="E260" s="123">
        <f>IF(TYPE(VLOOKUP(C260,'Sales_DC Price'!K:L,2,0))=16,0,VLOOKUP(C260,'Sales_DC Price'!K:L,2,0)*D260)</f>
        <v>0</v>
      </c>
      <c r="F260" s="116">
        <f>IF(TYPE(VLOOKUP(C260,'Sales_DC Price'!Q:R,2,0))=16,0,VLOOKUP(C260,'Sales_DC Price'!Q:R,2,0))</f>
        <v>0</v>
      </c>
      <c r="G260" s="116">
        <f t="shared" si="6"/>
        <v>0</v>
      </c>
    </row>
    <row r="261" spans="1:7">
      <c r="A261" s="389"/>
      <c r="B261" s="120"/>
      <c r="C261" s="391"/>
      <c r="D261" s="121"/>
      <c r="E261" s="123">
        <f>IF(TYPE(VLOOKUP(C261,'Sales_DC Price'!K:L,2,0))=16,0,VLOOKUP(C261,'Sales_DC Price'!K:L,2,0)*D261)</f>
        <v>0</v>
      </c>
      <c r="F261" s="116">
        <f>IF(TYPE(VLOOKUP(C261,'Sales_DC Price'!Q:R,2,0))=16,0,VLOOKUP(C261,'Sales_DC Price'!Q:R,2,0))</f>
        <v>0</v>
      </c>
      <c r="G261" s="116">
        <f t="shared" si="6"/>
        <v>0</v>
      </c>
    </row>
    <row r="262" spans="1:7">
      <c r="A262" s="389"/>
      <c r="B262" s="120"/>
      <c r="C262" s="391"/>
      <c r="D262" s="121"/>
      <c r="E262" s="123">
        <f>IF(TYPE(VLOOKUP(C262,'Sales_DC Price'!K:L,2,0))=16,0,VLOOKUP(C262,'Sales_DC Price'!K:L,2,0)*D262)</f>
        <v>0</v>
      </c>
      <c r="F262" s="116">
        <f>IF(TYPE(VLOOKUP(C262,'Sales_DC Price'!Q:R,2,0))=16,0,VLOOKUP(C262,'Sales_DC Price'!Q:R,2,0))</f>
        <v>0</v>
      </c>
      <c r="G262" s="116">
        <f t="shared" si="6"/>
        <v>0</v>
      </c>
    </row>
    <row r="263" spans="1:7">
      <c r="A263" s="389"/>
      <c r="B263" s="120"/>
      <c r="C263" s="391"/>
      <c r="D263" s="121"/>
      <c r="E263" s="123">
        <f>IF(TYPE(VLOOKUP(C263,'Sales_DC Price'!K:L,2,0))=16,0,VLOOKUP(C263,'Sales_DC Price'!K:L,2,0)*D263)</f>
        <v>0</v>
      </c>
      <c r="F263" s="116">
        <f>IF(TYPE(VLOOKUP(C263,'Sales_DC Price'!Q:R,2,0))=16,0,VLOOKUP(C263,'Sales_DC Price'!Q:R,2,0))</f>
        <v>0</v>
      </c>
      <c r="G263" s="116">
        <f t="shared" si="6"/>
        <v>0</v>
      </c>
    </row>
    <row r="264" spans="1:7">
      <c r="A264" s="389"/>
      <c r="B264" s="120"/>
      <c r="C264" s="391"/>
      <c r="D264" s="121"/>
      <c r="E264" s="123">
        <f>IF(TYPE(VLOOKUP(C264,'Sales_DC Price'!K:L,2,0))=16,0,VLOOKUP(C264,'Sales_DC Price'!K:L,2,0)*D264)</f>
        <v>0</v>
      </c>
      <c r="F264" s="116">
        <f>IF(TYPE(VLOOKUP(C264,'Sales_DC Price'!Q:R,2,0))=16,0,VLOOKUP(C264,'Sales_DC Price'!Q:R,2,0))</f>
        <v>0</v>
      </c>
      <c r="G264" s="116">
        <f t="shared" si="6"/>
        <v>0</v>
      </c>
    </row>
    <row r="265" spans="1:7">
      <c r="A265" s="389"/>
      <c r="B265" s="120"/>
      <c r="C265" s="391"/>
      <c r="D265" s="121"/>
      <c r="E265" s="123">
        <f>IF(TYPE(VLOOKUP(C265,'Sales_DC Price'!K:L,2,0))=16,0,VLOOKUP(C265,'Sales_DC Price'!K:L,2,0)*D265)</f>
        <v>0</v>
      </c>
      <c r="F265" s="116">
        <f>IF(TYPE(VLOOKUP(C265,'Sales_DC Price'!Q:R,2,0))=16,0,VLOOKUP(C265,'Sales_DC Price'!Q:R,2,0))</f>
        <v>0</v>
      </c>
      <c r="G265" s="116">
        <f t="shared" si="6"/>
        <v>0</v>
      </c>
    </row>
    <row r="266" spans="1:7">
      <c r="A266" s="389"/>
      <c r="B266" s="120"/>
      <c r="C266" s="391"/>
      <c r="D266" s="121"/>
      <c r="E266" s="123">
        <f>IF(TYPE(VLOOKUP(C266,'Sales_DC Price'!K:L,2,0))=16,0,VLOOKUP(C266,'Sales_DC Price'!K:L,2,0)*D266)</f>
        <v>0</v>
      </c>
      <c r="F266" s="116">
        <f>IF(TYPE(VLOOKUP(C266,'Sales_DC Price'!Q:R,2,0))=16,0,VLOOKUP(C266,'Sales_DC Price'!Q:R,2,0))</f>
        <v>0</v>
      </c>
      <c r="G266" s="116">
        <f t="shared" si="6"/>
        <v>0</v>
      </c>
    </row>
    <row r="267" spans="1:7">
      <c r="A267" s="389"/>
      <c r="B267" s="120"/>
      <c r="C267" s="391"/>
      <c r="D267" s="121"/>
      <c r="E267" s="123">
        <f>IF(TYPE(VLOOKUP(C267,'Sales_DC Price'!K:L,2,0))=16,0,VLOOKUP(C267,'Sales_DC Price'!K:L,2,0)*D267)</f>
        <v>0</v>
      </c>
      <c r="F267" s="116">
        <f>IF(TYPE(VLOOKUP(C267,'Sales_DC Price'!Q:R,2,0))=16,0,VLOOKUP(C267,'Sales_DC Price'!Q:R,2,0))</f>
        <v>0</v>
      </c>
      <c r="G267" s="116">
        <f t="shared" si="6"/>
        <v>0</v>
      </c>
    </row>
    <row r="268" spans="1:7">
      <c r="A268" s="389"/>
      <c r="B268" s="120"/>
      <c r="C268" s="391"/>
      <c r="D268" s="121"/>
      <c r="E268" s="123">
        <f>IF(TYPE(VLOOKUP(C268,'Sales_DC Price'!K:L,2,0))=16,0,VLOOKUP(C268,'Sales_DC Price'!K:L,2,0)*D268)</f>
        <v>0</v>
      </c>
      <c r="F268" s="116">
        <f>IF(TYPE(VLOOKUP(C268,'Sales_DC Price'!Q:R,2,0))=16,0,VLOOKUP(C268,'Sales_DC Price'!Q:R,2,0))</f>
        <v>0</v>
      </c>
      <c r="G268" s="116">
        <f t="shared" si="6"/>
        <v>0</v>
      </c>
    </row>
    <row r="269" spans="1:7">
      <c r="A269" s="389"/>
      <c r="B269" s="120"/>
      <c r="C269" s="391"/>
      <c r="D269" s="121"/>
      <c r="E269" s="123">
        <f>IF(TYPE(VLOOKUP(C269,'Sales_DC Price'!K:L,2,0))=16,0,VLOOKUP(C269,'Sales_DC Price'!K:L,2,0)*D269)</f>
        <v>0</v>
      </c>
      <c r="F269" s="116">
        <f>IF(TYPE(VLOOKUP(C269,'Sales_DC Price'!Q:R,2,0))=16,0,VLOOKUP(C269,'Sales_DC Price'!Q:R,2,0))</f>
        <v>0</v>
      </c>
      <c r="G269" s="116">
        <f t="shared" si="6"/>
        <v>0</v>
      </c>
    </row>
    <row r="270" spans="1:7">
      <c r="A270" s="389"/>
      <c r="B270" s="120"/>
      <c r="C270" s="391"/>
      <c r="D270" s="121"/>
      <c r="E270" s="123">
        <f>IF(TYPE(VLOOKUP(C270,'Sales_DC Price'!K:L,2,0))=16,0,VLOOKUP(C270,'Sales_DC Price'!K:L,2,0)*D270)</f>
        <v>0</v>
      </c>
      <c r="F270" s="116">
        <f>IF(TYPE(VLOOKUP(C270,'Sales_DC Price'!Q:R,2,0))=16,0,VLOOKUP(C270,'Sales_DC Price'!Q:R,2,0))</f>
        <v>0</v>
      </c>
      <c r="G270" s="116">
        <f t="shared" si="6"/>
        <v>0</v>
      </c>
    </row>
    <row r="271" spans="1:7">
      <c r="A271" s="389"/>
      <c r="B271" s="120"/>
      <c r="C271" s="391"/>
      <c r="D271" s="121"/>
      <c r="E271" s="123">
        <f>IF(TYPE(VLOOKUP(C271,'Sales_DC Price'!K:L,2,0))=16,0,VLOOKUP(C271,'Sales_DC Price'!K:L,2,0)*D271)</f>
        <v>0</v>
      </c>
      <c r="F271" s="116">
        <f>IF(TYPE(VLOOKUP(C271,'Sales_DC Price'!Q:R,2,0))=16,0,VLOOKUP(C271,'Sales_DC Price'!Q:R,2,0))</f>
        <v>0</v>
      </c>
      <c r="G271" s="116">
        <f t="shared" si="6"/>
        <v>0</v>
      </c>
    </row>
    <row r="272" spans="1:7">
      <c r="A272" s="389"/>
      <c r="B272" s="120"/>
      <c r="C272" s="391"/>
      <c r="D272" s="121"/>
      <c r="E272" s="123">
        <f>IF(TYPE(VLOOKUP(C272,'Sales_DC Price'!K:L,2,0))=16,0,VLOOKUP(C272,'Sales_DC Price'!K:L,2,0)*D272)</f>
        <v>0</v>
      </c>
      <c r="F272" s="116">
        <f>IF(TYPE(VLOOKUP(C272,'Sales_DC Price'!Q:R,2,0))=16,0,VLOOKUP(C272,'Sales_DC Price'!Q:R,2,0))</f>
        <v>0</v>
      </c>
      <c r="G272" s="116">
        <f t="shared" si="6"/>
        <v>0</v>
      </c>
    </row>
    <row r="273" spans="1:7">
      <c r="A273" s="119"/>
      <c r="B273" s="120"/>
      <c r="C273" s="120"/>
      <c r="D273" s="121"/>
      <c r="E273" s="123">
        <f>IF(TYPE(VLOOKUP(C273,'Sales_DC Price'!K:L,2,0))=16,0,VLOOKUP(C273,'Sales_DC Price'!K:L,2,0)*D273)</f>
        <v>0</v>
      </c>
      <c r="F273" s="116">
        <f>IF(TYPE(VLOOKUP(C273,'Sales_DC Price'!Q:R,2,0))=16,0,VLOOKUP(C273,'Sales_DC Price'!Q:R,2,0))</f>
        <v>0</v>
      </c>
      <c r="G273" s="116">
        <f t="shared" si="6"/>
        <v>0</v>
      </c>
    </row>
    <row r="274" spans="1:7">
      <c r="A274" s="119"/>
      <c r="B274" s="120"/>
      <c r="C274" s="120"/>
      <c r="D274" s="121"/>
      <c r="E274" s="123">
        <f>IF(TYPE(VLOOKUP(C274,'Sales_DC Price'!K:L,2,0))=16,0,VLOOKUP(C274,'Sales_DC Price'!K:L,2,0)*D274)</f>
        <v>0</v>
      </c>
      <c r="F274" s="116">
        <f>IF(TYPE(VLOOKUP(C274,'Sales_DC Price'!Q:R,2,0))=16,0,VLOOKUP(C274,'Sales_DC Price'!Q:R,2,0))</f>
        <v>0</v>
      </c>
      <c r="G274" s="116">
        <f t="shared" si="6"/>
        <v>0</v>
      </c>
    </row>
    <row r="275" spans="1:7">
      <c r="A275" s="119"/>
      <c r="B275" s="120"/>
      <c r="C275" s="120"/>
      <c r="D275" s="121"/>
      <c r="E275" s="123">
        <f>IF(TYPE(VLOOKUP(C275,'Sales_DC Price'!K:L,2,0))=16,0,VLOOKUP(C275,'Sales_DC Price'!K:L,2,0)*D275)</f>
        <v>0</v>
      </c>
      <c r="F275" s="116">
        <f>IF(TYPE(VLOOKUP(C275,'Sales_DC Price'!Q:R,2,0))=16,0,VLOOKUP(C275,'Sales_DC Price'!Q:R,2,0))</f>
        <v>0</v>
      </c>
      <c r="G275" s="116">
        <f t="shared" si="6"/>
        <v>0</v>
      </c>
    </row>
    <row r="276" spans="1:7">
      <c r="A276" s="119"/>
      <c r="B276" s="120"/>
      <c r="C276" s="120"/>
      <c r="D276" s="121"/>
      <c r="E276" s="123">
        <f>IF(TYPE(VLOOKUP(C276,'Sales_DC Price'!K:L,2,0))=16,0,VLOOKUP(C276,'Sales_DC Price'!K:L,2,0)*D276)</f>
        <v>0</v>
      </c>
      <c r="F276" s="116">
        <f>IF(TYPE(VLOOKUP(C276,'Sales_DC Price'!Q:R,2,0))=16,0,VLOOKUP(C276,'Sales_DC Price'!Q:R,2,0))</f>
        <v>0</v>
      </c>
      <c r="G276" s="116">
        <f t="shared" si="6"/>
        <v>0</v>
      </c>
    </row>
    <row r="277" spans="1:7">
      <c r="A277" s="119"/>
      <c r="B277" s="120"/>
      <c r="C277" s="120"/>
      <c r="D277" s="121"/>
      <c r="E277" s="123">
        <f>IF(TYPE(VLOOKUP(C277,'Sales_DC Price'!K:L,2,0))=16,0,VLOOKUP(C277,'Sales_DC Price'!K:L,2,0)*D277)</f>
        <v>0</v>
      </c>
      <c r="F277" s="116">
        <f>IF(TYPE(VLOOKUP(C277,'Sales_DC Price'!Q:R,2,0))=16,0,VLOOKUP(C277,'Sales_DC Price'!Q:R,2,0))</f>
        <v>0</v>
      </c>
      <c r="G277" s="116">
        <f t="shared" si="6"/>
        <v>0</v>
      </c>
    </row>
    <row r="278" spans="1:7">
      <c r="A278" s="119"/>
      <c r="B278" s="120"/>
      <c r="C278" s="120"/>
      <c r="D278" s="121"/>
      <c r="E278" s="123">
        <f>IF(TYPE(VLOOKUP(C278,'Sales_DC Price'!K:L,2,0))=16,0,VLOOKUP(C278,'Sales_DC Price'!K:L,2,0)*D278)</f>
        <v>0</v>
      </c>
      <c r="F278" s="116">
        <f>IF(TYPE(VLOOKUP(C278,'Sales_DC Price'!Q:R,2,0))=16,0,VLOOKUP(C278,'Sales_DC Price'!Q:R,2,0))</f>
        <v>0</v>
      </c>
      <c r="G278" s="116">
        <f t="shared" si="6"/>
        <v>0</v>
      </c>
    </row>
    <row r="279" spans="1:7">
      <c r="A279" s="119"/>
      <c r="B279" s="120"/>
      <c r="C279" s="120"/>
      <c r="D279" s="121"/>
      <c r="E279" s="123">
        <f>IF(TYPE(VLOOKUP(C279,'Sales_DC Price'!K:L,2,0))=16,0,VLOOKUP(C279,'Sales_DC Price'!K:L,2,0)*D279)</f>
        <v>0</v>
      </c>
      <c r="F279" s="116">
        <f>IF(TYPE(VLOOKUP(C279,'Sales_DC Price'!Q:R,2,0))=16,0,VLOOKUP(C279,'Sales_DC Price'!Q:R,2,0))</f>
        <v>0</v>
      </c>
      <c r="G279" s="116">
        <f t="shared" si="6"/>
        <v>0</v>
      </c>
    </row>
    <row r="280" spans="1:7">
      <c r="A280" s="119"/>
      <c r="B280" s="120"/>
      <c r="C280" s="120"/>
      <c r="D280" s="121"/>
      <c r="E280" s="123">
        <f>IF(TYPE(VLOOKUP(C280,'Sales_DC Price'!K:L,2,0))=16,0,VLOOKUP(C280,'Sales_DC Price'!K:L,2,0)*D280)</f>
        <v>0</v>
      </c>
      <c r="F280" s="116">
        <f>IF(TYPE(VLOOKUP(C280,'Sales_DC Price'!Q:R,2,0))=16,0,VLOOKUP(C280,'Sales_DC Price'!Q:R,2,0))</f>
        <v>0</v>
      </c>
      <c r="G280" s="116">
        <f t="shared" si="6"/>
        <v>0</v>
      </c>
    </row>
    <row r="281" spans="1:7">
      <c r="A281" s="119"/>
      <c r="B281" s="120"/>
      <c r="C281" s="120"/>
      <c r="D281" s="121"/>
      <c r="E281" s="123">
        <f>IF(TYPE(VLOOKUP(C281,'Sales_DC Price'!K:L,2,0))=16,0,VLOOKUP(C281,'Sales_DC Price'!K:L,2,0)*D281)</f>
        <v>0</v>
      </c>
      <c r="F281" s="116">
        <f>IF(TYPE(VLOOKUP(C281,'Sales_DC Price'!Q:R,2,0))=16,0,VLOOKUP(C281,'Sales_DC Price'!Q:R,2,0))</f>
        <v>0</v>
      </c>
      <c r="G281" s="116">
        <f t="shared" si="6"/>
        <v>0</v>
      </c>
    </row>
    <row r="282" spans="1:7">
      <c r="A282" s="119"/>
      <c r="B282" s="120"/>
      <c r="C282" s="120"/>
      <c r="D282" s="121"/>
      <c r="E282" s="123">
        <f>IF(TYPE(VLOOKUP(C282,'Sales_DC Price'!K:L,2,0))=16,0,VLOOKUP(C282,'Sales_DC Price'!K:L,2,0)*D282)</f>
        <v>0</v>
      </c>
      <c r="F282" s="116">
        <f>IF(TYPE(VLOOKUP(C282,'Sales_DC Price'!Q:R,2,0))=16,0,VLOOKUP(C282,'Sales_DC Price'!Q:R,2,0))</f>
        <v>0</v>
      </c>
      <c r="G282" s="116">
        <f t="shared" si="6"/>
        <v>0</v>
      </c>
    </row>
    <row r="283" spans="1:7">
      <c r="A283" s="119"/>
      <c r="B283" s="120"/>
      <c r="C283" s="120"/>
      <c r="D283" s="121"/>
      <c r="E283" s="123">
        <f>IF(TYPE(VLOOKUP(C283,'Sales_DC Price'!K:L,2,0))=16,0,VLOOKUP(C283,'Sales_DC Price'!K:L,2,0)*D283)</f>
        <v>0</v>
      </c>
      <c r="F283" s="116">
        <f>IF(TYPE(VLOOKUP(C283,'Sales_DC Price'!Q:R,2,0))=16,0,VLOOKUP(C283,'Sales_DC Price'!Q:R,2,0))</f>
        <v>0</v>
      </c>
      <c r="G283" s="116">
        <f t="shared" si="6"/>
        <v>0</v>
      </c>
    </row>
    <row r="284" spans="1:7">
      <c r="A284" s="119"/>
      <c r="B284" s="120"/>
      <c r="C284" s="120"/>
      <c r="D284" s="121"/>
      <c r="E284" s="123">
        <f>IF(TYPE(VLOOKUP(C284,'Sales_DC Price'!K:L,2,0))=16,0,VLOOKUP(C284,'Sales_DC Price'!K:L,2,0)*D284)</f>
        <v>0</v>
      </c>
      <c r="F284" s="116">
        <f>IF(TYPE(VLOOKUP(C284,'Sales_DC Price'!Q:R,2,0))=16,0,VLOOKUP(C284,'Sales_DC Price'!Q:R,2,0))</f>
        <v>0</v>
      </c>
      <c r="G284" s="116">
        <f t="shared" si="6"/>
        <v>0</v>
      </c>
    </row>
    <row r="285" spans="1:7">
      <c r="A285" s="119"/>
      <c r="B285" s="120"/>
      <c r="C285" s="120"/>
      <c r="D285" s="121"/>
      <c r="E285" s="123">
        <f>IF(TYPE(VLOOKUP(C285,'Sales_DC Price'!K:L,2,0))=16,0,VLOOKUP(C285,'Sales_DC Price'!K:L,2,0)*D285)</f>
        <v>0</v>
      </c>
      <c r="F285" s="116">
        <f>IF(TYPE(VLOOKUP(C285,'Sales_DC Price'!Q:R,2,0))=16,0,VLOOKUP(C285,'Sales_DC Price'!Q:R,2,0))</f>
        <v>0</v>
      </c>
      <c r="G285" s="116">
        <f t="shared" si="6"/>
        <v>0</v>
      </c>
    </row>
    <row r="286" spans="1:7">
      <c r="A286" s="119"/>
      <c r="B286" s="120"/>
      <c r="C286" s="120"/>
      <c r="D286" s="121"/>
      <c r="E286" s="123">
        <f>IF(TYPE(VLOOKUP(C286,'Sales_DC Price'!K:L,2,0))=16,0,VLOOKUP(C286,'Sales_DC Price'!K:L,2,0)*D286)</f>
        <v>0</v>
      </c>
      <c r="F286" s="116">
        <f>IF(TYPE(VLOOKUP(C286,'Sales_DC Price'!Q:R,2,0))=16,0,VLOOKUP(C286,'Sales_DC Price'!Q:R,2,0))</f>
        <v>0</v>
      </c>
      <c r="G286" s="116">
        <f t="shared" si="6"/>
        <v>0</v>
      </c>
    </row>
    <row r="287" spans="1:7">
      <c r="A287" s="119"/>
      <c r="B287" s="120"/>
      <c r="C287" s="120"/>
      <c r="D287" s="121"/>
      <c r="E287" s="123">
        <f>IF(TYPE(VLOOKUP(C287,'Sales_DC Price'!K:L,2,0))=16,0,VLOOKUP(C287,'Sales_DC Price'!K:L,2,0)*D287)</f>
        <v>0</v>
      </c>
      <c r="F287" s="116">
        <f>IF(TYPE(VLOOKUP(C287,'Sales_DC Price'!Q:R,2,0))=16,0,VLOOKUP(C287,'Sales_DC Price'!Q:R,2,0))</f>
        <v>0</v>
      </c>
      <c r="G287" s="116">
        <f t="shared" si="6"/>
        <v>0</v>
      </c>
    </row>
    <row r="288" spans="1:7">
      <c r="A288" s="119"/>
      <c r="B288" s="120"/>
      <c r="C288" s="120"/>
      <c r="D288" s="121"/>
      <c r="E288" s="123">
        <f>IF(TYPE(VLOOKUP(C288,'Sales_DC Price'!K:L,2,0))=16,0,VLOOKUP(C288,'Sales_DC Price'!K:L,2,0)*D288)</f>
        <v>0</v>
      </c>
      <c r="F288" s="116">
        <f>IF(TYPE(VLOOKUP(C288,'Sales_DC Price'!Q:R,2,0))=16,0,VLOOKUP(C288,'Sales_DC Price'!Q:R,2,0))</f>
        <v>0</v>
      </c>
      <c r="G288" s="116">
        <f t="shared" si="6"/>
        <v>0</v>
      </c>
    </row>
    <row r="289" spans="1:7">
      <c r="A289" s="119"/>
      <c r="B289" s="120"/>
      <c r="C289" s="120"/>
      <c r="D289" s="121"/>
      <c r="E289" s="123">
        <f>IF(TYPE(VLOOKUP(C289,'Sales_DC Price'!K:L,2,0))=16,0,VLOOKUP(C289,'Sales_DC Price'!K:L,2,0)*D289)</f>
        <v>0</v>
      </c>
      <c r="F289" s="116">
        <f>IF(TYPE(VLOOKUP(C289,'Sales_DC Price'!Q:R,2,0))=16,0,VLOOKUP(C289,'Sales_DC Price'!Q:R,2,0))</f>
        <v>0</v>
      </c>
      <c r="G289" s="116">
        <f t="shared" si="6"/>
        <v>0</v>
      </c>
    </row>
    <row r="290" spans="1:7">
      <c r="A290" s="119"/>
      <c r="B290" s="120"/>
      <c r="C290" s="120"/>
      <c r="D290" s="121"/>
      <c r="E290" s="123">
        <f>IF(TYPE(VLOOKUP(C290,'Sales_DC Price'!K:L,2,0))=16,0,VLOOKUP(C290,'Sales_DC Price'!K:L,2,0)*D290)</f>
        <v>0</v>
      </c>
      <c r="F290" s="116">
        <f>IF(TYPE(VLOOKUP(C290,'Sales_DC Price'!Q:R,2,0))=16,0,VLOOKUP(C290,'Sales_DC Price'!Q:R,2,0))</f>
        <v>0</v>
      </c>
      <c r="G290" s="116">
        <f t="shared" si="6"/>
        <v>0</v>
      </c>
    </row>
    <row r="291" spans="1:7">
      <c r="A291" s="119"/>
      <c r="B291" s="120"/>
      <c r="C291" s="120"/>
      <c r="D291" s="121"/>
      <c r="E291" s="123">
        <f>IF(TYPE(VLOOKUP(C291,'Sales_DC Price'!K:L,2,0))=16,0,VLOOKUP(C291,'Sales_DC Price'!K:L,2,0)*D291)</f>
        <v>0</v>
      </c>
      <c r="F291" s="116">
        <f>IF(TYPE(VLOOKUP(C291,'Sales_DC Price'!Q:R,2,0))=16,0,VLOOKUP(C291,'Sales_DC Price'!Q:R,2,0))</f>
        <v>0</v>
      </c>
      <c r="G291" s="116">
        <f t="shared" si="6"/>
        <v>0</v>
      </c>
    </row>
    <row r="292" spans="1:7">
      <c r="A292" s="119"/>
      <c r="B292" s="120"/>
      <c r="C292" s="120"/>
      <c r="D292" s="121"/>
      <c r="E292" s="123">
        <f>IF(TYPE(VLOOKUP(C292,'Sales_DC Price'!K:L,2,0))=16,0,VLOOKUP(C292,'Sales_DC Price'!K:L,2,0)*D292)</f>
        <v>0</v>
      </c>
      <c r="F292" s="116">
        <f>IF(TYPE(VLOOKUP(C292,'Sales_DC Price'!Q:R,2,0))=16,0,VLOOKUP(C292,'Sales_DC Price'!Q:R,2,0))</f>
        <v>0</v>
      </c>
      <c r="G292" s="116">
        <f t="shared" si="6"/>
        <v>0</v>
      </c>
    </row>
    <row r="293" spans="1:7">
      <c r="A293" s="119"/>
      <c r="B293" s="120"/>
      <c r="C293" s="120"/>
      <c r="D293" s="121"/>
      <c r="E293" s="123">
        <f>IF(TYPE(VLOOKUP(C293,'Sales_DC Price'!K:L,2,0))=16,0,VLOOKUP(C293,'Sales_DC Price'!K:L,2,0)*D293)</f>
        <v>0</v>
      </c>
      <c r="F293" s="116">
        <f>IF(TYPE(VLOOKUP(C293,'Sales_DC Price'!Q:R,2,0))=16,0,VLOOKUP(C293,'Sales_DC Price'!Q:R,2,0))</f>
        <v>0</v>
      </c>
      <c r="G293" s="116">
        <f t="shared" si="6"/>
        <v>0</v>
      </c>
    </row>
    <row r="294" spans="1:7">
      <c r="A294" s="119"/>
      <c r="B294" s="120"/>
      <c r="C294" s="120"/>
      <c r="D294" s="121"/>
      <c r="E294" s="123">
        <f>IF(TYPE(VLOOKUP(C294,'Sales_DC Price'!K:L,2,0))=16,0,VLOOKUP(C294,'Sales_DC Price'!K:L,2,0)*D294)</f>
        <v>0</v>
      </c>
      <c r="F294" s="116">
        <f>IF(TYPE(VLOOKUP(C294,'Sales_DC Price'!Q:R,2,0))=16,0,VLOOKUP(C294,'Sales_DC Price'!Q:R,2,0))</f>
        <v>0</v>
      </c>
      <c r="G294" s="116">
        <f t="shared" si="6"/>
        <v>0</v>
      </c>
    </row>
    <row r="295" spans="1:7">
      <c r="A295" s="119"/>
      <c r="B295" s="120"/>
      <c r="C295" s="120"/>
      <c r="D295" s="121"/>
      <c r="E295" s="123">
        <f>IF(TYPE(VLOOKUP(C295,'Sales_DC Price'!K:L,2,0))=16,0,VLOOKUP(C295,'Sales_DC Price'!K:L,2,0)*D295)</f>
        <v>0</v>
      </c>
      <c r="F295" s="116">
        <f>IF(TYPE(VLOOKUP(C295,'Sales_DC Price'!Q:R,2,0))=16,0,VLOOKUP(C295,'Sales_DC Price'!Q:R,2,0))</f>
        <v>0</v>
      </c>
      <c r="G295" s="116">
        <f t="shared" si="6"/>
        <v>0</v>
      </c>
    </row>
    <row r="296" spans="1:7">
      <c r="A296" s="119"/>
      <c r="B296" s="120"/>
      <c r="C296" s="120"/>
      <c r="D296" s="121"/>
      <c r="E296" s="123">
        <f>IF(TYPE(VLOOKUP(C297,'Sales_DC Price'!K:L,2,0))=16,0,VLOOKUP(C297,'Sales_DC Price'!K:L,2,0)*D297)</f>
        <v>0</v>
      </c>
      <c r="F296" s="116">
        <f>IF(TYPE(VLOOKUP(C296,'Sales_DC Price'!Q:R,2,0))=16,0,VLOOKUP(C296,'Sales_DC Price'!Q:R,2,0))</f>
        <v>0</v>
      </c>
      <c r="G296" s="116">
        <f t="shared" si="6"/>
        <v>0</v>
      </c>
    </row>
    <row r="297" spans="1:7">
      <c r="A297" s="119"/>
      <c r="B297" s="120"/>
      <c r="C297" s="120"/>
      <c r="D297" s="121"/>
      <c r="E297" s="123">
        <f>IF(TYPE(VLOOKUP(C298,'Sales_DC Price'!K:L,2,0))=16,0,VLOOKUP(C298,'Sales_DC Price'!K:L,2,0)*D298)</f>
        <v>0</v>
      </c>
      <c r="F297" s="116">
        <f>IF(TYPE(VLOOKUP(C297,'Sales_DC Price'!Q:R,2,0))=16,0,VLOOKUP(C297,'Sales_DC Price'!Q:R,2,0))</f>
        <v>0</v>
      </c>
      <c r="G297" s="116">
        <f t="shared" si="6"/>
        <v>0</v>
      </c>
    </row>
    <row r="298" spans="1:7">
      <c r="A298" s="119"/>
      <c r="B298" s="120"/>
      <c r="C298" s="120"/>
      <c r="D298" s="121"/>
      <c r="E298" s="123">
        <f>IF(TYPE(VLOOKUP(C299,'Sales_DC Price'!K:L,2,0))=16,0,VLOOKUP(C299,'Sales_DC Price'!K:L,2,0)*D299)</f>
        <v>0</v>
      </c>
      <c r="F298" s="116">
        <f>IF(TYPE(VLOOKUP(C298,'Sales_DC Price'!Q:R,2,0))=16,0,VLOOKUP(C298,'Sales_DC Price'!Q:R,2,0))</f>
        <v>0</v>
      </c>
      <c r="G298" s="116">
        <f t="shared" si="6"/>
        <v>0</v>
      </c>
    </row>
    <row r="299" spans="1:7">
      <c r="A299" s="119"/>
      <c r="B299" s="120"/>
      <c r="C299" s="120"/>
      <c r="D299" s="121"/>
      <c r="E299" s="123">
        <f>IF(TYPE(VLOOKUP(C300,'Sales_DC Price'!K:L,2,0))=16,0,VLOOKUP(C300,'Sales_DC Price'!K:L,2,0)*D300)</f>
        <v>0</v>
      </c>
      <c r="F299" s="116">
        <f>IF(TYPE(VLOOKUP(C299,'Sales_DC Price'!Q:R,2,0))=16,0,VLOOKUP(C299,'Sales_DC Price'!Q:R,2,0))</f>
        <v>0</v>
      </c>
      <c r="G299" s="116">
        <f t="shared" si="6"/>
        <v>0</v>
      </c>
    </row>
    <row r="300" spans="1:7">
      <c r="A300" s="119"/>
      <c r="B300" s="120"/>
      <c r="C300" s="120"/>
      <c r="D300" s="121"/>
      <c r="E300" s="123">
        <f>IF(TYPE(VLOOKUP(C301,'Sales_DC Price'!K:L,2,0))=16,0,VLOOKUP(C301,'Sales_DC Price'!K:L,2,0)*D301)</f>
        <v>0</v>
      </c>
      <c r="F300" s="116">
        <f>IF(TYPE(VLOOKUP(C300,'Sales_DC Price'!Q:R,2,0))=16,0,VLOOKUP(C300,'Sales_DC Price'!Q:R,2,0))</f>
        <v>0</v>
      </c>
      <c r="G300" s="116">
        <f t="shared" si="6"/>
        <v>0</v>
      </c>
    </row>
    <row r="301" spans="1:7">
      <c r="A301" s="119"/>
      <c r="B301" s="120"/>
      <c r="C301" s="120"/>
      <c r="D301" s="121"/>
      <c r="E301" s="123">
        <f>IF(TYPE(VLOOKUP(C302,'Sales_DC Price'!K:L,2,0))=16,0,VLOOKUP(C302,'Sales_DC Price'!K:L,2,0)*D302)</f>
        <v>0</v>
      </c>
      <c r="F301" s="116">
        <f>IF(TYPE(VLOOKUP(C301,'Sales_DC Price'!Q:R,2,0))=16,0,VLOOKUP(C301,'Sales_DC Price'!Q:R,2,0))</f>
        <v>0</v>
      </c>
      <c r="G301" s="116">
        <f t="shared" si="6"/>
        <v>0</v>
      </c>
    </row>
    <row r="302" spans="1:7">
      <c r="A302" s="119"/>
      <c r="B302" s="120"/>
      <c r="C302" s="120"/>
      <c r="D302" s="121"/>
      <c r="E302" s="123">
        <f>IF(TYPE(VLOOKUP(C303,'Sales_DC Price'!K:L,2,0))=16,0,VLOOKUP(C303,'Sales_DC Price'!K:L,2,0)*D303)</f>
        <v>0</v>
      </c>
      <c r="F302" s="116">
        <f>IF(TYPE(VLOOKUP(C302,'Sales_DC Price'!Q:R,2,0))=16,0,VLOOKUP(C302,'Sales_DC Price'!Q:R,2,0))</f>
        <v>0</v>
      </c>
      <c r="G302" s="116">
        <f t="shared" si="6"/>
        <v>0</v>
      </c>
    </row>
    <row r="303" spans="1:7">
      <c r="A303" s="119"/>
      <c r="B303" s="120"/>
      <c r="C303" s="120"/>
      <c r="D303" s="121"/>
      <c r="E303" s="123">
        <f>IF(TYPE(VLOOKUP(C304,'Sales_DC Price'!K:L,2,0))=16,0,VLOOKUP(C304,'Sales_DC Price'!K:L,2,0)*D304)</f>
        <v>0</v>
      </c>
      <c r="F303" s="116">
        <f>IF(TYPE(VLOOKUP(C303,'Sales_DC Price'!Q:R,2,0))=16,0,VLOOKUP(C303,'Sales_DC Price'!Q:R,2,0))</f>
        <v>0</v>
      </c>
      <c r="G303" s="116">
        <f t="shared" si="6"/>
        <v>0</v>
      </c>
    </row>
    <row r="304" spans="1:7">
      <c r="A304" s="119"/>
      <c r="B304" s="120"/>
      <c r="C304" s="120"/>
      <c r="D304" s="121"/>
      <c r="E304" s="123">
        <f>IF(TYPE(VLOOKUP(C305,'Sales_DC Price'!K:L,2,0))=16,0,VLOOKUP(C305,'Sales_DC Price'!K:L,2,0)*D305)</f>
        <v>0</v>
      </c>
      <c r="F304" s="116">
        <f>IF(TYPE(VLOOKUP(C304,'Sales_DC Price'!Q:R,2,0))=16,0,VLOOKUP(C304,'Sales_DC Price'!Q:R,2,0))</f>
        <v>0</v>
      </c>
      <c r="G304" s="116">
        <f t="shared" si="6"/>
        <v>0</v>
      </c>
    </row>
    <row r="305" spans="1:7">
      <c r="A305" s="119"/>
      <c r="B305" s="120"/>
      <c r="C305" s="120"/>
      <c r="D305" s="121"/>
      <c r="E305" s="123">
        <f>IF(TYPE(VLOOKUP(C306,'Sales_DC Price'!K:L,2,0))=16,0,VLOOKUP(C306,'Sales_DC Price'!K:L,2,0)*D306)</f>
        <v>0</v>
      </c>
      <c r="F305" s="116">
        <f>IF(TYPE(VLOOKUP(C305,'Sales_DC Price'!Q:R,2,0))=16,0,VLOOKUP(C305,'Sales_DC Price'!Q:R,2,0))</f>
        <v>0</v>
      </c>
      <c r="G305" s="116">
        <f t="shared" si="6"/>
        <v>0</v>
      </c>
    </row>
    <row r="306" spans="1:7">
      <c r="A306" s="119"/>
      <c r="B306" s="120"/>
      <c r="C306" s="120"/>
      <c r="D306" s="121"/>
      <c r="E306" s="123">
        <f>IF(TYPE(VLOOKUP(C307,'Sales_DC Price'!K:L,2,0))=16,0,VLOOKUP(C307,'Sales_DC Price'!K:L,2,0)*D307)</f>
        <v>0</v>
      </c>
      <c r="F306" s="116">
        <f>IF(TYPE(VLOOKUP(C306,'Sales_DC Price'!Q:R,2,0))=16,0,VLOOKUP(C306,'Sales_DC Price'!Q:R,2,0))</f>
        <v>0</v>
      </c>
      <c r="G306" s="116">
        <f t="shared" si="6"/>
        <v>0</v>
      </c>
    </row>
    <row r="307" spans="1:7">
      <c r="A307" s="119"/>
      <c r="B307" s="120"/>
      <c r="C307" s="120"/>
      <c r="D307" s="121"/>
      <c r="E307" s="123">
        <f>IF(TYPE(VLOOKUP(C308,'Sales_DC Price'!K:L,2,0))=16,0,VLOOKUP(C308,'Sales_DC Price'!K:L,2,0)*D308)</f>
        <v>0</v>
      </c>
      <c r="F307" s="116">
        <f>IF(TYPE(VLOOKUP(C307,'Sales_DC Price'!Q:R,2,0))=16,0,VLOOKUP(C307,'Sales_DC Price'!Q:R,2,0))</f>
        <v>0</v>
      </c>
      <c r="G307" s="116">
        <f t="shared" si="6"/>
        <v>0</v>
      </c>
    </row>
    <row r="308" spans="1:7">
      <c r="A308" s="119"/>
      <c r="B308" s="120"/>
      <c r="C308" s="120"/>
      <c r="D308" s="121"/>
      <c r="E308" s="123">
        <f>IF(TYPE(VLOOKUP(C309,'Sales_DC Price'!K:L,2,0))=16,0,VLOOKUP(C309,'Sales_DC Price'!K:L,2,0)*D309)</f>
        <v>0</v>
      </c>
      <c r="F308" s="116">
        <f>IF(TYPE(VLOOKUP(C308,'Sales_DC Price'!Q:R,2,0))=16,0,VLOOKUP(C308,'Sales_DC Price'!Q:R,2,0))</f>
        <v>0</v>
      </c>
      <c r="G308" s="116">
        <f t="shared" si="6"/>
        <v>0</v>
      </c>
    </row>
    <row r="309" spans="1:7">
      <c r="A309" s="119"/>
      <c r="B309" s="120"/>
      <c r="C309" s="120"/>
      <c r="D309" s="121"/>
      <c r="E309" s="123">
        <f>IF(TYPE(VLOOKUP(C310,'Sales_DC Price'!K:L,2,0))=16,0,VLOOKUP(C310,'Sales_DC Price'!K:L,2,0)*D310)</f>
        <v>0</v>
      </c>
      <c r="F309" s="116">
        <f>IF(TYPE(VLOOKUP(C309,'Sales_DC Price'!Q:R,2,0))=16,0,VLOOKUP(C309,'Sales_DC Price'!Q:R,2,0))</f>
        <v>0</v>
      </c>
      <c r="G309" s="116">
        <f t="shared" si="6"/>
        <v>0</v>
      </c>
    </row>
    <row r="310" spans="1:7">
      <c r="A310" s="119"/>
      <c r="B310" s="120"/>
      <c r="C310" s="120"/>
      <c r="D310" s="121"/>
      <c r="E310" s="123">
        <f>IF(TYPE(VLOOKUP(C311,'Sales_DC Price'!K:L,2,0))=16,0,VLOOKUP(C311,'Sales_DC Price'!K:L,2,0)*D311)</f>
        <v>0</v>
      </c>
      <c r="F310" s="116">
        <f>IF(TYPE(VLOOKUP(C310,'Sales_DC Price'!Q:R,2,0))=16,0,VLOOKUP(C310,'Sales_DC Price'!Q:R,2,0))</f>
        <v>0</v>
      </c>
      <c r="G310" s="116">
        <f t="shared" si="6"/>
        <v>0</v>
      </c>
    </row>
    <row r="311" spans="1:7">
      <c r="A311" s="119"/>
      <c r="B311" s="120"/>
      <c r="C311" s="120"/>
      <c r="D311" s="121"/>
      <c r="E311" s="123">
        <f>IF(TYPE(VLOOKUP(C312,'Sales_DC Price'!K:L,2,0))=16,0,VLOOKUP(C312,'Sales_DC Price'!K:L,2,0)*D312)</f>
        <v>0</v>
      </c>
      <c r="F311" s="116">
        <f>IF(TYPE(VLOOKUP(C311,'Sales_DC Price'!Q:R,2,0))=16,0,VLOOKUP(C311,'Sales_DC Price'!Q:R,2,0))</f>
        <v>0</v>
      </c>
      <c r="G311" s="116">
        <f t="shared" si="6"/>
        <v>0</v>
      </c>
    </row>
    <row r="312" spans="1:7">
      <c r="A312" s="119"/>
      <c r="B312" s="120"/>
      <c r="C312" s="120"/>
      <c r="D312" s="121"/>
      <c r="E312" s="123">
        <f>IF(TYPE(VLOOKUP(C313,'Sales_DC Price'!K:L,2,0))=16,0,VLOOKUP(C313,'Sales_DC Price'!K:L,2,0)*D313)</f>
        <v>0</v>
      </c>
      <c r="F312" s="116">
        <f>IF(TYPE(VLOOKUP(C312,'Sales_DC Price'!Q:R,2,0))=16,0,VLOOKUP(C312,'Sales_DC Price'!Q:R,2,0))</f>
        <v>0</v>
      </c>
      <c r="G312" s="116">
        <f t="shared" si="6"/>
        <v>0</v>
      </c>
    </row>
    <row r="313" spans="1:7">
      <c r="A313" s="119"/>
      <c r="B313" s="120"/>
      <c r="C313" s="120"/>
      <c r="D313" s="121"/>
      <c r="E313" s="123">
        <f>IF(TYPE(VLOOKUP(C314,'Sales_DC Price'!K:L,2,0))=16,0,VLOOKUP(C314,'Sales_DC Price'!K:L,2,0)*D314)</f>
        <v>0</v>
      </c>
      <c r="F313" s="116">
        <f>IF(TYPE(VLOOKUP(C313,'Sales_DC Price'!Q:R,2,0))=16,0,VLOOKUP(C313,'Sales_DC Price'!Q:R,2,0))</f>
        <v>0</v>
      </c>
      <c r="G313" s="116">
        <f t="shared" si="6"/>
        <v>0</v>
      </c>
    </row>
    <row r="314" spans="1:7">
      <c r="A314" s="119"/>
      <c r="B314" s="120"/>
      <c r="C314" s="120"/>
      <c r="D314" s="121"/>
      <c r="E314" s="123">
        <f>IF(TYPE(VLOOKUP(C315,'Sales_DC Price'!K:L,2,0))=16,0,VLOOKUP(C315,'Sales_DC Price'!K:L,2,0)*D315)</f>
        <v>0</v>
      </c>
      <c r="F314" s="116">
        <f>IF(TYPE(VLOOKUP(C314,'Sales_DC Price'!Q:R,2,0))=16,0,VLOOKUP(C314,'Sales_DC Price'!Q:R,2,0))</f>
        <v>0</v>
      </c>
      <c r="G314" s="116">
        <f t="shared" si="6"/>
        <v>0</v>
      </c>
    </row>
    <row r="315" spans="1:7">
      <c r="A315" s="119"/>
      <c r="B315" s="120"/>
      <c r="C315" s="120"/>
      <c r="D315" s="121"/>
      <c r="E315" s="123">
        <f>IF(TYPE(VLOOKUP(C316,'Sales_DC Price'!K:L,2,0))=16,0,VLOOKUP(C316,'Sales_DC Price'!K:L,2,0)*D316)</f>
        <v>0</v>
      </c>
      <c r="F315" s="116">
        <f>IF(TYPE(VLOOKUP(C315,'Sales_DC Price'!Q:R,2,0))=16,0,VLOOKUP(C315,'Sales_DC Price'!Q:R,2,0))</f>
        <v>0</v>
      </c>
      <c r="G315" s="116">
        <f t="shared" si="6"/>
        <v>0</v>
      </c>
    </row>
    <row r="316" spans="1:7">
      <c r="A316" s="119"/>
      <c r="B316" s="120"/>
      <c r="C316" s="120"/>
      <c r="D316" s="121"/>
      <c r="E316" s="123">
        <f>IF(TYPE(VLOOKUP(C317,'Sales_DC Price'!K:L,2,0))=16,0,VLOOKUP(C317,'Sales_DC Price'!K:L,2,0)*D317)</f>
        <v>0</v>
      </c>
      <c r="F316" s="116">
        <f>IF(TYPE(VLOOKUP(C316,'Sales_DC Price'!Q:R,2,0))=16,0,VLOOKUP(C316,'Sales_DC Price'!Q:R,2,0))</f>
        <v>0</v>
      </c>
      <c r="G316" s="116">
        <f t="shared" si="6"/>
        <v>0</v>
      </c>
    </row>
    <row r="317" spans="1:7">
      <c r="A317" s="119"/>
      <c r="B317" s="120"/>
      <c r="C317" s="120"/>
      <c r="D317" s="121"/>
      <c r="E317" s="123">
        <f>IF(TYPE(VLOOKUP(C318,'Sales_DC Price'!K:L,2,0))=16,0,VLOOKUP(C318,'Sales_DC Price'!K:L,2,0)*D318)</f>
        <v>0</v>
      </c>
      <c r="F317" s="116">
        <f>IF(TYPE(VLOOKUP(C317,'Sales_DC Price'!Q:R,2,0))=16,0,VLOOKUP(C317,'Sales_DC Price'!Q:R,2,0))</f>
        <v>0</v>
      </c>
      <c r="G317" s="116">
        <f t="shared" si="6"/>
        <v>0</v>
      </c>
    </row>
    <row r="318" spans="1:7">
      <c r="A318" s="119"/>
      <c r="B318" s="120"/>
      <c r="C318" s="120"/>
      <c r="D318" s="121"/>
      <c r="E318" s="123">
        <f>IF(TYPE(VLOOKUP(C319,'Sales_DC Price'!K:L,2,0))=16,0,VLOOKUP(C319,'Sales_DC Price'!K:L,2,0)*D319)</f>
        <v>0</v>
      </c>
      <c r="F318" s="116">
        <f>IF(TYPE(VLOOKUP(C318,'Sales_DC Price'!Q:R,2,0))=16,0,VLOOKUP(C318,'Sales_DC Price'!Q:R,2,0))</f>
        <v>0</v>
      </c>
      <c r="G318" s="116">
        <f t="shared" si="6"/>
        <v>0</v>
      </c>
    </row>
    <row r="319" spans="1:7">
      <c r="A319" s="119"/>
      <c r="B319" s="120"/>
      <c r="C319" s="120"/>
      <c r="D319" s="121"/>
      <c r="E319" s="123">
        <f>IF(TYPE(VLOOKUP(C320,'Sales_DC Price'!K:L,2,0))=16,0,VLOOKUP(C320,'Sales_DC Price'!K:L,2,0)*D320)</f>
        <v>0</v>
      </c>
      <c r="F319" s="116">
        <f>IF(TYPE(VLOOKUP(C319,'Sales_DC Price'!Q:R,2,0))=16,0,VLOOKUP(C319,'Sales_DC Price'!Q:R,2,0))</f>
        <v>0</v>
      </c>
      <c r="G319" s="116">
        <f t="shared" si="6"/>
        <v>0</v>
      </c>
    </row>
    <row r="320" spans="1:7">
      <c r="A320" s="119"/>
      <c r="B320" s="120"/>
      <c r="C320" s="120"/>
      <c r="D320" s="121"/>
      <c r="E320" s="123">
        <f>IF(TYPE(VLOOKUP(C321,'Sales_DC Price'!K:L,2,0))=16,0,VLOOKUP(C321,'Sales_DC Price'!K:L,2,0)*D321)</f>
        <v>0</v>
      </c>
      <c r="F320" s="116">
        <f>IF(TYPE(VLOOKUP(C320,'Sales_DC Price'!Q:R,2,0))=16,0,VLOOKUP(C320,'Sales_DC Price'!Q:R,2,0))</f>
        <v>0</v>
      </c>
      <c r="G320" s="116">
        <f t="shared" si="6"/>
        <v>0</v>
      </c>
    </row>
    <row r="321" spans="1:7">
      <c r="A321" s="119"/>
      <c r="B321" s="120"/>
      <c r="C321" s="120"/>
      <c r="D321" s="121"/>
      <c r="E321" s="123">
        <f>IF(TYPE(VLOOKUP(C322,'Sales_DC Price'!K:L,2,0))=16,0,VLOOKUP(C322,'Sales_DC Price'!K:L,2,0)*D322)</f>
        <v>0</v>
      </c>
      <c r="F321" s="116">
        <f>IF(TYPE(VLOOKUP(C321,'Sales_DC Price'!Q:R,2,0))=16,0,VLOOKUP(C321,'Sales_DC Price'!Q:R,2,0))</f>
        <v>0</v>
      </c>
      <c r="G321" s="116">
        <f t="shared" si="6"/>
        <v>0</v>
      </c>
    </row>
    <row r="322" spans="1:7">
      <c r="A322" s="119"/>
      <c r="B322" s="120"/>
      <c r="C322" s="120"/>
      <c r="D322" s="121"/>
      <c r="E322" s="123">
        <f>IF(TYPE(VLOOKUP(C323,'Sales_DC Price'!K:L,2,0))=16,0,VLOOKUP(C323,'Sales_DC Price'!K:L,2,0)*D323)</f>
        <v>0</v>
      </c>
      <c r="F322" s="116">
        <f>IF(TYPE(VLOOKUP(C322,'Sales_DC Price'!Q:R,2,0))=16,0,VLOOKUP(C322,'Sales_DC Price'!Q:R,2,0))</f>
        <v>0</v>
      </c>
      <c r="G322" s="116">
        <f t="shared" ref="G322:G385" si="7">F322*D322</f>
        <v>0</v>
      </c>
    </row>
    <row r="323" spans="1:7">
      <c r="A323" s="119"/>
      <c r="B323" s="120"/>
      <c r="C323" s="120"/>
      <c r="D323" s="121"/>
      <c r="E323" s="123">
        <f>IF(TYPE(VLOOKUP(C324,'Sales_DC Price'!K:L,2,0))=16,0,VLOOKUP(C324,'Sales_DC Price'!K:L,2,0)*D324)</f>
        <v>0</v>
      </c>
      <c r="F323" s="116">
        <f>IF(TYPE(VLOOKUP(C323,'Sales_DC Price'!Q:R,2,0))=16,0,VLOOKUP(C323,'Sales_DC Price'!Q:R,2,0))</f>
        <v>0</v>
      </c>
      <c r="G323" s="116">
        <f t="shared" si="7"/>
        <v>0</v>
      </c>
    </row>
    <row r="324" spans="1:7">
      <c r="A324" s="119"/>
      <c r="B324" s="120"/>
      <c r="C324" s="120"/>
      <c r="D324" s="121"/>
      <c r="E324" s="123">
        <f>IF(TYPE(VLOOKUP(C325,'Sales_DC Price'!K:L,2,0))=16,0,VLOOKUP(C325,'Sales_DC Price'!K:L,2,0)*D325)</f>
        <v>0</v>
      </c>
      <c r="F324" s="116">
        <f>IF(TYPE(VLOOKUP(C324,'Sales_DC Price'!Q:R,2,0))=16,0,VLOOKUP(C324,'Sales_DC Price'!Q:R,2,0))</f>
        <v>0</v>
      </c>
      <c r="G324" s="116">
        <f t="shared" si="7"/>
        <v>0</v>
      </c>
    </row>
    <row r="325" spans="1:7">
      <c r="A325" s="119"/>
      <c r="B325" s="120"/>
      <c r="C325" s="120"/>
      <c r="D325" s="121"/>
      <c r="E325" s="123">
        <f>IF(TYPE(VLOOKUP(C326,'Sales_DC Price'!K:L,2,0))=16,0,VLOOKUP(C326,'Sales_DC Price'!K:L,2,0)*D326)</f>
        <v>0</v>
      </c>
      <c r="F325" s="116">
        <f>IF(TYPE(VLOOKUP(C325,'Sales_DC Price'!Q:R,2,0))=16,0,VLOOKUP(C325,'Sales_DC Price'!Q:R,2,0))</f>
        <v>0</v>
      </c>
      <c r="G325" s="116">
        <f t="shared" si="7"/>
        <v>0</v>
      </c>
    </row>
    <row r="326" spans="1:7">
      <c r="A326" s="119"/>
      <c r="B326" s="120"/>
      <c r="C326" s="120"/>
      <c r="D326" s="121"/>
      <c r="E326" s="123">
        <f>IF(TYPE(VLOOKUP(C327,'Sales_DC Price'!K:L,2,0))=16,0,VLOOKUP(C327,'Sales_DC Price'!K:L,2,0)*D327)</f>
        <v>0</v>
      </c>
      <c r="F326" s="116">
        <f>IF(TYPE(VLOOKUP(C326,'Sales_DC Price'!Q:R,2,0))=16,0,VLOOKUP(C326,'Sales_DC Price'!Q:R,2,0))</f>
        <v>0</v>
      </c>
      <c r="G326" s="116">
        <f t="shared" si="7"/>
        <v>0</v>
      </c>
    </row>
    <row r="327" spans="1:7">
      <c r="A327" s="119"/>
      <c r="B327" s="120"/>
      <c r="C327" s="120"/>
      <c r="D327" s="121"/>
      <c r="E327" s="123">
        <f>IF(TYPE(VLOOKUP(C328,'Sales_DC Price'!K:L,2,0))=16,0,VLOOKUP(C328,'Sales_DC Price'!K:L,2,0)*D328)</f>
        <v>0</v>
      </c>
      <c r="F327" s="116">
        <f>IF(TYPE(VLOOKUP(C327,'Sales_DC Price'!Q:R,2,0))=16,0,VLOOKUP(C327,'Sales_DC Price'!Q:R,2,0))</f>
        <v>0</v>
      </c>
      <c r="G327" s="116">
        <f t="shared" si="7"/>
        <v>0</v>
      </c>
    </row>
    <row r="328" spans="1:7">
      <c r="A328" s="119"/>
      <c r="B328" s="120"/>
      <c r="C328" s="120"/>
      <c r="D328" s="121"/>
      <c r="E328" s="123">
        <f>IF(TYPE(VLOOKUP(C329,'Sales_DC Price'!K:L,2,0))=16,0,VLOOKUP(C329,'Sales_DC Price'!K:L,2,0)*D329)</f>
        <v>0</v>
      </c>
      <c r="F328" s="116">
        <f>IF(TYPE(VLOOKUP(C328,'Sales_DC Price'!Q:R,2,0))=16,0,VLOOKUP(C328,'Sales_DC Price'!Q:R,2,0))</f>
        <v>0</v>
      </c>
      <c r="G328" s="116">
        <f t="shared" si="7"/>
        <v>0</v>
      </c>
    </row>
    <row r="329" spans="1:7">
      <c r="A329" s="119"/>
      <c r="B329" s="120"/>
      <c r="C329" s="120"/>
      <c r="D329" s="121"/>
      <c r="E329" s="123">
        <f>IF(TYPE(VLOOKUP(C330,'Sales_DC Price'!K:L,2,0))=16,0,VLOOKUP(C330,'Sales_DC Price'!K:L,2,0)*D330)</f>
        <v>0</v>
      </c>
      <c r="F329" s="116">
        <f>IF(TYPE(VLOOKUP(C329,'Sales_DC Price'!Q:R,2,0))=16,0,VLOOKUP(C329,'Sales_DC Price'!Q:R,2,0))</f>
        <v>0</v>
      </c>
      <c r="G329" s="116">
        <f t="shared" si="7"/>
        <v>0</v>
      </c>
    </row>
    <row r="330" spans="1:7">
      <c r="A330" s="119"/>
      <c r="B330" s="120"/>
      <c r="C330" s="120"/>
      <c r="D330" s="121"/>
      <c r="E330" s="123">
        <f>IF(TYPE(VLOOKUP(C331,'Sales_DC Price'!K:L,2,0))=16,0,VLOOKUP(C331,'Sales_DC Price'!K:L,2,0)*D331)</f>
        <v>0</v>
      </c>
      <c r="F330" s="116">
        <f>IF(TYPE(VLOOKUP(C330,'Sales_DC Price'!Q:R,2,0))=16,0,VLOOKUP(C330,'Sales_DC Price'!Q:R,2,0))</f>
        <v>0</v>
      </c>
      <c r="G330" s="116">
        <f t="shared" si="7"/>
        <v>0</v>
      </c>
    </row>
    <row r="331" spans="1:7">
      <c r="A331" s="119"/>
      <c r="B331" s="120"/>
      <c r="C331" s="120"/>
      <c r="D331" s="121"/>
      <c r="E331" s="123">
        <f>IF(TYPE(VLOOKUP(C332,'Sales_DC Price'!K:L,2,0))=16,0,VLOOKUP(C332,'Sales_DC Price'!K:L,2,0)*D332)</f>
        <v>0</v>
      </c>
      <c r="F331" s="116">
        <f>IF(TYPE(VLOOKUP(C331,'Sales_DC Price'!Q:R,2,0))=16,0,VLOOKUP(C331,'Sales_DC Price'!Q:R,2,0))</f>
        <v>0</v>
      </c>
      <c r="G331" s="116">
        <f t="shared" si="7"/>
        <v>0</v>
      </c>
    </row>
    <row r="332" spans="1:7">
      <c r="A332" s="119"/>
      <c r="B332" s="120"/>
      <c r="C332" s="120"/>
      <c r="D332" s="121"/>
      <c r="E332" s="123">
        <f>IF(TYPE(VLOOKUP(C333,'Sales_DC Price'!K:L,2,0))=16,0,VLOOKUP(C333,'Sales_DC Price'!K:L,2,0)*D333)</f>
        <v>0</v>
      </c>
      <c r="F332" s="116">
        <f>IF(TYPE(VLOOKUP(C332,'Sales_DC Price'!Q:R,2,0))=16,0,VLOOKUP(C332,'Sales_DC Price'!Q:R,2,0))</f>
        <v>0</v>
      </c>
      <c r="G332" s="116">
        <f t="shared" si="7"/>
        <v>0</v>
      </c>
    </row>
    <row r="333" spans="1:7">
      <c r="A333" s="119"/>
      <c r="B333" s="120"/>
      <c r="C333" s="120"/>
      <c r="D333" s="121"/>
      <c r="E333" s="123">
        <f>IF(TYPE(VLOOKUP(C334,'Sales_DC Price'!K:L,2,0))=16,0,VLOOKUP(C334,'Sales_DC Price'!K:L,2,0)*D334)</f>
        <v>0</v>
      </c>
      <c r="F333" s="116">
        <f>IF(TYPE(VLOOKUP(C333,'Sales_DC Price'!Q:R,2,0))=16,0,VLOOKUP(C333,'Sales_DC Price'!Q:R,2,0))</f>
        <v>0</v>
      </c>
      <c r="G333" s="116">
        <f t="shared" si="7"/>
        <v>0</v>
      </c>
    </row>
    <row r="334" spans="1:7">
      <c r="A334" s="119"/>
      <c r="B334" s="120"/>
      <c r="C334" s="120"/>
      <c r="D334" s="121"/>
      <c r="E334" s="123">
        <f>IF(TYPE(VLOOKUP(C335,'Sales_DC Price'!K:L,2,0))=16,0,VLOOKUP(C335,'Sales_DC Price'!K:L,2,0)*D335)</f>
        <v>0</v>
      </c>
      <c r="F334" s="116">
        <f>IF(TYPE(VLOOKUP(C334,'Sales_DC Price'!Q:R,2,0))=16,0,VLOOKUP(C334,'Sales_DC Price'!Q:R,2,0))</f>
        <v>0</v>
      </c>
      <c r="G334" s="116">
        <f t="shared" si="7"/>
        <v>0</v>
      </c>
    </row>
    <row r="335" spans="1:7">
      <c r="A335" s="119"/>
      <c r="B335" s="120"/>
      <c r="C335" s="120"/>
      <c r="D335" s="121"/>
      <c r="E335" s="123">
        <f>IF(TYPE(VLOOKUP(C336,'Sales_DC Price'!K:L,2,0))=16,0,VLOOKUP(C336,'Sales_DC Price'!K:L,2,0)*D336)</f>
        <v>0</v>
      </c>
      <c r="F335" s="116">
        <f>IF(TYPE(VLOOKUP(C335,'Sales_DC Price'!Q:R,2,0))=16,0,VLOOKUP(C335,'Sales_DC Price'!Q:R,2,0))</f>
        <v>0</v>
      </c>
      <c r="G335" s="116">
        <f t="shared" si="7"/>
        <v>0</v>
      </c>
    </row>
    <row r="336" spans="1:7">
      <c r="A336" s="119"/>
      <c r="B336" s="120"/>
      <c r="C336" s="120"/>
      <c r="D336" s="121"/>
      <c r="E336" s="123">
        <f>IF(TYPE(VLOOKUP(C337,'Sales_DC Price'!K:L,2,0))=16,0,VLOOKUP(C337,'Sales_DC Price'!K:L,2,0)*D337)</f>
        <v>0</v>
      </c>
      <c r="F336" s="116">
        <f>IF(TYPE(VLOOKUP(C336,'Sales_DC Price'!Q:R,2,0))=16,0,VLOOKUP(C336,'Sales_DC Price'!Q:R,2,0))</f>
        <v>0</v>
      </c>
      <c r="G336" s="116">
        <f t="shared" si="7"/>
        <v>0</v>
      </c>
    </row>
    <row r="337" spans="1:7">
      <c r="A337" s="119"/>
      <c r="B337" s="120"/>
      <c r="C337" s="120"/>
      <c r="D337" s="121"/>
      <c r="E337" s="123">
        <f>IF(TYPE(VLOOKUP(C338,'Sales_DC Price'!K:L,2,0))=16,0,VLOOKUP(C338,'Sales_DC Price'!K:L,2,0)*D338)</f>
        <v>0</v>
      </c>
      <c r="F337" s="116">
        <f>IF(TYPE(VLOOKUP(C337,'Sales_DC Price'!Q:R,2,0))=16,0,VLOOKUP(C337,'Sales_DC Price'!Q:R,2,0))</f>
        <v>0</v>
      </c>
      <c r="G337" s="116">
        <f t="shared" si="7"/>
        <v>0</v>
      </c>
    </row>
    <row r="338" spans="1:7">
      <c r="A338" s="119"/>
      <c r="B338" s="120"/>
      <c r="C338" s="120"/>
      <c r="D338" s="121"/>
      <c r="E338" s="123">
        <f>IF(TYPE(VLOOKUP(C339,'Sales_DC Price'!K:L,2,0))=16,0,VLOOKUP(C339,'Sales_DC Price'!K:L,2,0)*D339)</f>
        <v>0</v>
      </c>
      <c r="F338" s="116">
        <f>IF(TYPE(VLOOKUP(C338,'Sales_DC Price'!Q:R,2,0))=16,0,VLOOKUP(C338,'Sales_DC Price'!Q:R,2,0))</f>
        <v>0</v>
      </c>
      <c r="G338" s="116">
        <f t="shared" si="7"/>
        <v>0</v>
      </c>
    </row>
    <row r="339" spans="1:7">
      <c r="A339" s="119"/>
      <c r="B339" s="120"/>
      <c r="C339" s="120"/>
      <c r="D339" s="121"/>
      <c r="E339" s="123">
        <f>IF(TYPE(VLOOKUP(C340,'Sales_DC Price'!K:L,2,0))=16,0,VLOOKUP(C340,'Sales_DC Price'!K:L,2,0)*D340)</f>
        <v>0</v>
      </c>
      <c r="F339" s="116">
        <f>IF(TYPE(VLOOKUP(C339,'Sales_DC Price'!Q:R,2,0))=16,0,VLOOKUP(C339,'Sales_DC Price'!Q:R,2,0))</f>
        <v>0</v>
      </c>
      <c r="G339" s="116">
        <f t="shared" si="7"/>
        <v>0</v>
      </c>
    </row>
    <row r="340" spans="1:7">
      <c r="A340" s="119"/>
      <c r="B340" s="120"/>
      <c r="C340" s="120"/>
      <c r="D340" s="121"/>
      <c r="E340" s="123">
        <f>IF(TYPE(VLOOKUP(C341,'Sales_DC Price'!K:L,2,0))=16,0,VLOOKUP(C341,'Sales_DC Price'!K:L,2,0)*D341)</f>
        <v>0</v>
      </c>
      <c r="F340" s="116">
        <f>IF(TYPE(VLOOKUP(C340,'Sales_DC Price'!Q:R,2,0))=16,0,VLOOKUP(C340,'Sales_DC Price'!Q:R,2,0))</f>
        <v>0</v>
      </c>
      <c r="G340" s="116">
        <f t="shared" si="7"/>
        <v>0</v>
      </c>
    </row>
    <row r="341" spans="1:7">
      <c r="A341" s="119"/>
      <c r="B341" s="120"/>
      <c r="C341" s="120"/>
      <c r="D341" s="121"/>
      <c r="E341" s="123">
        <f>IF(TYPE(VLOOKUP(C342,'Sales_DC Price'!K:L,2,0))=16,0,VLOOKUP(C342,'Sales_DC Price'!K:L,2,0)*D342)</f>
        <v>0</v>
      </c>
      <c r="F341" s="116">
        <f>IF(TYPE(VLOOKUP(C341,'Sales_DC Price'!Q:R,2,0))=16,0,VLOOKUP(C341,'Sales_DC Price'!Q:R,2,0))</f>
        <v>0</v>
      </c>
      <c r="G341" s="116">
        <f t="shared" si="7"/>
        <v>0</v>
      </c>
    </row>
    <row r="342" spans="1:7">
      <c r="A342" s="119"/>
      <c r="B342" s="120"/>
      <c r="C342" s="120"/>
      <c r="D342" s="121"/>
      <c r="E342" s="123">
        <f>IF(TYPE(VLOOKUP(C343,'Sales_DC Price'!K:L,2,0))=16,0,VLOOKUP(C343,'Sales_DC Price'!K:L,2,0)*D343)</f>
        <v>0</v>
      </c>
      <c r="F342" s="116">
        <f>IF(TYPE(VLOOKUP(C342,'Sales_DC Price'!Q:R,2,0))=16,0,VLOOKUP(C342,'Sales_DC Price'!Q:R,2,0))</f>
        <v>0</v>
      </c>
      <c r="G342" s="116">
        <f t="shared" si="7"/>
        <v>0</v>
      </c>
    </row>
    <row r="343" spans="1:7">
      <c r="A343" s="119"/>
      <c r="B343" s="120"/>
      <c r="C343" s="120"/>
      <c r="D343" s="121"/>
      <c r="E343" s="123">
        <f>IF(TYPE(VLOOKUP(C344,'Sales_DC Price'!K:L,2,0))=16,0,VLOOKUP(C344,'Sales_DC Price'!K:L,2,0)*D344)</f>
        <v>0</v>
      </c>
      <c r="F343" s="116">
        <f>IF(TYPE(VLOOKUP(C343,'Sales_DC Price'!Q:R,2,0))=16,0,VLOOKUP(C343,'Sales_DC Price'!Q:R,2,0))</f>
        <v>0</v>
      </c>
      <c r="G343" s="116">
        <f t="shared" si="7"/>
        <v>0</v>
      </c>
    </row>
    <row r="344" spans="1:7">
      <c r="A344" s="119"/>
      <c r="B344" s="120"/>
      <c r="C344" s="120"/>
      <c r="D344" s="121"/>
      <c r="E344" s="123">
        <f>IF(TYPE(VLOOKUP(C345,'Sales_DC Price'!K:L,2,0))=16,0,VLOOKUP(C345,'Sales_DC Price'!K:L,2,0)*D345)</f>
        <v>0</v>
      </c>
      <c r="F344" s="116">
        <f>IF(TYPE(VLOOKUP(C344,'Sales_DC Price'!Q:R,2,0))=16,0,VLOOKUP(C344,'Sales_DC Price'!Q:R,2,0))</f>
        <v>0</v>
      </c>
      <c r="G344" s="116">
        <f t="shared" si="7"/>
        <v>0</v>
      </c>
    </row>
    <row r="345" spans="1:7">
      <c r="A345" s="119"/>
      <c r="B345" s="120"/>
      <c r="C345" s="120"/>
      <c r="D345" s="121"/>
      <c r="E345" s="123">
        <f>IF(TYPE(VLOOKUP(C346,'Sales_DC Price'!K:L,2,0))=16,0,VLOOKUP(C346,'Sales_DC Price'!K:L,2,0)*D346)</f>
        <v>0</v>
      </c>
      <c r="F345" s="116">
        <f>IF(TYPE(VLOOKUP(C345,'Sales_DC Price'!Q:R,2,0))=16,0,VLOOKUP(C345,'Sales_DC Price'!Q:R,2,0))</f>
        <v>0</v>
      </c>
      <c r="G345" s="116">
        <f t="shared" si="7"/>
        <v>0</v>
      </c>
    </row>
    <row r="346" spans="1:7">
      <c r="A346" s="119"/>
      <c r="B346" s="120"/>
      <c r="C346" s="120"/>
      <c r="D346" s="121"/>
      <c r="E346" s="123">
        <f>IF(TYPE(VLOOKUP(C347,'Sales_DC Price'!K:L,2,0))=16,0,VLOOKUP(C347,'Sales_DC Price'!K:L,2,0)*D347)</f>
        <v>0</v>
      </c>
      <c r="F346" s="116">
        <f>IF(TYPE(VLOOKUP(C346,'Sales_DC Price'!Q:R,2,0))=16,0,VLOOKUP(C346,'Sales_DC Price'!Q:R,2,0))</f>
        <v>0</v>
      </c>
      <c r="G346" s="116">
        <f t="shared" si="7"/>
        <v>0</v>
      </c>
    </row>
    <row r="347" spans="1:7">
      <c r="A347" s="119"/>
      <c r="B347" s="120"/>
      <c r="C347" s="120"/>
      <c r="D347" s="121"/>
      <c r="E347" s="123">
        <f>IF(TYPE(VLOOKUP(C348,'Sales_DC Price'!K:L,2,0))=16,0,VLOOKUP(C348,'Sales_DC Price'!K:L,2,0)*D348)</f>
        <v>0</v>
      </c>
      <c r="F347" s="116">
        <f>IF(TYPE(VLOOKUP(C347,'Sales_DC Price'!Q:R,2,0))=16,0,VLOOKUP(C347,'Sales_DC Price'!Q:R,2,0))</f>
        <v>0</v>
      </c>
      <c r="G347" s="116">
        <f t="shared" si="7"/>
        <v>0</v>
      </c>
    </row>
    <row r="348" spans="1:7">
      <c r="A348" s="119"/>
      <c r="B348" s="120"/>
      <c r="C348" s="120"/>
      <c r="D348" s="121"/>
      <c r="E348" s="123">
        <f>IF(TYPE(VLOOKUP(C349,'Sales_DC Price'!K:L,2,0))=16,0,VLOOKUP(C349,'Sales_DC Price'!K:L,2,0)*D349)</f>
        <v>0</v>
      </c>
      <c r="F348" s="116">
        <f>IF(TYPE(VLOOKUP(C348,'Sales_DC Price'!Q:R,2,0))=16,0,VLOOKUP(C348,'Sales_DC Price'!Q:R,2,0))</f>
        <v>0</v>
      </c>
      <c r="G348" s="116">
        <f t="shared" si="7"/>
        <v>0</v>
      </c>
    </row>
    <row r="349" spans="1:7">
      <c r="A349" s="119"/>
      <c r="B349" s="120"/>
      <c r="C349" s="120"/>
      <c r="D349" s="121"/>
      <c r="E349" s="123">
        <f>IF(TYPE(VLOOKUP(C350,'Sales_DC Price'!K:L,2,0))=16,0,VLOOKUP(C350,'Sales_DC Price'!K:L,2,0)*D350)</f>
        <v>0</v>
      </c>
      <c r="F349" s="116">
        <f>IF(TYPE(VLOOKUP(C349,'Sales_DC Price'!Q:R,2,0))=16,0,VLOOKUP(C349,'Sales_DC Price'!Q:R,2,0))</f>
        <v>0</v>
      </c>
      <c r="G349" s="116">
        <f t="shared" si="7"/>
        <v>0</v>
      </c>
    </row>
    <row r="350" spans="1:7">
      <c r="A350" s="119"/>
      <c r="B350" s="120"/>
      <c r="C350" s="120"/>
      <c r="D350" s="121"/>
      <c r="E350" s="123">
        <f>IF(TYPE(VLOOKUP(C351,'Sales_DC Price'!K:L,2,0))=16,0,VLOOKUP(C351,'Sales_DC Price'!K:L,2,0)*D351)</f>
        <v>0</v>
      </c>
      <c r="F350" s="116">
        <f>IF(TYPE(VLOOKUP(C350,'Sales_DC Price'!Q:R,2,0))=16,0,VLOOKUP(C350,'Sales_DC Price'!Q:R,2,0))</f>
        <v>0</v>
      </c>
      <c r="G350" s="116">
        <f t="shared" si="7"/>
        <v>0</v>
      </c>
    </row>
    <row r="351" spans="1:7">
      <c r="A351" s="119"/>
      <c r="B351" s="120"/>
      <c r="C351" s="120"/>
      <c r="D351" s="121"/>
      <c r="E351" s="123">
        <f>IF(TYPE(VLOOKUP(C352,'Sales_DC Price'!K:L,2,0))=16,0,VLOOKUP(C352,'Sales_DC Price'!K:L,2,0)*D352)</f>
        <v>0</v>
      </c>
      <c r="F351" s="116">
        <f>IF(TYPE(VLOOKUP(C351,'Sales_DC Price'!Q:R,2,0))=16,0,VLOOKUP(C351,'Sales_DC Price'!Q:R,2,0))</f>
        <v>0</v>
      </c>
      <c r="G351" s="116">
        <f t="shared" si="7"/>
        <v>0</v>
      </c>
    </row>
    <row r="352" spans="1:7">
      <c r="A352" s="119"/>
      <c r="B352" s="120"/>
      <c r="C352" s="120"/>
      <c r="D352" s="121"/>
      <c r="E352" s="123">
        <f>IF(TYPE(VLOOKUP(C353,'Sales_DC Price'!K:L,2,0))=16,0,VLOOKUP(C353,'Sales_DC Price'!K:L,2,0)*D353)</f>
        <v>0</v>
      </c>
      <c r="F352" s="116">
        <f>IF(TYPE(VLOOKUP(C352,'Sales_DC Price'!Q:R,2,0))=16,0,VLOOKUP(C352,'Sales_DC Price'!Q:R,2,0))</f>
        <v>0</v>
      </c>
      <c r="G352" s="116">
        <f t="shared" si="7"/>
        <v>0</v>
      </c>
    </row>
    <row r="353" spans="1:7">
      <c r="A353" s="119"/>
      <c r="B353" s="120"/>
      <c r="C353" s="120"/>
      <c r="D353" s="121"/>
      <c r="E353" s="123">
        <f>IF(TYPE(VLOOKUP(C354,'Sales_DC Price'!K:L,2,0))=16,0,VLOOKUP(C354,'Sales_DC Price'!K:L,2,0)*D354)</f>
        <v>0</v>
      </c>
      <c r="F353" s="116">
        <f>IF(TYPE(VLOOKUP(C353,'Sales_DC Price'!Q:R,2,0))=16,0,VLOOKUP(C353,'Sales_DC Price'!Q:R,2,0))</f>
        <v>0</v>
      </c>
      <c r="G353" s="116">
        <f t="shared" si="7"/>
        <v>0</v>
      </c>
    </row>
    <row r="354" spans="1:7">
      <c r="A354" s="119"/>
      <c r="B354" s="120"/>
      <c r="C354" s="120"/>
      <c r="D354" s="121"/>
      <c r="E354" s="123">
        <f>IF(TYPE(VLOOKUP(C355,'Sales_DC Price'!K:L,2,0))=16,0,VLOOKUP(C355,'Sales_DC Price'!K:L,2,0)*D355)</f>
        <v>0</v>
      </c>
      <c r="F354" s="116">
        <f>IF(TYPE(VLOOKUP(C354,'Sales_DC Price'!Q:R,2,0))=16,0,VLOOKUP(C354,'Sales_DC Price'!Q:R,2,0))</f>
        <v>0</v>
      </c>
      <c r="G354" s="116">
        <f t="shared" si="7"/>
        <v>0</v>
      </c>
    </row>
    <row r="355" spans="1:7">
      <c r="A355" s="119"/>
      <c r="B355" s="120"/>
      <c r="C355" s="120"/>
      <c r="D355" s="121"/>
      <c r="E355" s="123">
        <f>IF(TYPE(VLOOKUP(C356,'Sales_DC Price'!K:L,2,0))=16,0,VLOOKUP(C356,'Sales_DC Price'!K:L,2,0)*D356)</f>
        <v>0</v>
      </c>
      <c r="F355" s="116">
        <f>IF(TYPE(VLOOKUP(C355,'Sales_DC Price'!Q:R,2,0))=16,0,VLOOKUP(C355,'Sales_DC Price'!Q:R,2,0))</f>
        <v>0</v>
      </c>
      <c r="G355" s="116">
        <f t="shared" si="7"/>
        <v>0</v>
      </c>
    </row>
    <row r="356" spans="1:7">
      <c r="A356" s="119"/>
      <c r="B356" s="120"/>
      <c r="C356" s="120"/>
      <c r="D356" s="121"/>
      <c r="E356" s="123">
        <f>IF(TYPE(VLOOKUP(C357,'Sales_DC Price'!K:L,2,0))=16,0,VLOOKUP(C357,'Sales_DC Price'!K:L,2,0)*D357)</f>
        <v>0</v>
      </c>
      <c r="F356" s="116">
        <f>IF(TYPE(VLOOKUP(C356,'Sales_DC Price'!Q:R,2,0))=16,0,VLOOKUP(C356,'Sales_DC Price'!Q:R,2,0))</f>
        <v>0</v>
      </c>
      <c r="G356" s="116">
        <f t="shared" si="7"/>
        <v>0</v>
      </c>
    </row>
    <row r="357" spans="1:7">
      <c r="A357" s="119"/>
      <c r="B357" s="120"/>
      <c r="C357" s="120"/>
      <c r="D357" s="121"/>
      <c r="E357" s="123">
        <f>IF(TYPE(VLOOKUP(C358,'Sales_DC Price'!K:L,2,0))=16,0,VLOOKUP(C358,'Sales_DC Price'!K:L,2,0)*D358)</f>
        <v>0</v>
      </c>
      <c r="F357" s="116">
        <f>IF(TYPE(VLOOKUP(C357,'Sales_DC Price'!Q:R,2,0))=16,0,VLOOKUP(C357,'Sales_DC Price'!Q:R,2,0))</f>
        <v>0</v>
      </c>
      <c r="G357" s="116">
        <f t="shared" si="7"/>
        <v>0</v>
      </c>
    </row>
    <row r="358" spans="1:7">
      <c r="A358" s="119"/>
      <c r="B358" s="120"/>
      <c r="C358" s="120"/>
      <c r="D358" s="121"/>
      <c r="E358" s="123">
        <f>IF(TYPE(VLOOKUP(C359,'Sales_DC Price'!K:L,2,0))=16,0,VLOOKUP(C359,'Sales_DC Price'!K:L,2,0)*D359)</f>
        <v>0</v>
      </c>
      <c r="F358" s="116">
        <f>IF(TYPE(VLOOKUP(C358,'Sales_DC Price'!Q:R,2,0))=16,0,VLOOKUP(C358,'Sales_DC Price'!Q:R,2,0))</f>
        <v>0</v>
      </c>
      <c r="G358" s="116">
        <f t="shared" si="7"/>
        <v>0</v>
      </c>
    </row>
    <row r="359" spans="1:7">
      <c r="A359" s="119"/>
      <c r="B359" s="120"/>
      <c r="C359" s="120"/>
      <c r="D359" s="121"/>
      <c r="E359" s="123">
        <f>IF(TYPE(VLOOKUP(C360,'Sales_DC Price'!K:L,2,0))=16,0,VLOOKUP(C360,'Sales_DC Price'!K:L,2,0)*D360)</f>
        <v>0</v>
      </c>
      <c r="F359" s="116">
        <f>IF(TYPE(VLOOKUP(C359,'Sales_DC Price'!Q:R,2,0))=16,0,VLOOKUP(C359,'Sales_DC Price'!Q:R,2,0))</f>
        <v>0</v>
      </c>
      <c r="G359" s="116">
        <f t="shared" si="7"/>
        <v>0</v>
      </c>
    </row>
    <row r="360" spans="1:7">
      <c r="A360" s="119"/>
      <c r="B360" s="120"/>
      <c r="C360" s="120"/>
      <c r="D360" s="121"/>
      <c r="E360" s="123">
        <f>IF(TYPE(VLOOKUP(C361,'Sales_DC Price'!K:L,2,0))=16,0,VLOOKUP(C361,'Sales_DC Price'!K:L,2,0)*D361)</f>
        <v>0</v>
      </c>
      <c r="F360" s="116">
        <f>IF(TYPE(VLOOKUP(C360,'Sales_DC Price'!Q:R,2,0))=16,0,VLOOKUP(C360,'Sales_DC Price'!Q:R,2,0))</f>
        <v>0</v>
      </c>
      <c r="G360" s="116">
        <f t="shared" si="7"/>
        <v>0</v>
      </c>
    </row>
    <row r="361" spans="1:7">
      <c r="A361" s="119"/>
      <c r="B361" s="120"/>
      <c r="C361" s="120"/>
      <c r="D361" s="121"/>
      <c r="E361" s="123">
        <f>IF(TYPE(VLOOKUP(C362,'Sales_DC Price'!K:L,2,0))=16,0,VLOOKUP(C362,'Sales_DC Price'!K:L,2,0)*D362)</f>
        <v>0</v>
      </c>
      <c r="F361" s="116">
        <f>IF(TYPE(VLOOKUP(C361,'Sales_DC Price'!Q:R,2,0))=16,0,VLOOKUP(C361,'Sales_DC Price'!Q:R,2,0))</f>
        <v>0</v>
      </c>
      <c r="G361" s="116">
        <f t="shared" si="7"/>
        <v>0</v>
      </c>
    </row>
    <row r="362" spans="1:7">
      <c r="A362" s="119"/>
      <c r="B362" s="120"/>
      <c r="C362" s="120"/>
      <c r="D362" s="121"/>
      <c r="E362" s="123">
        <f>IF(TYPE(VLOOKUP(C363,'Sales_DC Price'!K:L,2,0))=16,0,VLOOKUP(C363,'Sales_DC Price'!K:L,2,0)*D363)</f>
        <v>0</v>
      </c>
      <c r="F362" s="116">
        <f>IF(TYPE(VLOOKUP(C362,'Sales_DC Price'!Q:R,2,0))=16,0,VLOOKUP(C362,'Sales_DC Price'!Q:R,2,0))</f>
        <v>0</v>
      </c>
      <c r="G362" s="116">
        <f t="shared" si="7"/>
        <v>0</v>
      </c>
    </row>
    <row r="363" spans="1:7">
      <c r="A363" s="119"/>
      <c r="B363" s="120"/>
      <c r="C363" s="120"/>
      <c r="D363" s="121"/>
      <c r="E363" s="123">
        <f>IF(TYPE(VLOOKUP(C364,'Sales_DC Price'!K:L,2,0))=16,0,VLOOKUP(C364,'Sales_DC Price'!K:L,2,0)*D364)</f>
        <v>0</v>
      </c>
      <c r="F363" s="116">
        <f>IF(TYPE(VLOOKUP(C363,'Sales_DC Price'!Q:R,2,0))=16,0,VLOOKUP(C363,'Sales_DC Price'!Q:R,2,0))</f>
        <v>0</v>
      </c>
      <c r="G363" s="116">
        <f t="shared" si="7"/>
        <v>0</v>
      </c>
    </row>
    <row r="364" spans="1:7">
      <c r="A364" s="119"/>
      <c r="B364" s="120"/>
      <c r="C364" s="120"/>
      <c r="D364" s="121"/>
      <c r="E364" s="123">
        <f>IF(TYPE(VLOOKUP(C365,'Sales_DC Price'!K:L,2,0))=16,0,VLOOKUP(C365,'Sales_DC Price'!K:L,2,0)*D365)</f>
        <v>0</v>
      </c>
      <c r="F364" s="116">
        <f>IF(TYPE(VLOOKUP(C364,'Sales_DC Price'!Q:R,2,0))=16,0,VLOOKUP(C364,'Sales_DC Price'!Q:R,2,0))</f>
        <v>0</v>
      </c>
      <c r="G364" s="116">
        <f t="shared" si="7"/>
        <v>0</v>
      </c>
    </row>
    <row r="365" spans="1:7">
      <c r="A365" s="119"/>
      <c r="B365" s="120"/>
      <c r="C365" s="120"/>
      <c r="D365" s="121"/>
      <c r="E365" s="123">
        <f>IF(TYPE(VLOOKUP(C366,'Sales_DC Price'!K:L,2,0))=16,0,VLOOKUP(C366,'Sales_DC Price'!K:L,2,0)*D366)</f>
        <v>0</v>
      </c>
      <c r="F365" s="116">
        <f>IF(TYPE(VLOOKUP(C365,'Sales_DC Price'!Q:R,2,0))=16,0,VLOOKUP(C365,'Sales_DC Price'!Q:R,2,0))</f>
        <v>0</v>
      </c>
      <c r="G365" s="116">
        <f t="shared" si="7"/>
        <v>0</v>
      </c>
    </row>
    <row r="366" spans="1:7">
      <c r="A366" s="119"/>
      <c r="B366" s="120"/>
      <c r="C366" s="120"/>
      <c r="D366" s="121"/>
      <c r="E366" s="123">
        <f>IF(TYPE(VLOOKUP(C367,'Sales_DC Price'!K:L,2,0))=16,0,VLOOKUP(C367,'Sales_DC Price'!K:L,2,0)*D367)</f>
        <v>0</v>
      </c>
      <c r="F366" s="116">
        <f>IF(TYPE(VLOOKUP(C366,'Sales_DC Price'!Q:R,2,0))=16,0,VLOOKUP(C366,'Sales_DC Price'!Q:R,2,0))</f>
        <v>0</v>
      </c>
      <c r="G366" s="116">
        <f t="shared" si="7"/>
        <v>0</v>
      </c>
    </row>
    <row r="367" spans="1:7">
      <c r="A367" s="119"/>
      <c r="B367" s="120"/>
      <c r="C367" s="120"/>
      <c r="D367" s="121"/>
      <c r="E367" s="123">
        <f>IF(TYPE(VLOOKUP(C368,'Sales_DC Price'!K:L,2,0))=16,0,VLOOKUP(C368,'Sales_DC Price'!K:L,2,0)*D368)</f>
        <v>0</v>
      </c>
      <c r="F367" s="116">
        <f>IF(TYPE(VLOOKUP(C367,'Sales_DC Price'!Q:R,2,0))=16,0,VLOOKUP(C367,'Sales_DC Price'!Q:R,2,0))</f>
        <v>0</v>
      </c>
      <c r="G367" s="116">
        <f t="shared" si="7"/>
        <v>0</v>
      </c>
    </row>
    <row r="368" spans="1:7">
      <c r="A368" s="119"/>
      <c r="B368" s="120"/>
      <c r="C368" s="120"/>
      <c r="D368" s="121"/>
      <c r="E368" s="123">
        <f>IF(TYPE(VLOOKUP(C369,'Sales_DC Price'!K:L,2,0))=16,0,VLOOKUP(C369,'Sales_DC Price'!K:L,2,0)*D369)</f>
        <v>0</v>
      </c>
      <c r="F368" s="116">
        <f>IF(TYPE(VLOOKUP(C368,'Sales_DC Price'!Q:R,2,0))=16,0,VLOOKUP(C368,'Sales_DC Price'!Q:R,2,0))</f>
        <v>0</v>
      </c>
      <c r="G368" s="116">
        <f t="shared" si="7"/>
        <v>0</v>
      </c>
    </row>
    <row r="369" spans="1:7">
      <c r="A369" s="119"/>
      <c r="B369" s="120"/>
      <c r="C369" s="120"/>
      <c r="D369" s="121"/>
      <c r="E369" s="123">
        <f>IF(TYPE(VLOOKUP(C370,'Sales_DC Price'!K:L,2,0))=16,0,VLOOKUP(C370,'Sales_DC Price'!K:L,2,0)*D370)</f>
        <v>0</v>
      </c>
      <c r="F369" s="116">
        <f>IF(TYPE(VLOOKUP(C369,'Sales_DC Price'!Q:R,2,0))=16,0,VLOOKUP(C369,'Sales_DC Price'!Q:R,2,0))</f>
        <v>0</v>
      </c>
      <c r="G369" s="116">
        <f t="shared" si="7"/>
        <v>0</v>
      </c>
    </row>
    <row r="370" spans="1:7">
      <c r="A370" s="119"/>
      <c r="B370" s="120"/>
      <c r="C370" s="120"/>
      <c r="D370" s="121"/>
      <c r="E370" s="123">
        <f>IF(TYPE(VLOOKUP(C371,'Sales_DC Price'!K:L,2,0))=16,0,VLOOKUP(C371,'Sales_DC Price'!K:L,2,0)*D371)</f>
        <v>0</v>
      </c>
      <c r="F370" s="116">
        <f>IF(TYPE(VLOOKUP(C370,'Sales_DC Price'!Q:R,2,0))=16,0,VLOOKUP(C370,'Sales_DC Price'!Q:R,2,0))</f>
        <v>0</v>
      </c>
      <c r="G370" s="116">
        <f t="shared" si="7"/>
        <v>0</v>
      </c>
    </row>
    <row r="371" spans="1:7">
      <c r="A371" s="119"/>
      <c r="B371" s="120"/>
      <c r="C371" s="120"/>
      <c r="D371" s="121"/>
      <c r="E371" s="123">
        <f>IF(TYPE(VLOOKUP(C372,'Sales_DC Price'!K:L,2,0))=16,0,VLOOKUP(C372,'Sales_DC Price'!K:L,2,0)*D372)</f>
        <v>0</v>
      </c>
      <c r="F371" s="116">
        <f>IF(TYPE(VLOOKUP(C371,'Sales_DC Price'!Q:R,2,0))=16,0,VLOOKUP(C371,'Sales_DC Price'!Q:R,2,0))</f>
        <v>0</v>
      </c>
      <c r="G371" s="116">
        <f t="shared" si="7"/>
        <v>0</v>
      </c>
    </row>
    <row r="372" spans="1:7">
      <c r="A372" s="119"/>
      <c r="B372" s="120"/>
      <c r="C372" s="120"/>
      <c r="D372" s="121"/>
      <c r="E372" s="123">
        <f>IF(TYPE(VLOOKUP(C373,'Sales_DC Price'!K:L,2,0))=16,0,VLOOKUP(C373,'Sales_DC Price'!K:L,2,0)*D373)</f>
        <v>0</v>
      </c>
      <c r="F372" s="116">
        <f>IF(TYPE(VLOOKUP(C372,'Sales_DC Price'!Q:R,2,0))=16,0,VLOOKUP(C372,'Sales_DC Price'!Q:R,2,0))</f>
        <v>0</v>
      </c>
      <c r="G372" s="116">
        <f t="shared" si="7"/>
        <v>0</v>
      </c>
    </row>
    <row r="373" spans="1:7">
      <c r="A373" s="119"/>
      <c r="B373" s="120"/>
      <c r="C373" s="120"/>
      <c r="D373" s="121"/>
      <c r="E373" s="123">
        <f>IF(TYPE(VLOOKUP(C374,'Sales_DC Price'!K:L,2,0))=16,0,VLOOKUP(C374,'Sales_DC Price'!K:L,2,0)*D374)</f>
        <v>0</v>
      </c>
      <c r="F373" s="116">
        <f>IF(TYPE(VLOOKUP(C373,'Sales_DC Price'!Q:R,2,0))=16,0,VLOOKUP(C373,'Sales_DC Price'!Q:R,2,0))</f>
        <v>0</v>
      </c>
      <c r="G373" s="116">
        <f t="shared" si="7"/>
        <v>0</v>
      </c>
    </row>
    <row r="374" spans="1:7">
      <c r="A374" s="119"/>
      <c r="B374" s="120"/>
      <c r="C374" s="120"/>
      <c r="D374" s="121"/>
      <c r="E374" s="123">
        <f>IF(TYPE(VLOOKUP(C375,'Sales_DC Price'!K:L,2,0))=16,0,VLOOKUP(C375,'Sales_DC Price'!K:L,2,0)*D375)</f>
        <v>0</v>
      </c>
      <c r="F374" s="116">
        <f>IF(TYPE(VLOOKUP(C374,'Sales_DC Price'!Q:R,2,0))=16,0,VLOOKUP(C374,'Sales_DC Price'!Q:R,2,0))</f>
        <v>0</v>
      </c>
      <c r="G374" s="116">
        <f t="shared" si="7"/>
        <v>0</v>
      </c>
    </row>
    <row r="375" spans="1:7">
      <c r="A375" s="119"/>
      <c r="B375" s="120"/>
      <c r="C375" s="120"/>
      <c r="D375" s="121"/>
      <c r="E375" s="123">
        <f>IF(TYPE(VLOOKUP(C376,'Sales_DC Price'!K:L,2,0))=16,0,VLOOKUP(C376,'Sales_DC Price'!K:L,2,0)*D376)</f>
        <v>0</v>
      </c>
      <c r="F375" s="116">
        <f>IF(TYPE(VLOOKUP(C375,'Sales_DC Price'!Q:R,2,0))=16,0,VLOOKUP(C375,'Sales_DC Price'!Q:R,2,0))</f>
        <v>0</v>
      </c>
      <c r="G375" s="116">
        <f t="shared" si="7"/>
        <v>0</v>
      </c>
    </row>
    <row r="376" spans="1:7">
      <c r="A376" s="119"/>
      <c r="B376" s="120"/>
      <c r="C376" s="120"/>
      <c r="D376" s="121"/>
      <c r="E376" s="123">
        <f>IF(TYPE(VLOOKUP(C377,'Sales_DC Price'!K:L,2,0))=16,0,VLOOKUP(C377,'Sales_DC Price'!K:L,2,0)*D377)</f>
        <v>0</v>
      </c>
      <c r="F376" s="116">
        <f>IF(TYPE(VLOOKUP(C376,'Sales_DC Price'!Q:R,2,0))=16,0,VLOOKUP(C376,'Sales_DC Price'!Q:R,2,0))</f>
        <v>0</v>
      </c>
      <c r="G376" s="116">
        <f t="shared" si="7"/>
        <v>0</v>
      </c>
    </row>
    <row r="377" spans="1:7">
      <c r="A377" s="119"/>
      <c r="B377" s="120"/>
      <c r="C377" s="120"/>
      <c r="D377" s="121"/>
      <c r="E377" s="123">
        <f>IF(TYPE(VLOOKUP(C378,'Sales_DC Price'!K:L,2,0))=16,0,VLOOKUP(C378,'Sales_DC Price'!K:L,2,0)*D378)</f>
        <v>0</v>
      </c>
      <c r="F377" s="116">
        <f>IF(TYPE(VLOOKUP(C377,'Sales_DC Price'!Q:R,2,0))=16,0,VLOOKUP(C377,'Sales_DC Price'!Q:R,2,0))</f>
        <v>0</v>
      </c>
      <c r="G377" s="116">
        <f t="shared" si="7"/>
        <v>0</v>
      </c>
    </row>
    <row r="378" spans="1:7">
      <c r="A378" s="119"/>
      <c r="B378" s="120"/>
      <c r="C378" s="120"/>
      <c r="D378" s="121"/>
      <c r="E378" s="123">
        <f>IF(TYPE(VLOOKUP(C379,'Sales_DC Price'!K:L,2,0))=16,0,VLOOKUP(C379,'Sales_DC Price'!K:L,2,0)*D379)</f>
        <v>0</v>
      </c>
      <c r="F378" s="116">
        <f>IF(TYPE(VLOOKUP(C378,'Sales_DC Price'!Q:R,2,0))=16,0,VLOOKUP(C378,'Sales_DC Price'!Q:R,2,0))</f>
        <v>0</v>
      </c>
      <c r="G378" s="116">
        <f t="shared" si="7"/>
        <v>0</v>
      </c>
    </row>
    <row r="379" spans="1:7">
      <c r="A379" s="119"/>
      <c r="B379" s="120"/>
      <c r="C379" s="120"/>
      <c r="D379" s="121"/>
      <c r="E379" s="123">
        <f>IF(TYPE(VLOOKUP(C380,'Sales_DC Price'!K:L,2,0))=16,0,VLOOKUP(C380,'Sales_DC Price'!K:L,2,0)*D380)</f>
        <v>0</v>
      </c>
      <c r="F379" s="116">
        <f>IF(TYPE(VLOOKUP(C379,'Sales_DC Price'!Q:R,2,0))=16,0,VLOOKUP(C379,'Sales_DC Price'!Q:R,2,0))</f>
        <v>0</v>
      </c>
      <c r="G379" s="116">
        <f t="shared" si="7"/>
        <v>0</v>
      </c>
    </row>
    <row r="380" spans="1:7">
      <c r="A380" s="119"/>
      <c r="B380" s="120"/>
      <c r="C380" s="120"/>
      <c r="D380" s="121"/>
      <c r="E380" s="123">
        <f>IF(TYPE(VLOOKUP(C381,'Sales_DC Price'!K:L,2,0))=16,0,VLOOKUP(C381,'Sales_DC Price'!K:L,2,0)*D381)</f>
        <v>0</v>
      </c>
      <c r="F380" s="116">
        <f>IF(TYPE(VLOOKUP(C380,'Sales_DC Price'!Q:R,2,0))=16,0,VLOOKUP(C380,'Sales_DC Price'!Q:R,2,0))</f>
        <v>0</v>
      </c>
      <c r="G380" s="116">
        <f t="shared" si="7"/>
        <v>0</v>
      </c>
    </row>
    <row r="381" spans="1:7">
      <c r="A381" s="119"/>
      <c r="B381" s="120"/>
      <c r="C381" s="120"/>
      <c r="D381" s="121"/>
      <c r="E381" s="123">
        <f>IF(TYPE(VLOOKUP(C382,'Sales_DC Price'!K:L,2,0))=16,0,VLOOKUP(C382,'Sales_DC Price'!K:L,2,0)*D382)</f>
        <v>0</v>
      </c>
      <c r="F381" s="116">
        <f>IF(TYPE(VLOOKUP(C381,'Sales_DC Price'!Q:R,2,0))=16,0,VLOOKUP(C381,'Sales_DC Price'!Q:R,2,0))</f>
        <v>0</v>
      </c>
      <c r="G381" s="116">
        <f t="shared" si="7"/>
        <v>0</v>
      </c>
    </row>
    <row r="382" spans="1:7">
      <c r="A382" s="119"/>
      <c r="B382" s="120"/>
      <c r="C382" s="120"/>
      <c r="D382" s="121"/>
      <c r="E382" s="123">
        <f>IF(TYPE(VLOOKUP(C383,'Sales_DC Price'!K:L,2,0))=16,0,VLOOKUP(C383,'Sales_DC Price'!K:L,2,0)*D383)</f>
        <v>0</v>
      </c>
      <c r="F382" s="116">
        <f>IF(TYPE(VLOOKUP(C382,'Sales_DC Price'!Q:R,2,0))=16,0,VLOOKUP(C382,'Sales_DC Price'!Q:R,2,0))</f>
        <v>0</v>
      </c>
      <c r="G382" s="116">
        <f t="shared" si="7"/>
        <v>0</v>
      </c>
    </row>
    <row r="383" spans="1:7">
      <c r="A383" s="119"/>
      <c r="B383" s="120"/>
      <c r="C383" s="120"/>
      <c r="D383" s="121"/>
      <c r="E383" s="123">
        <f>IF(TYPE(VLOOKUP(C384,'Sales_DC Price'!K:L,2,0))=16,0,VLOOKUP(C384,'Sales_DC Price'!K:L,2,0)*D384)</f>
        <v>0</v>
      </c>
      <c r="F383" s="116">
        <f>IF(TYPE(VLOOKUP(C383,'Sales_DC Price'!Q:R,2,0))=16,0,VLOOKUP(C383,'Sales_DC Price'!Q:R,2,0))</f>
        <v>0</v>
      </c>
      <c r="G383" s="116">
        <f t="shared" si="7"/>
        <v>0</v>
      </c>
    </row>
    <row r="384" spans="1:7">
      <c r="A384" s="119"/>
      <c r="B384" s="120"/>
      <c r="C384" s="120"/>
      <c r="D384" s="121"/>
      <c r="E384" s="123">
        <f>IF(TYPE(VLOOKUP(C385,'Sales_DC Price'!K:L,2,0))=16,0,VLOOKUP(C385,'Sales_DC Price'!K:L,2,0)*D385)</f>
        <v>0</v>
      </c>
      <c r="F384" s="116">
        <f>IF(TYPE(VLOOKUP(C384,'Sales_DC Price'!Q:R,2,0))=16,0,VLOOKUP(C384,'Sales_DC Price'!Q:R,2,0))</f>
        <v>0</v>
      </c>
      <c r="G384" s="116">
        <f t="shared" si="7"/>
        <v>0</v>
      </c>
    </row>
    <row r="385" spans="1:7">
      <c r="A385" s="119"/>
      <c r="B385" s="120"/>
      <c r="C385" s="120"/>
      <c r="D385" s="121"/>
      <c r="E385" s="123">
        <f>IF(TYPE(VLOOKUP(C386,'Sales_DC Price'!K:L,2,0))=16,0,VLOOKUP(C386,'Sales_DC Price'!K:L,2,0)*D386)</f>
        <v>0</v>
      </c>
      <c r="F385" s="116">
        <f>IF(TYPE(VLOOKUP(C385,'Sales_DC Price'!Q:R,2,0))=16,0,VLOOKUP(C385,'Sales_DC Price'!Q:R,2,0))</f>
        <v>0</v>
      </c>
      <c r="G385" s="116">
        <f t="shared" si="7"/>
        <v>0</v>
      </c>
    </row>
    <row r="386" spans="1:7">
      <c r="A386" s="119"/>
      <c r="B386" s="120"/>
      <c r="C386" s="120"/>
      <c r="D386" s="121"/>
      <c r="E386" s="123">
        <f>IF(TYPE(VLOOKUP(C387,'Sales_DC Price'!K:L,2,0))=16,0,VLOOKUP(C387,'Sales_DC Price'!K:L,2,0)*D387)</f>
        <v>0</v>
      </c>
      <c r="F386" s="116">
        <f>IF(TYPE(VLOOKUP(C386,'Sales_DC Price'!Q:R,2,0))=16,0,VLOOKUP(C386,'Sales_DC Price'!Q:R,2,0))</f>
        <v>0</v>
      </c>
      <c r="G386" s="116">
        <f t="shared" ref="G386:G449" si="8">F386*D386</f>
        <v>0</v>
      </c>
    </row>
    <row r="387" spans="1:7">
      <c r="A387" s="119"/>
      <c r="B387" s="120"/>
      <c r="C387" s="120"/>
      <c r="D387" s="121"/>
      <c r="E387" s="123">
        <f>IF(TYPE(VLOOKUP(C388,'Sales_DC Price'!K:L,2,0))=16,0,VLOOKUP(C388,'Sales_DC Price'!K:L,2,0)*D388)</f>
        <v>0</v>
      </c>
      <c r="F387" s="116">
        <f>IF(TYPE(VLOOKUP(C387,'Sales_DC Price'!Q:R,2,0))=16,0,VLOOKUP(C387,'Sales_DC Price'!Q:R,2,0))</f>
        <v>0</v>
      </c>
      <c r="G387" s="116">
        <f t="shared" si="8"/>
        <v>0</v>
      </c>
    </row>
    <row r="388" spans="1:7">
      <c r="A388" s="119"/>
      <c r="B388" s="120"/>
      <c r="C388" s="120"/>
      <c r="D388" s="121"/>
      <c r="E388" s="123">
        <f>IF(TYPE(VLOOKUP(C389,'Sales_DC Price'!K:L,2,0))=16,0,VLOOKUP(C389,'Sales_DC Price'!K:L,2,0)*D389)</f>
        <v>0</v>
      </c>
      <c r="F388" s="116">
        <f>IF(TYPE(VLOOKUP(C388,'Sales_DC Price'!Q:R,2,0))=16,0,VLOOKUP(C388,'Sales_DC Price'!Q:R,2,0))</f>
        <v>0</v>
      </c>
      <c r="G388" s="116">
        <f t="shared" si="8"/>
        <v>0</v>
      </c>
    </row>
    <row r="389" spans="1:7">
      <c r="A389" s="119"/>
      <c r="B389" s="120"/>
      <c r="C389" s="120"/>
      <c r="D389" s="121"/>
      <c r="E389" s="123">
        <f>IF(TYPE(VLOOKUP(C390,'Sales_DC Price'!K:L,2,0))=16,0,VLOOKUP(C390,'Sales_DC Price'!K:L,2,0)*D390)</f>
        <v>0</v>
      </c>
      <c r="F389" s="116">
        <f>IF(TYPE(VLOOKUP(C389,'Sales_DC Price'!Q:R,2,0))=16,0,VLOOKUP(C389,'Sales_DC Price'!Q:R,2,0))</f>
        <v>0</v>
      </c>
      <c r="G389" s="116">
        <f t="shared" si="8"/>
        <v>0</v>
      </c>
    </row>
    <row r="390" spans="1:7">
      <c r="A390" s="119"/>
      <c r="B390" s="120"/>
      <c r="C390" s="120"/>
      <c r="D390" s="121"/>
      <c r="E390" s="123">
        <f>IF(TYPE(VLOOKUP(C391,'Sales_DC Price'!K:L,2,0))=16,0,VLOOKUP(C391,'Sales_DC Price'!K:L,2,0)*D391)</f>
        <v>0</v>
      </c>
      <c r="F390" s="116">
        <f>IF(TYPE(VLOOKUP(C390,'Sales_DC Price'!Q:R,2,0))=16,0,VLOOKUP(C390,'Sales_DC Price'!Q:R,2,0))</f>
        <v>0</v>
      </c>
      <c r="G390" s="116">
        <f t="shared" si="8"/>
        <v>0</v>
      </c>
    </row>
    <row r="391" spans="1:7">
      <c r="A391" s="119"/>
      <c r="B391" s="120"/>
      <c r="C391" s="120"/>
      <c r="D391" s="121"/>
      <c r="E391" s="123">
        <f>IF(TYPE(VLOOKUP(C392,'Sales_DC Price'!K:L,2,0))=16,0,VLOOKUP(C392,'Sales_DC Price'!K:L,2,0)*D392)</f>
        <v>0</v>
      </c>
      <c r="F391" s="116">
        <f>IF(TYPE(VLOOKUP(C391,'Sales_DC Price'!Q:R,2,0))=16,0,VLOOKUP(C391,'Sales_DC Price'!Q:R,2,0))</f>
        <v>0</v>
      </c>
      <c r="G391" s="116">
        <f t="shared" si="8"/>
        <v>0</v>
      </c>
    </row>
    <row r="392" spans="1:7">
      <c r="A392" s="119"/>
      <c r="B392" s="120"/>
      <c r="C392" s="120"/>
      <c r="D392" s="121"/>
      <c r="E392" s="123">
        <f>IF(TYPE(VLOOKUP(C393,'Sales_DC Price'!K:L,2,0))=16,0,VLOOKUP(C393,'Sales_DC Price'!K:L,2,0)*D393)</f>
        <v>0</v>
      </c>
      <c r="F392" s="116">
        <f>IF(TYPE(VLOOKUP(C392,'Sales_DC Price'!Q:R,2,0))=16,0,VLOOKUP(C392,'Sales_DC Price'!Q:R,2,0))</f>
        <v>0</v>
      </c>
      <c r="G392" s="116">
        <f t="shared" si="8"/>
        <v>0</v>
      </c>
    </row>
    <row r="393" spans="1:7">
      <c r="A393" s="119"/>
      <c r="B393" s="120"/>
      <c r="C393" s="120"/>
      <c r="D393" s="121"/>
      <c r="E393" s="123">
        <f>IF(TYPE(VLOOKUP(C394,'Sales_DC Price'!K:L,2,0))=16,0,VLOOKUP(C394,'Sales_DC Price'!K:L,2,0)*D394)</f>
        <v>0</v>
      </c>
      <c r="F393" s="116">
        <f>IF(TYPE(VLOOKUP(C393,'Sales_DC Price'!Q:R,2,0))=16,0,VLOOKUP(C393,'Sales_DC Price'!Q:R,2,0))</f>
        <v>0</v>
      </c>
      <c r="G393" s="116">
        <f t="shared" si="8"/>
        <v>0</v>
      </c>
    </row>
    <row r="394" spans="1:7">
      <c r="A394" s="119"/>
      <c r="B394" s="120"/>
      <c r="C394" s="120"/>
      <c r="D394" s="121"/>
      <c r="E394" s="123">
        <f>IF(TYPE(VLOOKUP(C395,'Sales_DC Price'!K:L,2,0))=16,0,VLOOKUP(C395,'Sales_DC Price'!K:L,2,0)*D395)</f>
        <v>0</v>
      </c>
      <c r="F394" s="116">
        <f>IF(TYPE(VLOOKUP(C394,'Sales_DC Price'!Q:R,2,0))=16,0,VLOOKUP(C394,'Sales_DC Price'!Q:R,2,0))</f>
        <v>0</v>
      </c>
      <c r="G394" s="116">
        <f t="shared" si="8"/>
        <v>0</v>
      </c>
    </row>
    <row r="395" spans="1:7">
      <c r="A395" s="119"/>
      <c r="B395" s="120"/>
      <c r="C395" s="120"/>
      <c r="D395" s="121"/>
      <c r="E395" s="123">
        <f>IF(TYPE(VLOOKUP(C396,'Sales_DC Price'!K:L,2,0))=16,0,VLOOKUP(C396,'Sales_DC Price'!K:L,2,0)*D396)</f>
        <v>0</v>
      </c>
      <c r="F395" s="116">
        <f>IF(TYPE(VLOOKUP(C395,'Sales_DC Price'!Q:R,2,0))=16,0,VLOOKUP(C395,'Sales_DC Price'!Q:R,2,0))</f>
        <v>0</v>
      </c>
      <c r="G395" s="116">
        <f t="shared" si="8"/>
        <v>0</v>
      </c>
    </row>
    <row r="396" spans="1:7">
      <c r="A396" s="119"/>
      <c r="B396" s="120"/>
      <c r="C396" s="120"/>
      <c r="D396" s="121"/>
      <c r="E396" s="123">
        <f>IF(TYPE(VLOOKUP(C397,'Sales_DC Price'!K:L,2,0))=16,0,VLOOKUP(C397,'Sales_DC Price'!K:L,2,0)*D397)</f>
        <v>0</v>
      </c>
      <c r="F396" s="116">
        <f>IF(TYPE(VLOOKUP(C396,'Sales_DC Price'!Q:R,2,0))=16,0,VLOOKUP(C396,'Sales_DC Price'!Q:R,2,0))</f>
        <v>0</v>
      </c>
      <c r="G396" s="116">
        <f t="shared" si="8"/>
        <v>0</v>
      </c>
    </row>
    <row r="397" spans="1:7">
      <c r="A397" s="119"/>
      <c r="B397" s="120"/>
      <c r="C397" s="120"/>
      <c r="D397" s="121"/>
      <c r="E397" s="123">
        <f>IF(TYPE(VLOOKUP(C398,'Sales_DC Price'!K:L,2,0))=16,0,VLOOKUP(C398,'Sales_DC Price'!K:L,2,0)*D398)</f>
        <v>0</v>
      </c>
      <c r="F397" s="116">
        <f>IF(TYPE(VLOOKUP(C397,'Sales_DC Price'!Q:R,2,0))=16,0,VLOOKUP(C397,'Sales_DC Price'!Q:R,2,0))</f>
        <v>0</v>
      </c>
      <c r="G397" s="116">
        <f t="shared" si="8"/>
        <v>0</v>
      </c>
    </row>
    <row r="398" spans="1:7">
      <c r="A398" s="119"/>
      <c r="B398" s="120"/>
      <c r="C398" s="120"/>
      <c r="D398" s="121"/>
      <c r="E398" s="123">
        <f>IF(TYPE(VLOOKUP(C399,'Sales_DC Price'!K:L,2,0))=16,0,VLOOKUP(C399,'Sales_DC Price'!K:L,2,0)*D399)</f>
        <v>0</v>
      </c>
      <c r="F398" s="116">
        <f>IF(TYPE(VLOOKUP(C398,'Sales_DC Price'!Q:R,2,0))=16,0,VLOOKUP(C398,'Sales_DC Price'!Q:R,2,0))</f>
        <v>0</v>
      </c>
      <c r="G398" s="116">
        <f t="shared" si="8"/>
        <v>0</v>
      </c>
    </row>
    <row r="399" spans="1:7">
      <c r="A399" s="119"/>
      <c r="B399" s="120"/>
      <c r="C399" s="120"/>
      <c r="D399" s="121"/>
      <c r="E399" s="123">
        <f>IF(TYPE(VLOOKUP(C400,'Sales_DC Price'!K:L,2,0))=16,0,VLOOKUP(C400,'Sales_DC Price'!K:L,2,0)*D400)</f>
        <v>0</v>
      </c>
      <c r="F399" s="116">
        <f>IF(TYPE(VLOOKUP(C399,'Sales_DC Price'!Q:R,2,0))=16,0,VLOOKUP(C399,'Sales_DC Price'!Q:R,2,0))</f>
        <v>0</v>
      </c>
      <c r="G399" s="116">
        <f t="shared" si="8"/>
        <v>0</v>
      </c>
    </row>
    <row r="400" spans="1:7">
      <c r="A400" s="119"/>
      <c r="B400" s="120"/>
      <c r="C400" s="120"/>
      <c r="D400" s="121"/>
      <c r="E400" s="123">
        <f>IF(TYPE(VLOOKUP(C401,'Sales_DC Price'!K:L,2,0))=16,0,VLOOKUP(C401,'Sales_DC Price'!K:L,2,0)*D401)</f>
        <v>0</v>
      </c>
      <c r="F400" s="116">
        <f>IF(TYPE(VLOOKUP(C400,'Sales_DC Price'!Q:R,2,0))=16,0,VLOOKUP(C400,'Sales_DC Price'!Q:R,2,0))</f>
        <v>0</v>
      </c>
      <c r="G400" s="116">
        <f t="shared" si="8"/>
        <v>0</v>
      </c>
    </row>
    <row r="401" spans="1:7">
      <c r="A401" s="119"/>
      <c r="B401" s="120"/>
      <c r="C401" s="120"/>
      <c r="D401" s="121"/>
      <c r="E401" s="123">
        <f>IF(TYPE(VLOOKUP(C402,'Sales_DC Price'!K:L,2,0))=16,0,VLOOKUP(C402,'Sales_DC Price'!K:L,2,0)*D402)</f>
        <v>0</v>
      </c>
      <c r="F401" s="116">
        <f>IF(TYPE(VLOOKUP(C401,'Sales_DC Price'!Q:R,2,0))=16,0,VLOOKUP(C401,'Sales_DC Price'!Q:R,2,0))</f>
        <v>0</v>
      </c>
      <c r="G401" s="116">
        <f t="shared" si="8"/>
        <v>0</v>
      </c>
    </row>
    <row r="402" spans="1:7">
      <c r="A402" s="119"/>
      <c r="B402" s="120"/>
      <c r="C402" s="120"/>
      <c r="D402" s="121"/>
      <c r="E402" s="123">
        <f>IF(TYPE(VLOOKUP(C403,'Sales_DC Price'!K:L,2,0))=16,0,VLOOKUP(C403,'Sales_DC Price'!K:L,2,0)*D403)</f>
        <v>0</v>
      </c>
      <c r="F402" s="116">
        <f>IF(TYPE(VLOOKUP(C402,'Sales_DC Price'!Q:R,2,0))=16,0,VLOOKUP(C402,'Sales_DC Price'!Q:R,2,0))</f>
        <v>0</v>
      </c>
      <c r="G402" s="116">
        <f t="shared" si="8"/>
        <v>0</v>
      </c>
    </row>
    <row r="403" spans="1:7">
      <c r="A403" s="119"/>
      <c r="B403" s="120"/>
      <c r="C403" s="120"/>
      <c r="D403" s="121"/>
      <c r="E403" s="123">
        <f>IF(TYPE(VLOOKUP(C404,'Sales_DC Price'!K:L,2,0))=16,0,VLOOKUP(C404,'Sales_DC Price'!K:L,2,0)*D404)</f>
        <v>0</v>
      </c>
      <c r="F403" s="116">
        <f>IF(TYPE(VLOOKUP(C403,'Sales_DC Price'!Q:R,2,0))=16,0,VLOOKUP(C403,'Sales_DC Price'!Q:R,2,0))</f>
        <v>0</v>
      </c>
      <c r="G403" s="116">
        <f t="shared" si="8"/>
        <v>0</v>
      </c>
    </row>
    <row r="404" spans="1:7">
      <c r="A404" s="119"/>
      <c r="B404" s="120"/>
      <c r="C404" s="120"/>
      <c r="D404" s="121"/>
      <c r="E404" s="123">
        <f>IF(TYPE(VLOOKUP(C405,'Sales_DC Price'!K:L,2,0))=16,0,VLOOKUP(C405,'Sales_DC Price'!K:L,2,0)*D405)</f>
        <v>0</v>
      </c>
      <c r="F404" s="116">
        <f>IF(TYPE(VLOOKUP(C404,'Sales_DC Price'!Q:R,2,0))=16,0,VLOOKUP(C404,'Sales_DC Price'!Q:R,2,0))</f>
        <v>0</v>
      </c>
      <c r="G404" s="116">
        <f t="shared" si="8"/>
        <v>0</v>
      </c>
    </row>
    <row r="405" spans="1:7">
      <c r="A405" s="119"/>
      <c r="B405" s="120"/>
      <c r="C405" s="120"/>
      <c r="D405" s="121"/>
      <c r="E405" s="123">
        <f>IF(TYPE(VLOOKUP(C406,'Sales_DC Price'!K:L,2,0))=16,0,VLOOKUP(C406,'Sales_DC Price'!K:L,2,0)*D406)</f>
        <v>0</v>
      </c>
      <c r="F405" s="116">
        <f>IF(TYPE(VLOOKUP(C405,'Sales_DC Price'!Q:R,2,0))=16,0,VLOOKUP(C405,'Sales_DC Price'!Q:R,2,0))</f>
        <v>0</v>
      </c>
      <c r="G405" s="116">
        <f t="shared" si="8"/>
        <v>0</v>
      </c>
    </row>
    <row r="406" spans="1:7">
      <c r="A406" s="119"/>
      <c r="B406" s="120"/>
      <c r="C406" s="120"/>
      <c r="D406" s="121"/>
      <c r="E406" s="123">
        <f>IF(TYPE(VLOOKUP(C407,'Sales_DC Price'!K:L,2,0))=16,0,VLOOKUP(C407,'Sales_DC Price'!K:L,2,0)*D407)</f>
        <v>0</v>
      </c>
      <c r="F406" s="116">
        <f>IF(TYPE(VLOOKUP(C406,'Sales_DC Price'!Q:R,2,0))=16,0,VLOOKUP(C406,'Sales_DC Price'!Q:R,2,0))</f>
        <v>0</v>
      </c>
      <c r="G406" s="116">
        <f t="shared" si="8"/>
        <v>0</v>
      </c>
    </row>
    <row r="407" spans="1:7">
      <c r="A407" s="119"/>
      <c r="B407" s="120"/>
      <c r="C407" s="120"/>
      <c r="D407" s="121"/>
      <c r="E407" s="123">
        <f>IF(TYPE(VLOOKUP(C408,'Sales_DC Price'!K:L,2,0))=16,0,VLOOKUP(C408,'Sales_DC Price'!K:L,2,0)*D408)</f>
        <v>0</v>
      </c>
      <c r="F407" s="116">
        <f>IF(TYPE(VLOOKUP(C407,'Sales_DC Price'!Q:R,2,0))=16,0,VLOOKUP(C407,'Sales_DC Price'!Q:R,2,0))</f>
        <v>0</v>
      </c>
      <c r="G407" s="116">
        <f t="shared" si="8"/>
        <v>0</v>
      </c>
    </row>
    <row r="408" spans="1:7">
      <c r="A408" s="119"/>
      <c r="B408" s="120"/>
      <c r="C408" s="120"/>
      <c r="D408" s="121"/>
      <c r="E408" s="123">
        <f>IF(TYPE(VLOOKUP(C409,'Sales_DC Price'!K:L,2,0))=16,0,VLOOKUP(C409,'Sales_DC Price'!K:L,2,0)*D409)</f>
        <v>0</v>
      </c>
      <c r="F408" s="116">
        <f>IF(TYPE(VLOOKUP(C408,'Sales_DC Price'!Q:R,2,0))=16,0,VLOOKUP(C408,'Sales_DC Price'!Q:R,2,0))</f>
        <v>0</v>
      </c>
      <c r="G408" s="116">
        <f t="shared" si="8"/>
        <v>0</v>
      </c>
    </row>
    <row r="409" spans="1:7">
      <c r="A409" s="119"/>
      <c r="B409" s="120"/>
      <c r="C409" s="120"/>
      <c r="D409" s="121"/>
      <c r="E409" s="123">
        <f>IF(TYPE(VLOOKUP(C410,'Sales_DC Price'!K:L,2,0))=16,0,VLOOKUP(C410,'Sales_DC Price'!K:L,2,0)*D410)</f>
        <v>0</v>
      </c>
      <c r="F409" s="116">
        <f>IF(TYPE(VLOOKUP(C409,'Sales_DC Price'!Q:R,2,0))=16,0,VLOOKUP(C409,'Sales_DC Price'!Q:R,2,0))</f>
        <v>0</v>
      </c>
      <c r="G409" s="116">
        <f t="shared" si="8"/>
        <v>0</v>
      </c>
    </row>
    <row r="410" spans="1:7">
      <c r="A410" s="119"/>
      <c r="B410" s="120"/>
      <c r="C410" s="120"/>
      <c r="D410" s="121"/>
      <c r="E410" s="123">
        <f>IF(TYPE(VLOOKUP(C411,'Sales_DC Price'!K:L,2,0))=16,0,VLOOKUP(C411,'Sales_DC Price'!K:L,2,0)*D411)</f>
        <v>0</v>
      </c>
      <c r="F410" s="116">
        <f>IF(TYPE(VLOOKUP(C410,'Sales_DC Price'!Q:R,2,0))=16,0,VLOOKUP(C410,'Sales_DC Price'!Q:R,2,0))</f>
        <v>0</v>
      </c>
      <c r="G410" s="116">
        <f t="shared" si="8"/>
        <v>0</v>
      </c>
    </row>
    <row r="411" spans="1:7">
      <c r="A411" s="119"/>
      <c r="B411" s="120"/>
      <c r="C411" s="120"/>
      <c r="D411" s="121"/>
      <c r="E411" s="123">
        <f>IF(TYPE(VLOOKUP(C412,'Sales_DC Price'!K:L,2,0))=16,0,VLOOKUP(C412,'Sales_DC Price'!K:L,2,0)*D412)</f>
        <v>0</v>
      </c>
      <c r="F411" s="116">
        <f>IF(TYPE(VLOOKUP(C411,'Sales_DC Price'!Q:R,2,0))=16,0,VLOOKUP(C411,'Sales_DC Price'!Q:R,2,0))</f>
        <v>0</v>
      </c>
      <c r="G411" s="116">
        <f t="shared" si="8"/>
        <v>0</v>
      </c>
    </row>
    <row r="412" spans="1:7">
      <c r="A412" s="119"/>
      <c r="B412" s="120"/>
      <c r="C412" s="120"/>
      <c r="D412" s="121"/>
      <c r="E412" s="123">
        <f>IF(TYPE(VLOOKUP(C413,'Sales_DC Price'!K:L,2,0))=16,0,VLOOKUP(C413,'Sales_DC Price'!K:L,2,0)*D413)</f>
        <v>0</v>
      </c>
      <c r="F412" s="116">
        <f>IF(TYPE(VLOOKUP(C412,'Sales_DC Price'!Q:R,2,0))=16,0,VLOOKUP(C412,'Sales_DC Price'!Q:R,2,0))</f>
        <v>0</v>
      </c>
      <c r="G412" s="116">
        <f t="shared" si="8"/>
        <v>0</v>
      </c>
    </row>
    <row r="413" spans="1:7">
      <c r="A413" s="119"/>
      <c r="B413" s="120"/>
      <c r="C413" s="120"/>
      <c r="D413" s="121"/>
      <c r="E413" s="123">
        <f>IF(TYPE(VLOOKUP(C414,'Sales_DC Price'!K:L,2,0))=16,0,VLOOKUP(C414,'Sales_DC Price'!K:L,2,0)*D414)</f>
        <v>0</v>
      </c>
      <c r="F413" s="116">
        <f>IF(TYPE(VLOOKUP(C413,'Sales_DC Price'!Q:R,2,0))=16,0,VLOOKUP(C413,'Sales_DC Price'!Q:R,2,0))</f>
        <v>0</v>
      </c>
      <c r="G413" s="116">
        <f t="shared" si="8"/>
        <v>0</v>
      </c>
    </row>
    <row r="414" spans="1:7">
      <c r="A414" s="119"/>
      <c r="B414" s="120"/>
      <c r="C414" s="120"/>
      <c r="D414" s="121"/>
      <c r="E414" s="123">
        <f>IF(TYPE(VLOOKUP(C415,'Sales_DC Price'!K:L,2,0))=16,0,VLOOKUP(C415,'Sales_DC Price'!K:L,2,0)*D415)</f>
        <v>0</v>
      </c>
      <c r="F414" s="116">
        <f>IF(TYPE(VLOOKUP(C414,'Sales_DC Price'!Q:R,2,0))=16,0,VLOOKUP(C414,'Sales_DC Price'!Q:R,2,0))</f>
        <v>0</v>
      </c>
      <c r="G414" s="116">
        <f t="shared" si="8"/>
        <v>0</v>
      </c>
    </row>
    <row r="415" spans="1:7">
      <c r="A415" s="119"/>
      <c r="B415" s="120"/>
      <c r="C415" s="120"/>
      <c r="D415" s="121"/>
      <c r="E415" s="123">
        <f>IF(TYPE(VLOOKUP(C416,'Sales_DC Price'!K:L,2,0))=16,0,VLOOKUP(C416,'Sales_DC Price'!K:L,2,0)*D416)</f>
        <v>0</v>
      </c>
      <c r="F415" s="116">
        <f>IF(TYPE(VLOOKUP(C415,'Sales_DC Price'!Q:R,2,0))=16,0,VLOOKUP(C415,'Sales_DC Price'!Q:R,2,0))</f>
        <v>0</v>
      </c>
      <c r="G415" s="116">
        <f t="shared" si="8"/>
        <v>0</v>
      </c>
    </row>
    <row r="416" spans="1:7">
      <c r="A416" s="119"/>
      <c r="B416" s="120"/>
      <c r="C416" s="120"/>
      <c r="D416" s="121"/>
      <c r="E416" s="123">
        <f>IF(TYPE(VLOOKUP(C417,'Sales_DC Price'!K:L,2,0))=16,0,VLOOKUP(C417,'Sales_DC Price'!K:L,2,0)*D417)</f>
        <v>0</v>
      </c>
      <c r="F416" s="116">
        <f>IF(TYPE(VLOOKUP(C416,'Sales_DC Price'!Q:R,2,0))=16,0,VLOOKUP(C416,'Sales_DC Price'!Q:R,2,0))</f>
        <v>0</v>
      </c>
      <c r="G416" s="116">
        <f t="shared" si="8"/>
        <v>0</v>
      </c>
    </row>
    <row r="417" spans="1:7">
      <c r="A417" s="119"/>
      <c r="B417" s="120"/>
      <c r="C417" s="120"/>
      <c r="D417" s="121"/>
      <c r="E417" s="123">
        <f>IF(TYPE(VLOOKUP(C418,'Sales_DC Price'!K:L,2,0))=16,0,VLOOKUP(C418,'Sales_DC Price'!K:L,2,0)*D418)</f>
        <v>0</v>
      </c>
      <c r="F417" s="116">
        <f>IF(TYPE(VLOOKUP(C417,'Sales_DC Price'!Q:R,2,0))=16,0,VLOOKUP(C417,'Sales_DC Price'!Q:R,2,0))</f>
        <v>0</v>
      </c>
      <c r="G417" s="116">
        <f t="shared" si="8"/>
        <v>0</v>
      </c>
    </row>
    <row r="418" spans="1:7">
      <c r="A418" s="119"/>
      <c r="B418" s="120"/>
      <c r="C418" s="120"/>
      <c r="D418" s="121"/>
      <c r="E418" s="123">
        <f>IF(TYPE(VLOOKUP(C419,'Sales_DC Price'!K:L,2,0))=16,0,VLOOKUP(C419,'Sales_DC Price'!K:L,2,0)*D419)</f>
        <v>0</v>
      </c>
      <c r="F418" s="116">
        <f>IF(TYPE(VLOOKUP(C418,'Sales_DC Price'!Q:R,2,0))=16,0,VLOOKUP(C418,'Sales_DC Price'!Q:R,2,0))</f>
        <v>0</v>
      </c>
      <c r="G418" s="116">
        <f t="shared" si="8"/>
        <v>0</v>
      </c>
    </row>
    <row r="419" spans="1:7">
      <c r="A419" s="119"/>
      <c r="B419" s="120"/>
      <c r="C419" s="120"/>
      <c r="D419" s="121"/>
      <c r="E419" s="123">
        <f>IF(TYPE(VLOOKUP(C420,'Sales_DC Price'!K:L,2,0))=16,0,VLOOKUP(C420,'Sales_DC Price'!K:L,2,0)*D420)</f>
        <v>0</v>
      </c>
      <c r="F419" s="116">
        <f>IF(TYPE(VLOOKUP(C419,'Sales_DC Price'!Q:R,2,0))=16,0,VLOOKUP(C419,'Sales_DC Price'!Q:R,2,0))</f>
        <v>0</v>
      </c>
      <c r="G419" s="116">
        <f t="shared" si="8"/>
        <v>0</v>
      </c>
    </row>
    <row r="420" spans="1:7">
      <c r="A420" s="119"/>
      <c r="B420" s="120"/>
      <c r="C420" s="120"/>
      <c r="D420" s="121"/>
      <c r="E420" s="123">
        <f>IF(TYPE(VLOOKUP(C421,'Sales_DC Price'!K:L,2,0))=16,0,VLOOKUP(C421,'Sales_DC Price'!K:L,2,0)*D421)</f>
        <v>0</v>
      </c>
      <c r="F420" s="116">
        <f>IF(TYPE(VLOOKUP(C420,'Sales_DC Price'!Q:R,2,0))=16,0,VLOOKUP(C420,'Sales_DC Price'!Q:R,2,0))</f>
        <v>0</v>
      </c>
      <c r="G420" s="116">
        <f t="shared" si="8"/>
        <v>0</v>
      </c>
    </row>
    <row r="421" spans="1:7">
      <c r="A421" s="119"/>
      <c r="B421" s="120"/>
      <c r="C421" s="120"/>
      <c r="D421" s="121"/>
      <c r="E421" s="123">
        <f>IF(TYPE(VLOOKUP(C422,'Sales_DC Price'!K:L,2,0))=16,0,VLOOKUP(C422,'Sales_DC Price'!K:L,2,0)*D422)</f>
        <v>0</v>
      </c>
      <c r="F421" s="116">
        <f>IF(TYPE(VLOOKUP(C421,'Sales_DC Price'!Q:R,2,0))=16,0,VLOOKUP(C421,'Sales_DC Price'!Q:R,2,0))</f>
        <v>0</v>
      </c>
      <c r="G421" s="116">
        <f t="shared" si="8"/>
        <v>0</v>
      </c>
    </row>
    <row r="422" spans="1:7">
      <c r="A422" s="119"/>
      <c r="B422" s="120"/>
      <c r="C422" s="120"/>
      <c r="D422" s="121"/>
      <c r="E422" s="123">
        <f>IF(TYPE(VLOOKUP(C423,'Sales_DC Price'!K:L,2,0))=16,0,VLOOKUP(C423,'Sales_DC Price'!K:L,2,0)*D423)</f>
        <v>0</v>
      </c>
      <c r="F422" s="116">
        <f>IF(TYPE(VLOOKUP(C422,'Sales_DC Price'!Q:R,2,0))=16,0,VLOOKUP(C422,'Sales_DC Price'!Q:R,2,0))</f>
        <v>0</v>
      </c>
      <c r="G422" s="116">
        <f t="shared" si="8"/>
        <v>0</v>
      </c>
    </row>
    <row r="423" spans="1:7">
      <c r="A423" s="119"/>
      <c r="B423" s="120"/>
      <c r="C423" s="120"/>
      <c r="D423" s="121"/>
      <c r="E423" s="123">
        <f>IF(TYPE(VLOOKUP(C424,'Sales_DC Price'!K:L,2,0))=16,0,VLOOKUP(C424,'Sales_DC Price'!K:L,2,0)*D424)</f>
        <v>0</v>
      </c>
      <c r="F423" s="116">
        <f>IF(TYPE(VLOOKUP(C423,'Sales_DC Price'!Q:R,2,0))=16,0,VLOOKUP(C423,'Sales_DC Price'!Q:R,2,0))</f>
        <v>0</v>
      </c>
      <c r="G423" s="116">
        <f t="shared" si="8"/>
        <v>0</v>
      </c>
    </row>
    <row r="424" spans="1:7">
      <c r="A424" s="119"/>
      <c r="B424" s="120"/>
      <c r="C424" s="120"/>
      <c r="D424" s="121"/>
      <c r="E424" s="123">
        <f>IF(TYPE(VLOOKUP(C425,'Sales_DC Price'!K:L,2,0))=16,0,VLOOKUP(C425,'Sales_DC Price'!K:L,2,0)*D425)</f>
        <v>0</v>
      </c>
      <c r="F424" s="116">
        <f>IF(TYPE(VLOOKUP(C424,'Sales_DC Price'!Q:R,2,0))=16,0,VLOOKUP(C424,'Sales_DC Price'!Q:R,2,0))</f>
        <v>0</v>
      </c>
      <c r="G424" s="116">
        <f t="shared" si="8"/>
        <v>0</v>
      </c>
    </row>
    <row r="425" spans="1:7">
      <c r="A425" s="119"/>
      <c r="B425" s="120"/>
      <c r="C425" s="120"/>
      <c r="D425" s="121"/>
      <c r="E425" s="123">
        <f>IF(TYPE(VLOOKUP(C426,'Sales_DC Price'!K:L,2,0))=16,0,VLOOKUP(C426,'Sales_DC Price'!K:L,2,0)*D426)</f>
        <v>0</v>
      </c>
      <c r="F425" s="116">
        <f>IF(TYPE(VLOOKUP(C425,'Sales_DC Price'!Q:R,2,0))=16,0,VLOOKUP(C425,'Sales_DC Price'!Q:R,2,0))</f>
        <v>0</v>
      </c>
      <c r="G425" s="116">
        <f t="shared" si="8"/>
        <v>0</v>
      </c>
    </row>
    <row r="426" spans="1:7">
      <c r="A426" s="119"/>
      <c r="B426" s="120"/>
      <c r="C426" s="120"/>
      <c r="D426" s="121"/>
      <c r="E426" s="123">
        <f>IF(TYPE(VLOOKUP(C427,'Sales_DC Price'!K:L,2,0))=16,0,VLOOKUP(C427,'Sales_DC Price'!K:L,2,0)*D427)</f>
        <v>0</v>
      </c>
      <c r="F426" s="116">
        <f>IF(TYPE(VLOOKUP(C426,'Sales_DC Price'!Q:R,2,0))=16,0,VLOOKUP(C426,'Sales_DC Price'!Q:R,2,0))</f>
        <v>0</v>
      </c>
      <c r="G426" s="116">
        <f t="shared" si="8"/>
        <v>0</v>
      </c>
    </row>
    <row r="427" spans="1:7">
      <c r="A427" s="119"/>
      <c r="B427" s="120"/>
      <c r="C427" s="120"/>
      <c r="D427" s="121"/>
      <c r="E427" s="123">
        <f>IF(TYPE(VLOOKUP(C428,'Sales_DC Price'!K:L,2,0))=16,0,VLOOKUP(C428,'Sales_DC Price'!K:L,2,0)*D428)</f>
        <v>0</v>
      </c>
      <c r="F427" s="116">
        <f>IF(TYPE(VLOOKUP(C427,'Sales_DC Price'!Q:R,2,0))=16,0,VLOOKUP(C427,'Sales_DC Price'!Q:R,2,0))</f>
        <v>0</v>
      </c>
      <c r="G427" s="116">
        <f t="shared" si="8"/>
        <v>0</v>
      </c>
    </row>
    <row r="428" spans="1:7">
      <c r="A428" s="119"/>
      <c r="B428" s="120"/>
      <c r="C428" s="120"/>
      <c r="D428" s="121"/>
      <c r="E428" s="123">
        <f>IF(TYPE(VLOOKUP(C429,'Sales_DC Price'!K:L,2,0))=16,0,VLOOKUP(C429,'Sales_DC Price'!K:L,2,0)*D429)</f>
        <v>0</v>
      </c>
      <c r="F428" s="116">
        <f>IF(TYPE(VLOOKUP(C428,'Sales_DC Price'!Q:R,2,0))=16,0,VLOOKUP(C428,'Sales_DC Price'!Q:R,2,0))</f>
        <v>0</v>
      </c>
      <c r="G428" s="116">
        <f t="shared" si="8"/>
        <v>0</v>
      </c>
    </row>
    <row r="429" spans="1:7">
      <c r="A429" s="119"/>
      <c r="B429" s="120"/>
      <c r="C429" s="120"/>
      <c r="D429" s="121"/>
      <c r="E429" s="123">
        <f>IF(TYPE(VLOOKUP(C430,'Sales_DC Price'!K:L,2,0))=16,0,VLOOKUP(C430,'Sales_DC Price'!K:L,2,0)*D430)</f>
        <v>0</v>
      </c>
      <c r="F429" s="116">
        <f>IF(TYPE(VLOOKUP(C429,'Sales_DC Price'!Q:R,2,0))=16,0,VLOOKUP(C429,'Sales_DC Price'!Q:R,2,0))</f>
        <v>0</v>
      </c>
      <c r="G429" s="116">
        <f t="shared" si="8"/>
        <v>0</v>
      </c>
    </row>
    <row r="430" spans="1:7">
      <c r="A430" s="119"/>
      <c r="B430" s="120"/>
      <c r="C430" s="120"/>
      <c r="D430" s="121"/>
      <c r="E430" s="123">
        <f>IF(TYPE(VLOOKUP(C431,'Sales_DC Price'!K:L,2,0))=16,0,VLOOKUP(C431,'Sales_DC Price'!K:L,2,0)*D431)</f>
        <v>0</v>
      </c>
      <c r="F430" s="116">
        <f>IF(TYPE(VLOOKUP(C430,'Sales_DC Price'!Q:R,2,0))=16,0,VLOOKUP(C430,'Sales_DC Price'!Q:R,2,0))</f>
        <v>0</v>
      </c>
      <c r="G430" s="116">
        <f t="shared" si="8"/>
        <v>0</v>
      </c>
    </row>
    <row r="431" spans="1:7">
      <c r="A431" s="119"/>
      <c r="B431" s="120"/>
      <c r="C431" s="120"/>
      <c r="D431" s="121"/>
      <c r="E431" s="123">
        <f>IF(TYPE(VLOOKUP(C432,'Sales_DC Price'!K:L,2,0))=16,0,VLOOKUP(C432,'Sales_DC Price'!K:L,2,0)*D432)</f>
        <v>0</v>
      </c>
      <c r="F431" s="116">
        <f>IF(TYPE(VLOOKUP(C431,'Sales_DC Price'!Q:R,2,0))=16,0,VLOOKUP(C431,'Sales_DC Price'!Q:R,2,0))</f>
        <v>0</v>
      </c>
      <c r="G431" s="116">
        <f t="shared" si="8"/>
        <v>0</v>
      </c>
    </row>
    <row r="432" spans="1:7">
      <c r="A432" s="119"/>
      <c r="B432" s="120"/>
      <c r="C432" s="120"/>
      <c r="D432" s="121"/>
      <c r="E432" s="123">
        <f>IF(TYPE(VLOOKUP(C433,'Sales_DC Price'!K:L,2,0))=16,0,VLOOKUP(C433,'Sales_DC Price'!K:L,2,0)*D433)</f>
        <v>0</v>
      </c>
      <c r="F432" s="116">
        <f>IF(TYPE(VLOOKUP(C432,'Sales_DC Price'!Q:R,2,0))=16,0,VLOOKUP(C432,'Sales_DC Price'!Q:R,2,0))</f>
        <v>0</v>
      </c>
      <c r="G432" s="116">
        <f t="shared" si="8"/>
        <v>0</v>
      </c>
    </row>
    <row r="433" spans="1:7">
      <c r="A433" s="119"/>
      <c r="B433" s="120"/>
      <c r="C433" s="120"/>
      <c r="D433" s="121"/>
      <c r="E433" s="123">
        <f>IF(TYPE(VLOOKUP(C434,'Sales_DC Price'!K:L,2,0))=16,0,VLOOKUP(C434,'Sales_DC Price'!K:L,2,0)*D434)</f>
        <v>0</v>
      </c>
      <c r="F433" s="116">
        <f>IF(TYPE(VLOOKUP(C433,'Sales_DC Price'!Q:R,2,0))=16,0,VLOOKUP(C433,'Sales_DC Price'!Q:R,2,0))</f>
        <v>0</v>
      </c>
      <c r="G433" s="116">
        <f t="shared" si="8"/>
        <v>0</v>
      </c>
    </row>
    <row r="434" spans="1:7">
      <c r="A434" s="119"/>
      <c r="B434" s="120"/>
      <c r="C434" s="120"/>
      <c r="D434" s="121"/>
      <c r="E434" s="123">
        <f>IF(TYPE(VLOOKUP(C435,'Sales_DC Price'!K:L,2,0))=16,0,VLOOKUP(C435,'Sales_DC Price'!K:L,2,0)*D435)</f>
        <v>0</v>
      </c>
      <c r="F434" s="116">
        <f>IF(TYPE(VLOOKUP(C434,'Sales_DC Price'!Q:R,2,0))=16,0,VLOOKUP(C434,'Sales_DC Price'!Q:R,2,0))</f>
        <v>0</v>
      </c>
      <c r="G434" s="116">
        <f t="shared" si="8"/>
        <v>0</v>
      </c>
    </row>
    <row r="435" spans="1:7">
      <c r="A435" s="119"/>
      <c r="B435" s="120"/>
      <c r="C435" s="120"/>
      <c r="D435" s="121"/>
      <c r="E435" s="123">
        <f>IF(TYPE(VLOOKUP(C436,'Sales_DC Price'!K:L,2,0))=16,0,VLOOKUP(C436,'Sales_DC Price'!K:L,2,0)*D436)</f>
        <v>0</v>
      </c>
      <c r="F435" s="116">
        <f>IF(TYPE(VLOOKUP(C435,'Sales_DC Price'!Q:R,2,0))=16,0,VLOOKUP(C435,'Sales_DC Price'!Q:R,2,0))</f>
        <v>0</v>
      </c>
      <c r="G435" s="116">
        <f t="shared" si="8"/>
        <v>0</v>
      </c>
    </row>
    <row r="436" spans="1:7">
      <c r="A436" s="119"/>
      <c r="B436" s="120"/>
      <c r="C436" s="120"/>
      <c r="D436" s="121"/>
      <c r="E436" s="123">
        <f>IF(TYPE(VLOOKUP(C437,'Sales_DC Price'!K:L,2,0))=16,0,VLOOKUP(C437,'Sales_DC Price'!K:L,2,0)*D437)</f>
        <v>0</v>
      </c>
      <c r="F436" s="116">
        <f>IF(TYPE(VLOOKUP(C436,'Sales_DC Price'!Q:R,2,0))=16,0,VLOOKUP(C436,'Sales_DC Price'!Q:R,2,0))</f>
        <v>0</v>
      </c>
      <c r="G436" s="116">
        <f t="shared" si="8"/>
        <v>0</v>
      </c>
    </row>
    <row r="437" spans="1:7">
      <c r="A437" s="119"/>
      <c r="B437" s="120"/>
      <c r="C437" s="120"/>
      <c r="D437" s="121"/>
      <c r="E437" s="123">
        <f>IF(TYPE(VLOOKUP(C438,'Sales_DC Price'!K:L,2,0))=16,0,VLOOKUP(C438,'Sales_DC Price'!K:L,2,0)*D438)</f>
        <v>0</v>
      </c>
      <c r="F437" s="116">
        <f>IF(TYPE(VLOOKUP(C437,'Sales_DC Price'!Q:R,2,0))=16,0,VLOOKUP(C437,'Sales_DC Price'!Q:R,2,0))</f>
        <v>0</v>
      </c>
      <c r="G437" s="116">
        <f t="shared" si="8"/>
        <v>0</v>
      </c>
    </row>
    <row r="438" spans="1:7">
      <c r="A438" s="119"/>
      <c r="B438" s="120"/>
      <c r="C438" s="120"/>
      <c r="D438" s="121"/>
      <c r="E438" s="123">
        <f>IF(TYPE(VLOOKUP(C439,'Sales_DC Price'!K:L,2,0))=16,0,VLOOKUP(C439,'Sales_DC Price'!K:L,2,0)*D439)</f>
        <v>0</v>
      </c>
      <c r="F438" s="116">
        <f>IF(TYPE(VLOOKUP(C438,'Sales_DC Price'!Q:R,2,0))=16,0,VLOOKUP(C438,'Sales_DC Price'!Q:R,2,0))</f>
        <v>0</v>
      </c>
      <c r="G438" s="116">
        <f t="shared" si="8"/>
        <v>0</v>
      </c>
    </row>
    <row r="439" spans="1:7">
      <c r="A439" s="119"/>
      <c r="B439" s="120"/>
      <c r="C439" s="120"/>
      <c r="D439" s="121"/>
      <c r="E439" s="123">
        <f>IF(TYPE(VLOOKUP(C440,'Sales_DC Price'!K:L,2,0))=16,0,VLOOKUP(C440,'Sales_DC Price'!K:L,2,0)*D440)</f>
        <v>0</v>
      </c>
      <c r="F439" s="116">
        <f>IF(TYPE(VLOOKUP(C439,'Sales_DC Price'!Q:R,2,0))=16,0,VLOOKUP(C439,'Sales_DC Price'!Q:R,2,0))</f>
        <v>0</v>
      </c>
      <c r="G439" s="116">
        <f t="shared" si="8"/>
        <v>0</v>
      </c>
    </row>
    <row r="440" spans="1:7">
      <c r="A440" s="119"/>
      <c r="B440" s="120"/>
      <c r="C440" s="120"/>
      <c r="D440" s="121"/>
      <c r="E440" s="123">
        <f>IF(TYPE(VLOOKUP(C441,'Sales_DC Price'!K:L,2,0))=16,0,VLOOKUP(C441,'Sales_DC Price'!K:L,2,0)*D441)</f>
        <v>0</v>
      </c>
      <c r="F440" s="116">
        <f>IF(TYPE(VLOOKUP(C440,'Sales_DC Price'!Q:R,2,0))=16,0,VLOOKUP(C440,'Sales_DC Price'!Q:R,2,0))</f>
        <v>0</v>
      </c>
      <c r="G440" s="116">
        <f t="shared" si="8"/>
        <v>0</v>
      </c>
    </row>
    <row r="441" spans="1:7">
      <c r="A441" s="119"/>
      <c r="B441" s="120"/>
      <c r="C441" s="120"/>
      <c r="D441" s="121"/>
      <c r="E441" s="123">
        <f>IF(TYPE(VLOOKUP(C442,'Sales_DC Price'!K:L,2,0))=16,0,VLOOKUP(C442,'Sales_DC Price'!K:L,2,0)*D442)</f>
        <v>0</v>
      </c>
      <c r="F441" s="116">
        <f>IF(TYPE(VLOOKUP(C441,'Sales_DC Price'!Q:R,2,0))=16,0,VLOOKUP(C441,'Sales_DC Price'!Q:R,2,0))</f>
        <v>0</v>
      </c>
      <c r="G441" s="116">
        <f t="shared" si="8"/>
        <v>0</v>
      </c>
    </row>
    <row r="442" spans="1:7">
      <c r="A442" s="119"/>
      <c r="B442" s="120"/>
      <c r="C442" s="120"/>
      <c r="D442" s="121"/>
      <c r="E442" s="123">
        <f>IF(TYPE(VLOOKUP(C443,'Sales_DC Price'!K:L,2,0))=16,0,VLOOKUP(C443,'Sales_DC Price'!K:L,2,0)*D443)</f>
        <v>0</v>
      </c>
      <c r="F442" s="116">
        <f>IF(TYPE(VLOOKUP(C442,'Sales_DC Price'!Q:R,2,0))=16,0,VLOOKUP(C442,'Sales_DC Price'!Q:R,2,0))</f>
        <v>0</v>
      </c>
      <c r="G442" s="116">
        <f t="shared" si="8"/>
        <v>0</v>
      </c>
    </row>
    <row r="443" spans="1:7">
      <c r="A443" s="119"/>
      <c r="B443" s="120"/>
      <c r="C443" s="120"/>
      <c r="D443" s="121"/>
      <c r="E443" s="123">
        <f>IF(TYPE(VLOOKUP(C444,'Sales_DC Price'!K:L,2,0))=16,0,VLOOKUP(C444,'Sales_DC Price'!K:L,2,0)*D444)</f>
        <v>0</v>
      </c>
      <c r="F443" s="116">
        <f>IF(TYPE(VLOOKUP(C443,'Sales_DC Price'!Q:R,2,0))=16,0,VLOOKUP(C443,'Sales_DC Price'!Q:R,2,0))</f>
        <v>0</v>
      </c>
      <c r="G443" s="116">
        <f t="shared" si="8"/>
        <v>0</v>
      </c>
    </row>
    <row r="444" spans="1:7">
      <c r="A444" s="119"/>
      <c r="B444" s="120"/>
      <c r="C444" s="120"/>
      <c r="D444" s="121"/>
      <c r="E444" s="123">
        <f>IF(TYPE(VLOOKUP(C445,'Sales_DC Price'!K:L,2,0))=16,0,VLOOKUP(C445,'Sales_DC Price'!K:L,2,0)*D445)</f>
        <v>0</v>
      </c>
      <c r="F444" s="116">
        <f>IF(TYPE(VLOOKUP(C444,'Sales_DC Price'!Q:R,2,0))=16,0,VLOOKUP(C444,'Sales_DC Price'!Q:R,2,0))</f>
        <v>0</v>
      </c>
      <c r="G444" s="116">
        <f t="shared" si="8"/>
        <v>0</v>
      </c>
    </row>
    <row r="445" spans="1:7">
      <c r="A445" s="119"/>
      <c r="B445" s="120"/>
      <c r="C445" s="120"/>
      <c r="D445" s="121"/>
      <c r="E445" s="123">
        <f>IF(TYPE(VLOOKUP(C446,'Sales_DC Price'!K:L,2,0))=16,0,VLOOKUP(C446,'Sales_DC Price'!K:L,2,0)*D446)</f>
        <v>0</v>
      </c>
      <c r="F445" s="116">
        <f>IF(TYPE(VLOOKUP(C445,'Sales_DC Price'!Q:R,2,0))=16,0,VLOOKUP(C445,'Sales_DC Price'!Q:R,2,0))</f>
        <v>0</v>
      </c>
      <c r="G445" s="116">
        <f t="shared" si="8"/>
        <v>0</v>
      </c>
    </row>
    <row r="446" spans="1:7">
      <c r="A446" s="119"/>
      <c r="B446" s="120"/>
      <c r="C446" s="120"/>
      <c r="D446" s="121"/>
      <c r="E446" s="123">
        <f>IF(TYPE(VLOOKUP(C447,'Sales_DC Price'!K:L,2,0))=16,0,VLOOKUP(C447,'Sales_DC Price'!K:L,2,0)*D447)</f>
        <v>0</v>
      </c>
      <c r="F446" s="116">
        <f>IF(TYPE(VLOOKUP(C446,'Sales_DC Price'!Q:R,2,0))=16,0,VLOOKUP(C446,'Sales_DC Price'!Q:R,2,0))</f>
        <v>0</v>
      </c>
      <c r="G446" s="116">
        <f t="shared" si="8"/>
        <v>0</v>
      </c>
    </row>
    <row r="447" spans="1:7">
      <c r="A447" s="119"/>
      <c r="B447" s="120"/>
      <c r="C447" s="120"/>
      <c r="D447" s="121"/>
      <c r="E447" s="123">
        <f>IF(TYPE(VLOOKUP(C448,'Sales_DC Price'!K:L,2,0))=16,0,VLOOKUP(C448,'Sales_DC Price'!K:L,2,0)*D448)</f>
        <v>0</v>
      </c>
      <c r="F447" s="116">
        <f>IF(TYPE(VLOOKUP(C447,'Sales_DC Price'!Q:R,2,0))=16,0,VLOOKUP(C447,'Sales_DC Price'!Q:R,2,0))</f>
        <v>0</v>
      </c>
      <c r="G447" s="116">
        <f t="shared" si="8"/>
        <v>0</v>
      </c>
    </row>
    <row r="448" spans="1:7">
      <c r="A448" s="119"/>
      <c r="B448" s="120"/>
      <c r="C448" s="120"/>
      <c r="D448" s="121"/>
      <c r="E448" s="123">
        <f>IF(TYPE(VLOOKUP(C449,'Sales_DC Price'!K:L,2,0))=16,0,VLOOKUP(C449,'Sales_DC Price'!K:L,2,0)*D449)</f>
        <v>0</v>
      </c>
      <c r="F448" s="116">
        <f>IF(TYPE(VLOOKUP(C448,'Sales_DC Price'!Q:R,2,0))=16,0,VLOOKUP(C448,'Sales_DC Price'!Q:R,2,0))</f>
        <v>0</v>
      </c>
      <c r="G448" s="116">
        <f t="shared" si="8"/>
        <v>0</v>
      </c>
    </row>
    <row r="449" spans="1:7">
      <c r="A449" s="119"/>
      <c r="B449" s="120"/>
      <c r="C449" s="120"/>
      <c r="D449" s="121"/>
      <c r="E449" s="123">
        <f>IF(TYPE(VLOOKUP(C450,'Sales_DC Price'!K:L,2,0))=16,0,VLOOKUP(C450,'Sales_DC Price'!K:L,2,0)*D450)</f>
        <v>0</v>
      </c>
      <c r="F449" s="116">
        <f>IF(TYPE(VLOOKUP(C449,'Sales_DC Price'!Q:R,2,0))=16,0,VLOOKUP(C449,'Sales_DC Price'!Q:R,2,0))</f>
        <v>0</v>
      </c>
      <c r="G449" s="116">
        <f t="shared" si="8"/>
        <v>0</v>
      </c>
    </row>
    <row r="450" spans="1:7">
      <c r="A450" s="119"/>
      <c r="B450" s="120"/>
      <c r="C450" s="120"/>
      <c r="D450" s="121"/>
      <c r="E450" s="123">
        <f>IF(TYPE(VLOOKUP(C451,'Sales_DC Price'!K:L,2,0))=16,0,VLOOKUP(C451,'Sales_DC Price'!K:L,2,0)*D451)</f>
        <v>0</v>
      </c>
      <c r="F450" s="116">
        <f>IF(TYPE(VLOOKUP(C450,'Sales_DC Price'!Q:R,2,0))=16,0,VLOOKUP(C450,'Sales_DC Price'!Q:R,2,0))</f>
        <v>0</v>
      </c>
      <c r="G450" s="116">
        <f t="shared" ref="G450:G478" si="9">F450*D450</f>
        <v>0</v>
      </c>
    </row>
    <row r="451" spans="1:7">
      <c r="A451" s="119"/>
      <c r="B451" s="120"/>
      <c r="C451" s="120"/>
      <c r="D451" s="121"/>
      <c r="E451" s="123">
        <f>IF(TYPE(VLOOKUP(C452,'Sales_DC Price'!K:L,2,0))=16,0,VLOOKUP(C452,'Sales_DC Price'!K:L,2,0)*D452)</f>
        <v>0</v>
      </c>
      <c r="F451" s="116">
        <f>IF(TYPE(VLOOKUP(C451,'Sales_DC Price'!Q:R,2,0))=16,0,VLOOKUP(C451,'Sales_DC Price'!Q:R,2,0))</f>
        <v>0</v>
      </c>
      <c r="G451" s="116">
        <f t="shared" si="9"/>
        <v>0</v>
      </c>
    </row>
    <row r="452" spans="1:7">
      <c r="A452" s="119"/>
      <c r="B452" s="120"/>
      <c r="C452" s="120"/>
      <c r="D452" s="121"/>
      <c r="E452" s="123">
        <f>IF(TYPE(VLOOKUP(C453,'Sales_DC Price'!K:L,2,0))=16,0,VLOOKUP(C453,'Sales_DC Price'!K:L,2,0)*D453)</f>
        <v>0</v>
      </c>
      <c r="F452" s="116">
        <f>IF(TYPE(VLOOKUP(C452,'Sales_DC Price'!Q:R,2,0))=16,0,VLOOKUP(C452,'Sales_DC Price'!Q:R,2,0))</f>
        <v>0</v>
      </c>
      <c r="G452" s="116">
        <f t="shared" si="9"/>
        <v>0</v>
      </c>
    </row>
    <row r="453" spans="1:7">
      <c r="A453" s="119"/>
      <c r="B453" s="120"/>
      <c r="C453" s="120"/>
      <c r="D453" s="121"/>
      <c r="E453" s="123">
        <f>IF(TYPE(VLOOKUP(C454,'Sales_DC Price'!K:L,2,0))=16,0,VLOOKUP(C454,'Sales_DC Price'!K:L,2,0)*D454)</f>
        <v>0</v>
      </c>
      <c r="F453" s="116">
        <f>IF(TYPE(VLOOKUP(C453,'Sales_DC Price'!Q:R,2,0))=16,0,VLOOKUP(C453,'Sales_DC Price'!Q:R,2,0))</f>
        <v>0</v>
      </c>
      <c r="G453" s="116">
        <f t="shared" si="9"/>
        <v>0</v>
      </c>
    </row>
    <row r="454" spans="1:7">
      <c r="A454" s="119"/>
      <c r="B454" s="120"/>
      <c r="C454" s="120"/>
      <c r="D454" s="121"/>
      <c r="E454" s="123">
        <f>IF(TYPE(VLOOKUP(C455,'Sales_DC Price'!K:L,2,0))=16,0,VLOOKUP(C455,'Sales_DC Price'!K:L,2,0)*D455)</f>
        <v>0</v>
      </c>
      <c r="F454" s="116">
        <f>IF(TYPE(VLOOKUP(C454,'Sales_DC Price'!Q:R,2,0))=16,0,VLOOKUP(C454,'Sales_DC Price'!Q:R,2,0))</f>
        <v>0</v>
      </c>
      <c r="G454" s="116">
        <f t="shared" si="9"/>
        <v>0</v>
      </c>
    </row>
    <row r="455" spans="1:7">
      <c r="A455" s="119"/>
      <c r="B455" s="120"/>
      <c r="C455" s="120"/>
      <c r="D455" s="121"/>
      <c r="E455" s="123">
        <f>IF(TYPE(VLOOKUP(C456,'Sales_DC Price'!K:L,2,0))=16,0,VLOOKUP(C456,'Sales_DC Price'!K:L,2,0)*D456)</f>
        <v>0</v>
      </c>
      <c r="F455" s="116">
        <f>IF(TYPE(VLOOKUP(C455,'Sales_DC Price'!Q:R,2,0))=16,0,VLOOKUP(C455,'Sales_DC Price'!Q:R,2,0))</f>
        <v>0</v>
      </c>
      <c r="G455" s="116">
        <f t="shared" si="9"/>
        <v>0</v>
      </c>
    </row>
    <row r="456" spans="1:7">
      <c r="A456" s="119"/>
      <c r="B456" s="120"/>
      <c r="C456" s="120"/>
      <c r="D456" s="121"/>
      <c r="E456" s="123">
        <f>IF(TYPE(VLOOKUP(C457,'Sales_DC Price'!K:L,2,0))=16,0,VLOOKUP(C457,'Sales_DC Price'!K:L,2,0)*D457)</f>
        <v>0</v>
      </c>
      <c r="F456" s="116">
        <f>IF(TYPE(VLOOKUP(C456,'Sales_DC Price'!Q:R,2,0))=16,0,VLOOKUP(C456,'Sales_DC Price'!Q:R,2,0))</f>
        <v>0</v>
      </c>
      <c r="G456" s="116">
        <f t="shared" si="9"/>
        <v>0</v>
      </c>
    </row>
    <row r="457" spans="1:7">
      <c r="A457" s="119"/>
      <c r="B457" s="120"/>
      <c r="C457" s="120"/>
      <c r="D457" s="121"/>
      <c r="E457" s="123">
        <f>IF(TYPE(VLOOKUP(C458,'Sales_DC Price'!K:L,2,0))=16,0,VLOOKUP(C458,'Sales_DC Price'!K:L,2,0)*D458)</f>
        <v>0</v>
      </c>
      <c r="F457" s="116">
        <f>IF(TYPE(VLOOKUP(C457,'Sales_DC Price'!Q:R,2,0))=16,0,VLOOKUP(C457,'Sales_DC Price'!Q:R,2,0))</f>
        <v>0</v>
      </c>
      <c r="G457" s="116">
        <f t="shared" si="9"/>
        <v>0</v>
      </c>
    </row>
    <row r="458" spans="1:7">
      <c r="A458" s="119"/>
      <c r="B458" s="120"/>
      <c r="C458" s="120"/>
      <c r="D458" s="121"/>
      <c r="E458" s="123">
        <f>IF(TYPE(VLOOKUP(C459,'Sales_DC Price'!K:L,2,0))=16,0,VLOOKUP(C459,'Sales_DC Price'!K:L,2,0)*D459)</f>
        <v>0</v>
      </c>
      <c r="F458" s="116">
        <f>IF(TYPE(VLOOKUP(C458,'Sales_DC Price'!Q:R,2,0))=16,0,VLOOKUP(C458,'Sales_DC Price'!Q:R,2,0))</f>
        <v>0</v>
      </c>
      <c r="G458" s="116">
        <f t="shared" si="9"/>
        <v>0</v>
      </c>
    </row>
    <row r="459" spans="1:7">
      <c r="A459" s="119"/>
      <c r="B459" s="120"/>
      <c r="C459" s="120"/>
      <c r="D459" s="121"/>
      <c r="E459" s="123">
        <f>IF(TYPE(VLOOKUP(C460,'Sales_DC Price'!K:L,2,0))=16,0,VLOOKUP(C460,'Sales_DC Price'!K:L,2,0)*D460)</f>
        <v>0</v>
      </c>
      <c r="F459" s="116">
        <f>IF(TYPE(VLOOKUP(C459,'Sales_DC Price'!Q:R,2,0))=16,0,VLOOKUP(C459,'Sales_DC Price'!Q:R,2,0))</f>
        <v>0</v>
      </c>
      <c r="G459" s="116">
        <f t="shared" si="9"/>
        <v>0</v>
      </c>
    </row>
    <row r="460" spans="1:7">
      <c r="A460" s="119"/>
      <c r="B460" s="120"/>
      <c r="C460" s="120"/>
      <c r="D460" s="121"/>
      <c r="E460" s="123">
        <f>IF(TYPE(VLOOKUP(C461,'Sales_DC Price'!K:L,2,0))=16,0,VLOOKUP(C461,'Sales_DC Price'!K:L,2,0)*D461)</f>
        <v>0</v>
      </c>
      <c r="F460" s="116">
        <f>IF(TYPE(VLOOKUP(C460,'Sales_DC Price'!Q:R,2,0))=16,0,VLOOKUP(C460,'Sales_DC Price'!Q:R,2,0))</f>
        <v>0</v>
      </c>
      <c r="G460" s="116">
        <f t="shared" si="9"/>
        <v>0</v>
      </c>
    </row>
    <row r="461" spans="1:7">
      <c r="A461" s="119"/>
      <c r="B461" s="120"/>
      <c r="C461" s="120"/>
      <c r="D461" s="121"/>
      <c r="E461" s="123">
        <f>IF(TYPE(VLOOKUP(C462,'Sales_DC Price'!K:L,2,0))=16,0,VLOOKUP(C462,'Sales_DC Price'!K:L,2,0)*D462)</f>
        <v>0</v>
      </c>
      <c r="F461" s="116">
        <f>IF(TYPE(VLOOKUP(C461,'Sales_DC Price'!Q:R,2,0))=16,0,VLOOKUP(C461,'Sales_DC Price'!Q:R,2,0))</f>
        <v>0</v>
      </c>
      <c r="G461" s="116">
        <f t="shared" si="9"/>
        <v>0</v>
      </c>
    </row>
    <row r="462" spans="1:7">
      <c r="A462" s="119"/>
      <c r="B462" s="120"/>
      <c r="C462" s="120"/>
      <c r="D462" s="121"/>
      <c r="E462" s="123">
        <f>IF(TYPE(VLOOKUP(C463,'Sales_DC Price'!K:L,2,0))=16,0,VLOOKUP(C463,'Sales_DC Price'!K:L,2,0)*D463)</f>
        <v>0</v>
      </c>
      <c r="F462" s="116">
        <f>IF(TYPE(VLOOKUP(C462,'Sales_DC Price'!Q:R,2,0))=16,0,VLOOKUP(C462,'Sales_DC Price'!Q:R,2,0))</f>
        <v>0</v>
      </c>
      <c r="G462" s="116">
        <f t="shared" si="9"/>
        <v>0</v>
      </c>
    </row>
    <row r="463" spans="1:7">
      <c r="A463" s="119"/>
      <c r="B463" s="120"/>
      <c r="C463" s="120"/>
      <c r="D463" s="121"/>
      <c r="E463" s="123">
        <f>IF(TYPE(VLOOKUP(C464,'Sales_DC Price'!K:L,2,0))=16,0,VLOOKUP(C464,'Sales_DC Price'!K:L,2,0)*D464)</f>
        <v>0</v>
      </c>
      <c r="F463" s="116">
        <f>IF(TYPE(VLOOKUP(C463,'Sales_DC Price'!Q:R,2,0))=16,0,VLOOKUP(C463,'Sales_DC Price'!Q:R,2,0))</f>
        <v>0</v>
      </c>
      <c r="G463" s="116">
        <f t="shared" si="9"/>
        <v>0</v>
      </c>
    </row>
    <row r="464" spans="1:7">
      <c r="A464" s="119"/>
      <c r="B464" s="120"/>
      <c r="C464" s="120"/>
      <c r="D464" s="121"/>
      <c r="E464" s="123">
        <f>IF(TYPE(VLOOKUP(C465,'Sales_DC Price'!K:L,2,0))=16,0,VLOOKUP(C465,'Sales_DC Price'!K:L,2,0)*D465)</f>
        <v>0</v>
      </c>
      <c r="F464" s="116">
        <f>IF(TYPE(VLOOKUP(C464,'Sales_DC Price'!Q:R,2,0))=16,0,VLOOKUP(C464,'Sales_DC Price'!Q:R,2,0))</f>
        <v>0</v>
      </c>
      <c r="G464" s="116">
        <f t="shared" si="9"/>
        <v>0</v>
      </c>
    </row>
    <row r="465" spans="1:7">
      <c r="A465" s="119"/>
      <c r="B465" s="120"/>
      <c r="C465" s="120"/>
      <c r="D465" s="121"/>
      <c r="E465" s="123">
        <f>IF(TYPE(VLOOKUP(C466,'Sales_DC Price'!K:L,2,0))=16,0,VLOOKUP(C466,'Sales_DC Price'!K:L,2,0)*D466)</f>
        <v>0</v>
      </c>
      <c r="F465" s="116">
        <f>IF(TYPE(VLOOKUP(C465,'Sales_DC Price'!Q:R,2,0))=16,0,VLOOKUP(C465,'Sales_DC Price'!Q:R,2,0))</f>
        <v>0</v>
      </c>
      <c r="G465" s="116">
        <f t="shared" si="9"/>
        <v>0</v>
      </c>
    </row>
    <row r="466" spans="1:7">
      <c r="A466" s="119"/>
      <c r="B466" s="120"/>
      <c r="C466" s="120"/>
      <c r="D466" s="121"/>
      <c r="E466" s="123">
        <f>IF(TYPE(VLOOKUP(C467,'Sales_DC Price'!K:L,2,0))=16,0,VLOOKUP(C467,'Sales_DC Price'!K:L,2,0)*D467)</f>
        <v>0</v>
      </c>
      <c r="F466" s="116">
        <f>IF(TYPE(VLOOKUP(C466,'Sales_DC Price'!Q:R,2,0))=16,0,VLOOKUP(C466,'Sales_DC Price'!Q:R,2,0))</f>
        <v>0</v>
      </c>
      <c r="G466" s="116">
        <f t="shared" si="9"/>
        <v>0</v>
      </c>
    </row>
    <row r="467" spans="1:7">
      <c r="A467" s="119"/>
      <c r="B467" s="120"/>
      <c r="C467" s="120"/>
      <c r="D467" s="121"/>
      <c r="E467" s="123">
        <f>IF(TYPE(VLOOKUP(C468,'Sales_DC Price'!K:L,2,0))=16,0,VLOOKUP(C468,'Sales_DC Price'!K:L,2,0)*D468)</f>
        <v>0</v>
      </c>
      <c r="F467" s="116">
        <f>IF(TYPE(VLOOKUP(C467,'Sales_DC Price'!Q:R,2,0))=16,0,VLOOKUP(C467,'Sales_DC Price'!Q:R,2,0))</f>
        <v>0</v>
      </c>
      <c r="G467" s="116">
        <f t="shared" si="9"/>
        <v>0</v>
      </c>
    </row>
    <row r="468" spans="1:7">
      <c r="A468" s="119"/>
      <c r="B468" s="120"/>
      <c r="C468" s="120"/>
      <c r="D468" s="121"/>
      <c r="E468" s="123">
        <f>IF(TYPE(VLOOKUP(C469,'Sales_DC Price'!K:L,2,0))=16,0,VLOOKUP(C469,'Sales_DC Price'!K:L,2,0)*D469)</f>
        <v>0</v>
      </c>
      <c r="F468" s="116">
        <f>IF(TYPE(VLOOKUP(C468,'Sales_DC Price'!Q:R,2,0))=16,0,VLOOKUP(C468,'Sales_DC Price'!Q:R,2,0))</f>
        <v>0</v>
      </c>
      <c r="G468" s="116">
        <f t="shared" si="9"/>
        <v>0</v>
      </c>
    </row>
    <row r="469" spans="1:7">
      <c r="A469" s="119"/>
      <c r="B469" s="120"/>
      <c r="C469" s="120"/>
      <c r="D469" s="121"/>
      <c r="E469" s="123">
        <f>IF(TYPE(VLOOKUP(C470,'Sales_DC Price'!K:L,2,0))=16,0,VLOOKUP(C470,'Sales_DC Price'!K:L,2,0)*D470)</f>
        <v>0</v>
      </c>
      <c r="F469" s="116">
        <f>IF(TYPE(VLOOKUP(C469,'Sales_DC Price'!Q:R,2,0))=16,0,VLOOKUP(C469,'Sales_DC Price'!Q:R,2,0))</f>
        <v>0</v>
      </c>
      <c r="G469" s="116">
        <f t="shared" si="9"/>
        <v>0</v>
      </c>
    </row>
    <row r="470" spans="1:7">
      <c r="A470" s="119"/>
      <c r="B470" s="120"/>
      <c r="C470" s="120"/>
      <c r="D470" s="121"/>
      <c r="E470" s="123">
        <f>IF(TYPE(VLOOKUP(C471,'Sales_DC Price'!K:L,2,0))=16,0,VLOOKUP(C471,'Sales_DC Price'!K:L,2,0)*D471)</f>
        <v>0</v>
      </c>
      <c r="F470" s="116">
        <f>IF(TYPE(VLOOKUP(C470,'Sales_DC Price'!Q:R,2,0))=16,0,VLOOKUP(C470,'Sales_DC Price'!Q:R,2,0))</f>
        <v>0</v>
      </c>
      <c r="G470" s="116">
        <f t="shared" si="9"/>
        <v>0</v>
      </c>
    </row>
    <row r="471" spans="1:7">
      <c r="A471" s="119"/>
      <c r="B471" s="120"/>
      <c r="C471" s="120"/>
      <c r="D471" s="121"/>
      <c r="E471" s="123">
        <f>IF(TYPE(VLOOKUP(C472,'Sales_DC Price'!K:L,2,0))=16,0,VLOOKUP(C472,'Sales_DC Price'!K:L,2,0)*D472)</f>
        <v>0</v>
      </c>
      <c r="F471" s="116">
        <f>IF(TYPE(VLOOKUP(C471,'Sales_DC Price'!Q:R,2,0))=16,0,VLOOKUP(C471,'Sales_DC Price'!Q:R,2,0))</f>
        <v>0</v>
      </c>
      <c r="G471" s="116">
        <f t="shared" si="9"/>
        <v>0</v>
      </c>
    </row>
    <row r="472" spans="1:7">
      <c r="A472" s="119"/>
      <c r="B472" s="120"/>
      <c r="C472" s="120"/>
      <c r="D472" s="121"/>
      <c r="E472" s="123">
        <f>IF(TYPE(VLOOKUP(C473,'Sales_DC Price'!K:L,2,0))=16,0,VLOOKUP(C473,'Sales_DC Price'!K:L,2,0)*D473)</f>
        <v>0</v>
      </c>
      <c r="F472" s="116">
        <f>IF(TYPE(VLOOKUP(C472,'Sales_DC Price'!Q:R,2,0))=16,0,VLOOKUP(C472,'Sales_DC Price'!Q:R,2,0))</f>
        <v>0</v>
      </c>
      <c r="G472" s="116">
        <f t="shared" si="9"/>
        <v>0</v>
      </c>
    </row>
    <row r="473" spans="1:7">
      <c r="A473" s="119"/>
      <c r="B473" s="120"/>
      <c r="C473" s="120"/>
      <c r="D473" s="121"/>
      <c r="E473" s="123">
        <f>IF(TYPE(VLOOKUP(C474,'Sales_DC Price'!K:L,2,0))=16,0,VLOOKUP(C474,'Sales_DC Price'!K:L,2,0)*D474)</f>
        <v>0</v>
      </c>
      <c r="F473" s="116">
        <f>IF(TYPE(VLOOKUP(C473,'Sales_DC Price'!Q:R,2,0))=16,0,VLOOKUP(C473,'Sales_DC Price'!Q:R,2,0))</f>
        <v>0</v>
      </c>
      <c r="G473" s="116">
        <f t="shared" si="9"/>
        <v>0</v>
      </c>
    </row>
    <row r="474" spans="1:7">
      <c r="A474" s="119"/>
      <c r="B474" s="120"/>
      <c r="C474" s="120"/>
      <c r="D474" s="121"/>
      <c r="E474" s="123">
        <f>IF(TYPE(VLOOKUP(C475,'Sales_DC Price'!K:L,2,0))=16,0,VLOOKUP(C475,'Sales_DC Price'!K:L,2,0)*D475)</f>
        <v>0</v>
      </c>
      <c r="F474" s="116">
        <f>IF(TYPE(VLOOKUP(C474,'Sales_DC Price'!Q:R,2,0))=16,0,VLOOKUP(C474,'Sales_DC Price'!Q:R,2,0))</f>
        <v>0</v>
      </c>
      <c r="G474" s="116">
        <f t="shared" si="9"/>
        <v>0</v>
      </c>
    </row>
    <row r="475" spans="1:7">
      <c r="A475" s="119"/>
      <c r="B475" s="120"/>
      <c r="C475" s="120"/>
      <c r="D475" s="121"/>
      <c r="E475" s="123">
        <f>IF(TYPE(VLOOKUP(C476,'Sales_DC Price'!K:L,2,0))=16,0,VLOOKUP(C476,'Sales_DC Price'!K:L,2,0)*D476)</f>
        <v>0</v>
      </c>
      <c r="F475" s="116">
        <f>IF(TYPE(VLOOKUP(C475,'Sales_DC Price'!Q:R,2,0))=16,0,VLOOKUP(C475,'Sales_DC Price'!Q:R,2,0))</f>
        <v>0</v>
      </c>
      <c r="G475" s="116">
        <f t="shared" si="9"/>
        <v>0</v>
      </c>
    </row>
    <row r="476" spans="1:7">
      <c r="A476" s="119"/>
      <c r="B476" s="120"/>
      <c r="C476" s="120"/>
      <c r="D476" s="121"/>
      <c r="E476" s="123">
        <f>IF(TYPE(VLOOKUP(C477,'Sales_DC Price'!K:L,2,0))=16,0,VLOOKUP(C477,'Sales_DC Price'!K:L,2,0)*D477)</f>
        <v>0</v>
      </c>
      <c r="F476" s="116">
        <f>IF(TYPE(VLOOKUP(C476,'Sales_DC Price'!Q:R,2,0))=16,0,VLOOKUP(C476,'Sales_DC Price'!Q:R,2,0))</f>
        <v>0</v>
      </c>
      <c r="G476" s="116">
        <f t="shared" si="9"/>
        <v>0</v>
      </c>
    </row>
    <row r="477" spans="1:7">
      <c r="A477" s="119"/>
      <c r="B477" s="120"/>
      <c r="C477" s="120"/>
      <c r="D477" s="121"/>
      <c r="E477" s="123">
        <f>IF(TYPE(VLOOKUP(C478,'Sales_DC Price'!K:L,2,0))=16,0,VLOOKUP(C478,'Sales_DC Price'!K:L,2,0)*D478)</f>
        <v>0</v>
      </c>
      <c r="F477" s="116">
        <f>IF(TYPE(VLOOKUP(C477,'Sales_DC Price'!Q:R,2,0))=16,0,VLOOKUP(C477,'Sales_DC Price'!Q:R,2,0))</f>
        <v>0</v>
      </c>
      <c r="G477" s="116">
        <f t="shared" si="9"/>
        <v>0</v>
      </c>
    </row>
    <row r="478" spans="1:7">
      <c r="A478" s="119"/>
      <c r="B478" s="120"/>
      <c r="C478" s="120"/>
      <c r="D478" s="121"/>
      <c r="F478" s="116">
        <f>IF(TYPE(VLOOKUP(C478,'Sales_DC Price'!Q:R,2,0))=16,0,VLOOKUP(C478,'Sales_DC Price'!Q:R,2,0))</f>
        <v>0</v>
      </c>
      <c r="G478" s="116">
        <f t="shared" si="9"/>
        <v>0</v>
      </c>
    </row>
    <row r="479" spans="1:7">
      <c r="A479" s="125"/>
      <c r="B479" s="126"/>
      <c r="C479" s="126"/>
      <c r="D479" s="127"/>
    </row>
    <row r="480" spans="1:7">
      <c r="A480" s="125"/>
      <c r="B480" s="126"/>
      <c r="C480" s="126"/>
      <c r="D480" s="127"/>
    </row>
    <row r="481" spans="1:4">
      <c r="A481" s="125"/>
      <c r="B481" s="126"/>
      <c r="C481" s="126"/>
      <c r="D481" s="127"/>
    </row>
    <row r="482" spans="1:4">
      <c r="A482" s="125"/>
      <c r="B482" s="126"/>
      <c r="C482" s="126"/>
      <c r="D482" s="127"/>
    </row>
    <row r="483" spans="1:4">
      <c r="A483" s="125"/>
      <c r="B483" s="126"/>
      <c r="C483" s="126"/>
      <c r="D483" s="127"/>
    </row>
    <row r="484" spans="1:4">
      <c r="A484" s="125"/>
      <c r="B484" s="126"/>
      <c r="C484" s="126"/>
      <c r="D484" s="127"/>
    </row>
  </sheetData>
  <autoFilter ref="A1:E279" xr:uid="{00000000-0009-0000-0000-00001E000000}">
    <filterColumn colId="2">
      <filters blank="1">
        <filter val="07-1200-1362H"/>
        <filter val="07-1200-1395H"/>
        <filter val="07-1201-1222H"/>
        <filter val="07-2700-0439H"/>
        <filter val="07-2700-0449H"/>
        <filter val="07-2700-0450H"/>
        <filter val="07-2701-0374H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28"/>
  <sheetViews>
    <sheetView zoomScale="85" zoomScaleNormal="85" workbookViewId="0">
      <selection activeCell="O11" sqref="O11"/>
    </sheetView>
  </sheetViews>
  <sheetFormatPr defaultRowHeight="15"/>
  <cols>
    <col min="1" max="1" width="10.42578125" bestFit="1" customWidth="1"/>
    <col min="2" max="2" width="60.42578125" bestFit="1" customWidth="1"/>
    <col min="3" max="3" width="13.42578125" bestFit="1" customWidth="1"/>
    <col min="7" max="7" width="18.42578125" bestFit="1" customWidth="1"/>
    <col min="9" max="9" width="12.42578125" bestFit="1" customWidth="1"/>
    <col min="10" max="10" width="10.42578125" bestFit="1" customWidth="1"/>
    <col min="11" max="11" width="47.42578125" bestFit="1" customWidth="1"/>
    <col min="12" max="12" width="14.42578125" bestFit="1" customWidth="1"/>
    <col min="14" max="15" width="12.42578125" bestFit="1" customWidth="1"/>
    <col min="16" max="19" width="10.42578125" bestFit="1" customWidth="1"/>
  </cols>
  <sheetData>
    <row r="1" spans="1:25">
      <c r="A1" s="176" t="s">
        <v>910</v>
      </c>
      <c r="E1" s="573" t="s">
        <v>911</v>
      </c>
      <c r="F1" s="573"/>
      <c r="G1" s="377">
        <f>SUM(G4:G308)</f>
        <v>0</v>
      </c>
      <c r="I1" s="25">
        <f>O1-G1</f>
        <v>43305.3</v>
      </c>
      <c r="K1" s="176" t="s">
        <v>912</v>
      </c>
      <c r="M1" s="573" t="s">
        <v>911</v>
      </c>
      <c r="N1" s="573"/>
      <c r="O1" s="377">
        <f>SUM(S:S)</f>
        <v>43305.3</v>
      </c>
    </row>
    <row r="2" spans="1:25">
      <c r="E2" s="573" t="s">
        <v>913</v>
      </c>
      <c r="F2" s="573"/>
      <c r="G2" s="378">
        <f>SUM(F:F)</f>
        <v>0</v>
      </c>
      <c r="M2" s="573" t="s">
        <v>913</v>
      </c>
      <c r="N2" s="573"/>
      <c r="O2" s="378">
        <f>SUM(O4:O831)</f>
        <v>55000</v>
      </c>
    </row>
    <row r="3" spans="1:25">
      <c r="A3" s="176" t="s">
        <v>294</v>
      </c>
      <c r="B3" s="176" t="s">
        <v>914</v>
      </c>
      <c r="C3" s="176" t="s">
        <v>915</v>
      </c>
      <c r="D3" s="176" t="s">
        <v>916</v>
      </c>
      <c r="E3" s="176" t="s">
        <v>917</v>
      </c>
      <c r="F3" s="176" t="s">
        <v>918</v>
      </c>
      <c r="G3" s="176" t="s">
        <v>919</v>
      </c>
      <c r="J3" s="176" t="s">
        <v>294</v>
      </c>
      <c r="K3" s="379" t="s">
        <v>914</v>
      </c>
      <c r="L3" s="176" t="s">
        <v>915</v>
      </c>
      <c r="M3" s="176" t="s">
        <v>920</v>
      </c>
      <c r="N3" s="176" t="s">
        <v>921</v>
      </c>
      <c r="O3" s="176" t="s">
        <v>922</v>
      </c>
      <c r="P3" s="176" t="s">
        <v>923</v>
      </c>
      <c r="Q3" s="176" t="s">
        <v>924</v>
      </c>
      <c r="R3" s="176" t="s">
        <v>925</v>
      </c>
      <c r="S3" s="176" t="s">
        <v>926</v>
      </c>
      <c r="T3" s="176" t="s">
        <v>927</v>
      </c>
      <c r="U3" s="176" t="s">
        <v>910</v>
      </c>
      <c r="V3" s="176" t="s">
        <v>928</v>
      </c>
      <c r="W3" s="176" t="s">
        <v>916</v>
      </c>
      <c r="X3" s="176" t="s">
        <v>929</v>
      </c>
      <c r="Y3" s="176" t="s">
        <v>917</v>
      </c>
    </row>
    <row r="4" spans="1:25">
      <c r="A4" s="1"/>
      <c r="J4" s="1"/>
      <c r="K4" s="116" t="s">
        <v>930</v>
      </c>
      <c r="L4" t="s">
        <v>931</v>
      </c>
      <c r="M4">
        <v>3</v>
      </c>
      <c r="N4">
        <v>3000</v>
      </c>
      <c r="O4">
        <v>3000</v>
      </c>
      <c r="P4" s="1">
        <v>44963</v>
      </c>
      <c r="Q4" s="1">
        <v>44795</v>
      </c>
      <c r="R4" s="1">
        <v>45009</v>
      </c>
      <c r="S4">
        <v>414.9</v>
      </c>
      <c r="U4" t="s">
        <v>932</v>
      </c>
      <c r="V4">
        <v>2023</v>
      </c>
      <c r="W4">
        <v>2023</v>
      </c>
      <c r="X4">
        <v>3</v>
      </c>
      <c r="Y4">
        <v>2</v>
      </c>
    </row>
    <row r="5" spans="1:25">
      <c r="A5" s="1"/>
      <c r="J5" s="1"/>
      <c r="K5" s="116" t="s">
        <v>930</v>
      </c>
      <c r="L5" t="s">
        <v>931</v>
      </c>
      <c r="M5">
        <v>4</v>
      </c>
      <c r="N5">
        <v>3000</v>
      </c>
      <c r="O5">
        <v>3000</v>
      </c>
      <c r="P5" s="1">
        <v>44963</v>
      </c>
      <c r="Q5" s="1">
        <v>44795</v>
      </c>
      <c r="R5" s="1">
        <v>45009</v>
      </c>
      <c r="S5">
        <v>414.9</v>
      </c>
      <c r="U5" t="s">
        <v>932</v>
      </c>
      <c r="V5">
        <v>2023</v>
      </c>
      <c r="W5">
        <v>2023</v>
      </c>
      <c r="X5">
        <v>3</v>
      </c>
      <c r="Y5">
        <v>2</v>
      </c>
    </row>
    <row r="6" spans="1:25">
      <c r="A6" s="1"/>
      <c r="J6" s="1"/>
      <c r="K6" s="116" t="s">
        <v>930</v>
      </c>
      <c r="L6" t="s">
        <v>931</v>
      </c>
      <c r="M6">
        <v>1</v>
      </c>
      <c r="N6">
        <v>3000</v>
      </c>
      <c r="O6">
        <v>3000</v>
      </c>
      <c r="P6" s="1">
        <v>44963</v>
      </c>
      <c r="Q6" s="1">
        <v>44802</v>
      </c>
      <c r="R6" s="1">
        <v>45009</v>
      </c>
      <c r="S6">
        <v>414.9</v>
      </c>
      <c r="U6" t="s">
        <v>932</v>
      </c>
      <c r="V6">
        <v>2023</v>
      </c>
      <c r="W6">
        <v>2023</v>
      </c>
      <c r="X6">
        <v>3</v>
      </c>
      <c r="Y6">
        <v>2</v>
      </c>
    </row>
    <row r="7" spans="1:25">
      <c r="A7" s="1"/>
      <c r="J7" s="1"/>
      <c r="K7" s="116" t="s">
        <v>930</v>
      </c>
      <c r="L7" t="s">
        <v>931</v>
      </c>
      <c r="M7">
        <v>2</v>
      </c>
      <c r="N7">
        <v>3000</v>
      </c>
      <c r="O7">
        <v>3000</v>
      </c>
      <c r="P7" s="1">
        <v>44963</v>
      </c>
      <c r="Q7" s="1">
        <v>44802</v>
      </c>
      <c r="R7" s="1">
        <v>45009</v>
      </c>
      <c r="S7">
        <v>414.9</v>
      </c>
      <c r="U7" t="s">
        <v>932</v>
      </c>
      <c r="V7">
        <v>2023</v>
      </c>
      <c r="W7">
        <v>2023</v>
      </c>
      <c r="X7">
        <v>3</v>
      </c>
      <c r="Y7">
        <v>2</v>
      </c>
    </row>
    <row r="8" spans="1:25">
      <c r="A8" s="1"/>
      <c r="J8" s="1"/>
      <c r="K8" s="116" t="s">
        <v>933</v>
      </c>
      <c r="L8" t="s">
        <v>934</v>
      </c>
      <c r="M8">
        <v>3</v>
      </c>
      <c r="N8">
        <v>15000</v>
      </c>
      <c r="O8">
        <v>15000</v>
      </c>
      <c r="P8" s="1">
        <v>44984</v>
      </c>
      <c r="Q8" s="1">
        <v>44783</v>
      </c>
      <c r="R8" s="1">
        <v>44993</v>
      </c>
      <c r="S8">
        <v>25081.5</v>
      </c>
      <c r="U8" t="s">
        <v>932</v>
      </c>
      <c r="V8">
        <v>2023</v>
      </c>
      <c r="W8">
        <v>2023</v>
      </c>
      <c r="X8">
        <v>3</v>
      </c>
      <c r="Y8">
        <v>2</v>
      </c>
    </row>
    <row r="9" spans="1:25">
      <c r="A9" s="1"/>
      <c r="J9" s="1"/>
      <c r="K9" s="116" t="s">
        <v>935</v>
      </c>
      <c r="L9" t="s">
        <v>936</v>
      </c>
      <c r="M9">
        <v>1</v>
      </c>
      <c r="N9">
        <v>10000</v>
      </c>
      <c r="O9">
        <v>10000</v>
      </c>
      <c r="P9" s="1">
        <v>44958</v>
      </c>
      <c r="Q9" s="1">
        <v>44872</v>
      </c>
      <c r="R9" s="1">
        <v>44986</v>
      </c>
      <c r="S9">
        <v>4116</v>
      </c>
      <c r="U9" t="s">
        <v>932</v>
      </c>
      <c r="V9">
        <v>2023</v>
      </c>
      <c r="W9">
        <v>2023</v>
      </c>
      <c r="X9">
        <v>3</v>
      </c>
      <c r="Y9">
        <v>2</v>
      </c>
    </row>
    <row r="10" spans="1:25">
      <c r="A10" s="1"/>
      <c r="J10" s="1"/>
      <c r="K10" s="116" t="s">
        <v>933</v>
      </c>
      <c r="L10" t="s">
        <v>937</v>
      </c>
      <c r="M10">
        <v>2</v>
      </c>
      <c r="N10">
        <v>3000</v>
      </c>
      <c r="O10">
        <v>3000</v>
      </c>
      <c r="P10" s="1">
        <v>44979</v>
      </c>
      <c r="Q10" s="1">
        <v>44925</v>
      </c>
      <c r="R10" s="1">
        <v>44993</v>
      </c>
      <c r="S10">
        <v>3573</v>
      </c>
      <c r="U10" t="s">
        <v>932</v>
      </c>
      <c r="V10">
        <v>2023</v>
      </c>
      <c r="W10">
        <v>2023</v>
      </c>
      <c r="X10">
        <v>3</v>
      </c>
      <c r="Y10">
        <v>2</v>
      </c>
    </row>
    <row r="11" spans="1:25">
      <c r="A11" s="1"/>
      <c r="J11" s="1"/>
      <c r="K11" s="116" t="s">
        <v>938</v>
      </c>
      <c r="L11" t="s">
        <v>883</v>
      </c>
      <c r="M11">
        <v>1</v>
      </c>
      <c r="N11">
        <v>6000</v>
      </c>
      <c r="O11">
        <v>6000</v>
      </c>
      <c r="P11" s="1">
        <v>44984</v>
      </c>
      <c r="Q11" s="1">
        <v>44956</v>
      </c>
      <c r="R11" s="1">
        <v>44991</v>
      </c>
      <c r="S11">
        <v>2198.4</v>
      </c>
      <c r="U11" t="s">
        <v>932</v>
      </c>
      <c r="V11">
        <v>2023</v>
      </c>
      <c r="W11">
        <v>2023</v>
      </c>
      <c r="X11">
        <v>3</v>
      </c>
      <c r="Y11">
        <v>2</v>
      </c>
    </row>
    <row r="12" spans="1:25">
      <c r="A12" s="1"/>
      <c r="J12" s="1"/>
      <c r="K12" s="116" t="s">
        <v>939</v>
      </c>
      <c r="L12" t="s">
        <v>940</v>
      </c>
      <c r="M12">
        <v>2</v>
      </c>
      <c r="N12">
        <v>6000</v>
      </c>
      <c r="O12">
        <v>6000</v>
      </c>
      <c r="P12" s="1">
        <v>44984</v>
      </c>
      <c r="Q12" s="1">
        <v>44986</v>
      </c>
      <c r="R12" s="1">
        <v>44998</v>
      </c>
      <c r="S12">
        <v>3103.8</v>
      </c>
      <c r="U12" t="s">
        <v>932</v>
      </c>
      <c r="V12">
        <v>2023</v>
      </c>
      <c r="W12">
        <v>2023</v>
      </c>
      <c r="X12">
        <v>3</v>
      </c>
      <c r="Y12">
        <v>2</v>
      </c>
    </row>
    <row r="13" spans="1:25">
      <c r="A13" s="1"/>
      <c r="J13" s="1"/>
      <c r="K13" t="s">
        <v>933</v>
      </c>
      <c r="L13" t="s">
        <v>937</v>
      </c>
      <c r="M13">
        <v>1</v>
      </c>
      <c r="N13">
        <v>3000</v>
      </c>
      <c r="O13">
        <v>3000</v>
      </c>
      <c r="P13" s="1">
        <v>44981</v>
      </c>
      <c r="Q13" s="1">
        <v>44979</v>
      </c>
      <c r="R13" s="1">
        <v>45000</v>
      </c>
      <c r="S13">
        <v>3573</v>
      </c>
      <c r="U13" t="s">
        <v>932</v>
      </c>
      <c r="V13">
        <v>2023</v>
      </c>
      <c r="W13">
        <v>2023</v>
      </c>
      <c r="X13">
        <v>3</v>
      </c>
      <c r="Y13">
        <v>2</v>
      </c>
    </row>
    <row r="14" spans="1:25">
      <c r="A14" s="1"/>
      <c r="J14" s="1"/>
      <c r="P14" s="1"/>
      <c r="Q14" s="1"/>
      <c r="R14" s="1"/>
    </row>
    <row r="15" spans="1:25">
      <c r="A15" s="1"/>
      <c r="J15" s="1"/>
      <c r="P15" s="1"/>
      <c r="Q15" s="1"/>
      <c r="R15" s="1"/>
    </row>
    <row r="16" spans="1:25">
      <c r="A16" s="1"/>
      <c r="J16" s="1"/>
      <c r="P16" s="1"/>
      <c r="Q16" s="1"/>
      <c r="R16" s="1"/>
    </row>
    <row r="17" spans="10:18">
      <c r="J17" s="1"/>
      <c r="P17" s="1"/>
      <c r="Q17" s="1"/>
      <c r="R17" s="1"/>
    </row>
    <row r="18" spans="10:18">
      <c r="J18" s="1"/>
      <c r="P18" s="1"/>
      <c r="Q18" s="1"/>
      <c r="R18" s="1"/>
    </row>
    <row r="19" spans="10:18">
      <c r="J19" s="1"/>
      <c r="P19" s="1"/>
      <c r="Q19" s="1"/>
      <c r="R19" s="1"/>
    </row>
    <row r="20" spans="10:18">
      <c r="J20" s="1"/>
      <c r="P20" s="1"/>
      <c r="Q20" s="1"/>
      <c r="R20" s="1"/>
    </row>
    <row r="21" spans="10:18">
      <c r="J21" s="1"/>
      <c r="P21" s="1"/>
      <c r="Q21" s="1"/>
      <c r="R21" s="1"/>
    </row>
    <row r="22" spans="10:18">
      <c r="J22" s="1"/>
      <c r="P22" s="1"/>
      <c r="Q22" s="1"/>
      <c r="R22" s="1"/>
    </row>
    <row r="23" spans="10:18">
      <c r="J23" s="1"/>
      <c r="P23" s="1"/>
      <c r="Q23" s="1"/>
      <c r="R23" s="1"/>
    </row>
    <row r="24" spans="10:18">
      <c r="J24" s="1"/>
      <c r="P24" s="1"/>
      <c r="Q24" s="1"/>
      <c r="R24" s="1"/>
    </row>
    <row r="25" spans="10:18">
      <c r="J25" s="1"/>
      <c r="P25" s="1"/>
      <c r="Q25" s="1"/>
      <c r="R25" s="1"/>
    </row>
    <row r="26" spans="10:18">
      <c r="J26" s="1"/>
      <c r="P26" s="1"/>
      <c r="Q26" s="1"/>
      <c r="R26" s="1"/>
    </row>
    <row r="27" spans="10:18">
      <c r="J27" s="1"/>
      <c r="P27" s="1"/>
      <c r="Q27" s="1"/>
      <c r="R27" s="1"/>
    </row>
    <row r="28" spans="10:18">
      <c r="J28" s="1"/>
      <c r="P28" s="1"/>
      <c r="Q28" s="1"/>
      <c r="R28" s="1"/>
    </row>
  </sheetData>
  <mergeCells count="4">
    <mergeCell ref="E1:F1"/>
    <mergeCell ref="E2:F2"/>
    <mergeCell ref="M1:N1"/>
    <mergeCell ref="M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CE9F-06B7-453C-99AA-E80701693B2A}">
  <dimension ref="A1:F15"/>
  <sheetViews>
    <sheetView workbookViewId="0">
      <selection activeCell="S5" sqref="S5"/>
    </sheetView>
  </sheetViews>
  <sheetFormatPr defaultRowHeight="15"/>
  <cols>
    <col min="1" max="1" width="15.140625" bestFit="1" customWidth="1"/>
    <col min="2" max="5" width="10.140625" bestFit="1" customWidth="1"/>
    <col min="6" max="6" width="10.42578125" customWidth="1"/>
  </cols>
  <sheetData>
    <row r="1" spans="1:6" ht="15.75" thickBot="1">
      <c r="A1" s="431" t="s">
        <v>941</v>
      </c>
      <c r="B1" s="432">
        <v>45306</v>
      </c>
      <c r="C1" s="433">
        <v>45307</v>
      </c>
      <c r="D1" s="433">
        <v>45308</v>
      </c>
      <c r="E1" s="433">
        <v>45309</v>
      </c>
      <c r="F1" s="434">
        <v>45310</v>
      </c>
    </row>
    <row r="2" spans="1:6">
      <c r="A2" s="430" t="s">
        <v>942</v>
      </c>
      <c r="B2" s="435">
        <v>76.33</v>
      </c>
      <c r="C2" s="436"/>
      <c r="D2" s="436"/>
      <c r="E2" s="436"/>
      <c r="F2" s="437"/>
    </row>
    <row r="3" spans="1:6">
      <c r="A3" s="428" t="s">
        <v>943</v>
      </c>
      <c r="B3" s="14"/>
      <c r="C3" s="7"/>
      <c r="D3" s="7"/>
      <c r="E3" s="7"/>
      <c r="F3" s="15"/>
    </row>
    <row r="4" spans="1:6">
      <c r="A4" s="428" t="s">
        <v>92</v>
      </c>
      <c r="B4" s="14"/>
      <c r="C4" s="7"/>
      <c r="D4" s="7"/>
      <c r="E4" s="7"/>
      <c r="F4" s="15"/>
    </row>
    <row r="5" spans="1:6">
      <c r="A5" s="428" t="s">
        <v>944</v>
      </c>
      <c r="B5" s="14">
        <v>101.67</v>
      </c>
      <c r="C5" s="7"/>
      <c r="D5" s="7"/>
      <c r="E5" s="7"/>
      <c r="F5" s="15"/>
    </row>
    <row r="6" spans="1:6">
      <c r="A6" s="428" t="s">
        <v>945</v>
      </c>
      <c r="B6" s="14"/>
      <c r="C6" s="7"/>
      <c r="D6" s="7"/>
      <c r="E6" s="7"/>
      <c r="F6" s="15"/>
    </row>
    <row r="7" spans="1:6">
      <c r="A7" s="428" t="s">
        <v>946</v>
      </c>
      <c r="B7" s="14"/>
      <c r="C7" s="7"/>
      <c r="D7" s="7"/>
      <c r="E7" s="7"/>
      <c r="F7" s="15"/>
    </row>
    <row r="8" spans="1:6">
      <c r="A8" s="428" t="s">
        <v>947</v>
      </c>
      <c r="B8" s="14"/>
      <c r="C8" s="7"/>
      <c r="D8" s="7"/>
      <c r="E8" s="7"/>
      <c r="F8" s="15"/>
    </row>
    <row r="9" spans="1:6">
      <c r="A9" s="428" t="s">
        <v>948</v>
      </c>
      <c r="B9" s="14">
        <v>73.83</v>
      </c>
      <c r="C9" s="7"/>
      <c r="D9" s="7"/>
      <c r="E9" s="7"/>
      <c r="F9" s="15"/>
    </row>
    <row r="10" spans="1:6">
      <c r="A10" s="428" t="s">
        <v>949</v>
      </c>
      <c r="B10" s="14"/>
      <c r="C10" s="7"/>
      <c r="D10" s="7"/>
      <c r="E10" s="7"/>
      <c r="F10" s="15"/>
    </row>
    <row r="11" spans="1:6">
      <c r="A11" s="428" t="s">
        <v>950</v>
      </c>
      <c r="B11" s="14">
        <v>54.18</v>
      </c>
      <c r="C11" s="7"/>
      <c r="D11" s="7"/>
      <c r="E11" s="7"/>
      <c r="F11" s="15"/>
    </row>
    <row r="12" spans="1:6">
      <c r="A12" s="428" t="s">
        <v>951</v>
      </c>
      <c r="B12" s="14"/>
      <c r="C12" s="7"/>
      <c r="D12" s="7"/>
      <c r="E12" s="7"/>
      <c r="F12" s="15"/>
    </row>
    <row r="13" spans="1:6">
      <c r="A13" s="428" t="s">
        <v>952</v>
      </c>
      <c r="B13" s="14">
        <v>58.42</v>
      </c>
      <c r="C13" s="7"/>
      <c r="D13" s="7"/>
      <c r="E13" s="7"/>
      <c r="F13" s="15"/>
    </row>
    <row r="14" spans="1:6">
      <c r="A14" s="428" t="s">
        <v>953</v>
      </c>
      <c r="B14" s="14"/>
      <c r="C14" s="7"/>
      <c r="D14" s="7"/>
      <c r="E14" s="7"/>
      <c r="F14" s="15"/>
    </row>
    <row r="15" spans="1:6" ht="15.75" thickBot="1">
      <c r="A15" s="429" t="s">
        <v>954</v>
      </c>
      <c r="B15" s="16"/>
      <c r="C15" s="17"/>
      <c r="D15" s="17"/>
      <c r="E15" s="17"/>
      <c r="F15" s="18"/>
    </row>
  </sheetData>
  <phoneticPr fontId="79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Munka29">
    <tabColor theme="7" tint="0.39997558519241921"/>
  </sheetPr>
  <dimension ref="A1:L21"/>
  <sheetViews>
    <sheetView workbookViewId="0">
      <selection activeCell="F5" sqref="F5:F6"/>
    </sheetView>
  </sheetViews>
  <sheetFormatPr defaultRowHeight="15"/>
  <cols>
    <col min="1" max="1" width="24.42578125" customWidth="1"/>
    <col min="2" max="6" width="11.42578125" customWidth="1"/>
    <col min="7" max="8" width="17.42578125" style="78" customWidth="1"/>
    <col min="9" max="9" width="21.42578125" customWidth="1"/>
    <col min="10" max="10" width="31.42578125" customWidth="1"/>
    <col min="11" max="11" width="30.42578125" customWidth="1"/>
  </cols>
  <sheetData>
    <row r="1" spans="1:12">
      <c r="A1" s="155" t="s">
        <v>39</v>
      </c>
      <c r="B1" s="155">
        <f>Headcount!F7</f>
        <v>15</v>
      </c>
      <c r="C1" s="23"/>
      <c r="D1" s="23"/>
      <c r="E1" s="155" t="s">
        <v>955</v>
      </c>
      <c r="F1" s="155">
        <v>8</v>
      </c>
    </row>
    <row r="2" spans="1:12" ht="15.75" thickBot="1"/>
    <row r="3" spans="1:12" ht="15.75" thickBot="1">
      <c r="A3" s="595" t="s">
        <v>956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7"/>
    </row>
    <row r="4" spans="1:12" ht="30" customHeight="1" thickBot="1">
      <c r="A4" s="289" t="s">
        <v>957</v>
      </c>
      <c r="B4" s="290" t="s">
        <v>958</v>
      </c>
      <c r="C4" s="290" t="s">
        <v>959</v>
      </c>
      <c r="D4" s="290" t="s">
        <v>960</v>
      </c>
      <c r="E4" s="290" t="s">
        <v>961</v>
      </c>
      <c r="F4" s="290" t="s">
        <v>962</v>
      </c>
      <c r="G4" s="290" t="s">
        <v>963</v>
      </c>
      <c r="H4" s="291" t="s">
        <v>964</v>
      </c>
      <c r="I4" s="289" t="s">
        <v>965</v>
      </c>
      <c r="J4" s="292" t="s">
        <v>966</v>
      </c>
      <c r="K4" s="293" t="s">
        <v>967</v>
      </c>
      <c r="L4" s="292" t="s">
        <v>968</v>
      </c>
    </row>
    <row r="5" spans="1:12">
      <c r="A5" s="151" t="s">
        <v>969</v>
      </c>
      <c r="B5" s="152">
        <v>1</v>
      </c>
      <c r="C5" s="152">
        <v>2</v>
      </c>
      <c r="D5" s="152"/>
      <c r="E5" s="152">
        <v>4</v>
      </c>
      <c r="F5" s="152">
        <f>B5*E5*$B$1*$F$1</f>
        <v>480</v>
      </c>
      <c r="G5" s="152">
        <v>343</v>
      </c>
      <c r="H5" s="153">
        <v>61</v>
      </c>
      <c r="I5" s="156">
        <f>IF(TYPE(H5/G5)=16,0,H5/G5)</f>
        <v>0.17784256559766765</v>
      </c>
      <c r="J5" s="157">
        <f>IF(TYPE(H5/F5)=16,0,H5/F5)</f>
        <v>0.12708333333333333</v>
      </c>
      <c r="K5" s="294">
        <v>2969.4800000000005</v>
      </c>
      <c r="L5" s="295">
        <v>3</v>
      </c>
    </row>
    <row r="6" spans="1:12">
      <c r="A6" s="148" t="s">
        <v>148</v>
      </c>
      <c r="B6" s="272">
        <v>1</v>
      </c>
      <c r="C6" s="272">
        <v>2</v>
      </c>
      <c r="D6" s="272"/>
      <c r="E6" s="272">
        <v>2</v>
      </c>
      <c r="F6" s="152">
        <f t="shared" ref="F6:F13" si="0">B6*E6*$B$1*$F$1</f>
        <v>240</v>
      </c>
      <c r="G6" s="272">
        <v>454</v>
      </c>
      <c r="H6" s="288">
        <v>54.7</v>
      </c>
      <c r="I6" s="156">
        <f t="shared" ref="I6:I13" si="1">IF(TYPE(H6/G6)=16,0,H6/G6)</f>
        <v>0.12048458149779737</v>
      </c>
      <c r="J6" s="157">
        <f t="shared" ref="J6:J13" si="2">IF(TYPE(H6/F6)=16,0,H6/F6)</f>
        <v>0.22791666666666668</v>
      </c>
      <c r="K6" s="296">
        <f>2*1026.62</f>
        <v>2053.2399999999998</v>
      </c>
      <c r="L6" s="295">
        <v>5.9</v>
      </c>
    </row>
    <row r="7" spans="1:12">
      <c r="A7" s="148" t="s">
        <v>970</v>
      </c>
      <c r="B7" s="272">
        <v>1</v>
      </c>
      <c r="C7" s="272">
        <v>1</v>
      </c>
      <c r="D7" s="272"/>
      <c r="E7" s="272">
        <v>2</v>
      </c>
      <c r="F7" s="152">
        <f t="shared" si="0"/>
        <v>240</v>
      </c>
      <c r="G7" s="272">
        <v>0</v>
      </c>
      <c r="H7" s="288">
        <v>0</v>
      </c>
      <c r="I7" s="156">
        <f t="shared" si="1"/>
        <v>0</v>
      </c>
      <c r="J7" s="157">
        <f t="shared" si="2"/>
        <v>0</v>
      </c>
      <c r="K7" s="14"/>
      <c r="L7" s="295"/>
    </row>
    <row r="8" spans="1:12">
      <c r="A8" s="148" t="s">
        <v>971</v>
      </c>
      <c r="B8" s="272">
        <v>1</v>
      </c>
      <c r="C8" s="272">
        <v>1</v>
      </c>
      <c r="D8" s="272"/>
      <c r="E8" s="272">
        <v>1</v>
      </c>
      <c r="F8" s="152">
        <f t="shared" si="0"/>
        <v>120</v>
      </c>
      <c r="G8" s="272">
        <v>110</v>
      </c>
      <c r="H8" s="288">
        <v>39.583399999999997</v>
      </c>
      <c r="I8" s="156">
        <f t="shared" si="1"/>
        <v>0.3598490909090909</v>
      </c>
      <c r="J8" s="157">
        <f t="shared" si="2"/>
        <v>0.32986166666666666</v>
      </c>
      <c r="K8" s="296">
        <v>1271.3599999999999</v>
      </c>
      <c r="L8" s="295">
        <v>11.5</v>
      </c>
    </row>
    <row r="9" spans="1:12">
      <c r="A9" s="148" t="s">
        <v>125</v>
      </c>
      <c r="B9" s="272">
        <v>1</v>
      </c>
      <c r="C9" s="272">
        <v>1</v>
      </c>
      <c r="D9" s="272"/>
      <c r="E9" s="272">
        <v>2</v>
      </c>
      <c r="F9" s="152">
        <f t="shared" si="0"/>
        <v>240</v>
      </c>
      <c r="G9" s="272">
        <v>313</v>
      </c>
      <c r="H9" s="288">
        <v>166.08</v>
      </c>
      <c r="I9" s="156">
        <f t="shared" si="1"/>
        <v>0.53060702875399368</v>
      </c>
      <c r="J9" s="157">
        <f t="shared" si="2"/>
        <v>0.69200000000000006</v>
      </c>
      <c r="K9" s="297">
        <v>1445.81</v>
      </c>
      <c r="L9" s="295">
        <v>3.3</v>
      </c>
    </row>
    <row r="10" spans="1:12">
      <c r="A10" s="148" t="s">
        <v>972</v>
      </c>
      <c r="B10" s="272">
        <v>1</v>
      </c>
      <c r="C10" s="272">
        <v>1</v>
      </c>
      <c r="D10" s="272"/>
      <c r="E10" s="272">
        <v>1</v>
      </c>
      <c r="F10" s="152">
        <f t="shared" si="0"/>
        <v>120</v>
      </c>
      <c r="G10" s="272">
        <v>0</v>
      </c>
      <c r="H10" s="288"/>
      <c r="I10" s="156">
        <f t="shared" si="1"/>
        <v>0</v>
      </c>
      <c r="J10" s="157">
        <f t="shared" si="2"/>
        <v>0</v>
      </c>
      <c r="K10" s="14"/>
      <c r="L10" s="15"/>
    </row>
    <row r="11" spans="1:12">
      <c r="A11" s="148" t="s">
        <v>973</v>
      </c>
      <c r="B11" s="272">
        <v>1</v>
      </c>
      <c r="C11" s="272">
        <v>1</v>
      </c>
      <c r="D11" s="272"/>
      <c r="E11" s="272">
        <v>3</v>
      </c>
      <c r="F11" s="152">
        <f t="shared" si="0"/>
        <v>360</v>
      </c>
      <c r="G11" s="272">
        <v>127</v>
      </c>
      <c r="H11" s="288"/>
      <c r="I11" s="156">
        <f t="shared" si="1"/>
        <v>0</v>
      </c>
      <c r="J11" s="157">
        <f t="shared" si="2"/>
        <v>0</v>
      </c>
      <c r="K11" s="14"/>
      <c r="L11" s="15"/>
    </row>
    <row r="12" spans="1:12">
      <c r="A12" s="258" t="s">
        <v>974</v>
      </c>
      <c r="B12" s="259">
        <v>1</v>
      </c>
      <c r="C12" s="259">
        <v>2</v>
      </c>
      <c r="D12" s="259"/>
      <c r="E12" s="259">
        <v>2</v>
      </c>
      <c r="F12" s="152">
        <f t="shared" si="0"/>
        <v>240</v>
      </c>
      <c r="G12" s="259">
        <v>237</v>
      </c>
      <c r="H12" s="499">
        <v>74</v>
      </c>
      <c r="I12" s="156">
        <f t="shared" si="1"/>
        <v>0.31223628691983124</v>
      </c>
      <c r="J12" s="157">
        <f t="shared" si="2"/>
        <v>0.30833333333333335</v>
      </c>
      <c r="K12" s="14"/>
      <c r="L12" s="15"/>
    </row>
    <row r="13" spans="1:12" ht="15.75" thickBot="1">
      <c r="A13" s="149" t="s">
        <v>975</v>
      </c>
      <c r="B13" s="150">
        <v>1</v>
      </c>
      <c r="C13" s="150">
        <v>1</v>
      </c>
      <c r="D13" s="150"/>
      <c r="E13" s="150">
        <v>1</v>
      </c>
      <c r="F13" s="152">
        <f t="shared" si="0"/>
        <v>120</v>
      </c>
      <c r="G13" s="150">
        <v>11</v>
      </c>
      <c r="H13" s="154"/>
      <c r="I13" s="158">
        <f t="shared" si="1"/>
        <v>0</v>
      </c>
      <c r="J13" s="159">
        <f t="shared" si="2"/>
        <v>0</v>
      </c>
      <c r="K13" s="16"/>
      <c r="L13" s="18"/>
    </row>
    <row r="14" spans="1:12">
      <c r="G14"/>
      <c r="H14"/>
      <c r="I14" s="78"/>
      <c r="J14" s="78"/>
    </row>
    <row r="15" spans="1:12" ht="15.75" thickBot="1">
      <c r="G15"/>
      <c r="H15"/>
      <c r="I15" s="78"/>
      <c r="J15" s="78"/>
    </row>
    <row r="16" spans="1:12" ht="30" customHeight="1" thickBot="1">
      <c r="A16" s="595" t="s">
        <v>976</v>
      </c>
      <c r="B16" s="596"/>
      <c r="C16" s="596"/>
      <c r="D16" s="596"/>
      <c r="E16" s="596"/>
      <c r="F16" s="596"/>
      <c r="G16" s="596"/>
      <c r="H16" s="596"/>
      <c r="I16" s="596"/>
      <c r="J16" s="596"/>
      <c r="K16" s="596"/>
      <c r="L16" s="597"/>
    </row>
    <row r="17" spans="1:12" ht="30" customHeight="1" thickBot="1">
      <c r="A17" s="289" t="s">
        <v>957</v>
      </c>
      <c r="B17" s="290" t="s">
        <v>958</v>
      </c>
      <c r="C17" s="290" t="s">
        <v>959</v>
      </c>
      <c r="D17" s="290" t="s">
        <v>960</v>
      </c>
      <c r="E17" s="290" t="s">
        <v>961</v>
      </c>
      <c r="F17" s="290" t="s">
        <v>962</v>
      </c>
      <c r="G17" s="290" t="s">
        <v>963</v>
      </c>
      <c r="H17" s="291" t="s">
        <v>964</v>
      </c>
      <c r="I17" s="289" t="s">
        <v>965</v>
      </c>
      <c r="J17" s="292" t="s">
        <v>966</v>
      </c>
      <c r="K17" s="293" t="s">
        <v>967</v>
      </c>
      <c r="L17" s="292" t="s">
        <v>968</v>
      </c>
    </row>
    <row r="18" spans="1:12">
      <c r="A18" s="151" t="s">
        <v>977</v>
      </c>
      <c r="B18" s="152">
        <v>1</v>
      </c>
      <c r="C18" s="152">
        <v>0</v>
      </c>
      <c r="D18" s="152"/>
      <c r="E18" s="152">
        <v>1</v>
      </c>
      <c r="F18" s="152">
        <f>B18*E18*$B$1*$F$1</f>
        <v>120</v>
      </c>
      <c r="G18" s="152">
        <v>0</v>
      </c>
      <c r="H18" s="153"/>
      <c r="I18" s="156">
        <f>IF(TYPE(H18/G18)=16,0,H18/G18)</f>
        <v>0</v>
      </c>
      <c r="J18" s="157">
        <f>IF(TYPE(H18/F18)=16,0,H18/F18)</f>
        <v>0</v>
      </c>
      <c r="K18" s="14"/>
      <c r="L18" s="15"/>
    </row>
    <row r="19" spans="1:12">
      <c r="A19" s="148" t="s">
        <v>978</v>
      </c>
      <c r="B19" s="272">
        <v>1</v>
      </c>
      <c r="C19" s="272">
        <v>2</v>
      </c>
      <c r="D19" s="272"/>
      <c r="E19" s="272">
        <v>2</v>
      </c>
      <c r="F19" s="152">
        <f>B19*E19*$B$1*$F$1</f>
        <v>240</v>
      </c>
      <c r="G19" s="272">
        <v>563</v>
      </c>
      <c r="H19" s="288"/>
      <c r="I19" s="156">
        <f>IF(TYPE(H19/G19)=16,0,H19/G19)</f>
        <v>0</v>
      </c>
      <c r="J19" s="157">
        <f>IF(TYPE(H19/F19)=16,0,H19/F19)</f>
        <v>0</v>
      </c>
      <c r="K19" s="14"/>
      <c r="L19" s="15"/>
    </row>
    <row r="20" spans="1:12">
      <c r="A20" s="148" t="s">
        <v>92</v>
      </c>
      <c r="B20" s="272">
        <v>1</v>
      </c>
      <c r="C20" s="272">
        <v>2</v>
      </c>
      <c r="D20" s="272"/>
      <c r="E20" s="272">
        <v>1</v>
      </c>
      <c r="F20" s="152">
        <f>B20*E20*$B$1*$F$1</f>
        <v>120</v>
      </c>
      <c r="G20" s="272">
        <v>303</v>
      </c>
      <c r="H20" s="288"/>
      <c r="I20" s="156">
        <f>IF(TYPE(H20/G20)=16,0,H20/G20)</f>
        <v>0</v>
      </c>
      <c r="J20" s="157">
        <f>IF(TYPE(H20/F20)=16,0,H20/F20)</f>
        <v>0</v>
      </c>
      <c r="K20" s="14"/>
      <c r="L20" s="15"/>
    </row>
    <row r="21" spans="1:12" ht="15.75" thickBot="1">
      <c r="A21" s="149" t="s">
        <v>979</v>
      </c>
      <c r="B21" s="150">
        <v>1</v>
      </c>
      <c r="C21" s="150">
        <v>1</v>
      </c>
      <c r="D21" s="150"/>
      <c r="E21" s="150">
        <v>4</v>
      </c>
      <c r="F21" s="152">
        <f>B21*E21*$B$1*$F$1</f>
        <v>480</v>
      </c>
      <c r="G21" s="150">
        <v>715</v>
      </c>
      <c r="H21" s="154"/>
      <c r="I21" s="158">
        <f>IF(TYPE(H21/G21)=16,0,H21/G21)</f>
        <v>0</v>
      </c>
      <c r="J21" s="159">
        <f>IF(TYPE(H21/F21)=16,0,H21/F21)</f>
        <v>0</v>
      </c>
      <c r="K21" s="16"/>
      <c r="L21" s="18"/>
    </row>
  </sheetData>
  <mergeCells count="2">
    <mergeCell ref="A3:L3"/>
    <mergeCell ref="A16:L1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Munka30">
    <tabColor theme="7"/>
  </sheetPr>
  <dimension ref="A1:AJ9251"/>
  <sheetViews>
    <sheetView topLeftCell="E1" zoomScale="80" zoomScaleNormal="80" workbookViewId="0">
      <selection activeCell="L5" sqref="L5"/>
    </sheetView>
  </sheetViews>
  <sheetFormatPr defaultRowHeight="15"/>
  <cols>
    <col min="1" max="1" width="16.28515625" bestFit="1" customWidth="1"/>
    <col min="2" max="2" width="14.28515625" bestFit="1" customWidth="1"/>
    <col min="3" max="3" width="16.28515625" bestFit="1" customWidth="1"/>
    <col min="4" max="4" width="12.28515625" bestFit="1" customWidth="1"/>
    <col min="5" max="5" width="14.85546875" bestFit="1" customWidth="1"/>
    <col min="6" max="6" width="15.28515625" bestFit="1" customWidth="1"/>
    <col min="7" max="7" width="9.5703125" style="399" bestFit="1" customWidth="1"/>
    <col min="8" max="8" width="8.28515625" bestFit="1" customWidth="1"/>
    <col min="11" max="11" width="15.140625" bestFit="1" customWidth="1"/>
    <col min="12" max="12" width="13" bestFit="1" customWidth="1"/>
    <col min="17" max="17" width="18.42578125" bestFit="1" customWidth="1"/>
    <col min="18" max="18" width="15.7109375" bestFit="1" customWidth="1"/>
  </cols>
  <sheetData>
    <row r="1" spans="1:18">
      <c r="A1" t="s">
        <v>980</v>
      </c>
      <c r="B1" t="s">
        <v>981</v>
      </c>
      <c r="C1" t="s">
        <v>982</v>
      </c>
      <c r="D1" t="s">
        <v>983</v>
      </c>
      <c r="E1" t="s">
        <v>984</v>
      </c>
      <c r="F1" t="s">
        <v>985</v>
      </c>
      <c r="G1" s="399" t="s">
        <v>986</v>
      </c>
      <c r="H1" t="s">
        <v>987</v>
      </c>
      <c r="K1" s="129" t="s">
        <v>987</v>
      </c>
      <c r="L1" t="s">
        <v>988</v>
      </c>
      <c r="M1" t="s">
        <v>989</v>
      </c>
      <c r="Q1" t="s">
        <v>990</v>
      </c>
      <c r="R1" t="s">
        <v>991</v>
      </c>
    </row>
    <row r="2" spans="1:18">
      <c r="A2" t="s">
        <v>992</v>
      </c>
      <c r="B2" t="s">
        <v>993</v>
      </c>
      <c r="C2" t="s">
        <v>994</v>
      </c>
      <c r="D2">
        <v>325.32499999999999</v>
      </c>
      <c r="E2" s="128">
        <v>45092</v>
      </c>
      <c r="F2" s="128">
        <v>47483</v>
      </c>
      <c r="G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325.32499999999999</v>
      </c>
      <c r="H2" s="128" t="str">
        <f t="shared" ref="H2:H65" ca="1" si="0">IF(OR(F2=0,F2&gt;TODAY()),"YES","NO")</f>
        <v>YES</v>
      </c>
      <c r="Q2" t="s">
        <v>995</v>
      </c>
      <c r="R2">
        <v>6.7823900000000004</v>
      </c>
    </row>
    <row r="3" spans="1:18">
      <c r="A3" t="s">
        <v>992</v>
      </c>
      <c r="B3" t="s">
        <v>996</v>
      </c>
      <c r="C3" t="s">
        <v>994</v>
      </c>
      <c r="D3">
        <v>313.32499999999999</v>
      </c>
      <c r="E3" s="128">
        <v>45092</v>
      </c>
      <c r="F3" s="128">
        <v>47483</v>
      </c>
      <c r="G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313.32499999999999</v>
      </c>
      <c r="H3" s="128" t="str">
        <f t="shared" ca="1" si="0"/>
        <v>YES</v>
      </c>
      <c r="K3" s="129" t="s">
        <v>997</v>
      </c>
      <c r="L3" t="s">
        <v>998</v>
      </c>
      <c r="Q3" t="s">
        <v>999</v>
      </c>
      <c r="R3">
        <v>6.6955600000000004</v>
      </c>
    </row>
    <row r="4" spans="1:18">
      <c r="A4" t="s">
        <v>992</v>
      </c>
      <c r="B4" t="s">
        <v>1000</v>
      </c>
      <c r="C4" t="s">
        <v>994</v>
      </c>
      <c r="D4">
        <v>174</v>
      </c>
      <c r="E4" s="128">
        <v>45149</v>
      </c>
      <c r="F4" s="128">
        <v>47361</v>
      </c>
      <c r="G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174</v>
      </c>
      <c r="H4" s="128" t="str">
        <f t="shared" ca="1" si="0"/>
        <v>YES</v>
      </c>
      <c r="K4" s="130" t="s">
        <v>995</v>
      </c>
      <c r="L4" s="598">
        <v>8.4071719999999992</v>
      </c>
      <c r="Q4" t="s">
        <v>1001</v>
      </c>
      <c r="R4">
        <v>3.4697200000000001</v>
      </c>
    </row>
    <row r="5" spans="1:18">
      <c r="A5" t="s">
        <v>992</v>
      </c>
      <c r="B5" t="s">
        <v>1002</v>
      </c>
      <c r="C5" t="s">
        <v>994</v>
      </c>
      <c r="D5">
        <v>350</v>
      </c>
      <c r="E5" s="128">
        <v>45092</v>
      </c>
      <c r="F5" s="128">
        <v>45415</v>
      </c>
      <c r="G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5" s="128" t="str">
        <f t="shared" ca="1" si="0"/>
        <v>NO</v>
      </c>
      <c r="K5" s="130" t="s">
        <v>999</v>
      </c>
      <c r="L5" s="598">
        <v>7.4830580000000015</v>
      </c>
      <c r="Q5" t="s">
        <v>1003</v>
      </c>
      <c r="R5">
        <v>210.94830000000002</v>
      </c>
    </row>
    <row r="6" spans="1:18">
      <c r="A6" t="s">
        <v>992</v>
      </c>
      <c r="B6" t="s">
        <v>1004</v>
      </c>
      <c r="C6" t="s">
        <v>994</v>
      </c>
      <c r="D6">
        <v>426.93</v>
      </c>
      <c r="E6" s="128">
        <v>45155</v>
      </c>
      <c r="F6" s="128">
        <v>47483</v>
      </c>
      <c r="G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426.93</v>
      </c>
      <c r="H6" s="128" t="str">
        <f t="shared" ca="1" si="0"/>
        <v>YES</v>
      </c>
      <c r="K6" s="130" t="s">
        <v>1005</v>
      </c>
      <c r="L6" s="598">
        <v>309.81</v>
      </c>
      <c r="Q6" t="s">
        <v>1006</v>
      </c>
      <c r="R6">
        <v>146.09413999999998</v>
      </c>
    </row>
    <row r="7" spans="1:18">
      <c r="A7" t="s">
        <v>992</v>
      </c>
      <c r="B7" t="s">
        <v>1007</v>
      </c>
      <c r="C7" t="s">
        <v>994</v>
      </c>
      <c r="D7">
        <v>101.97000000000001</v>
      </c>
      <c r="E7" s="128">
        <v>45149</v>
      </c>
      <c r="F7" s="128">
        <v>47483</v>
      </c>
      <c r="G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101.97000000000001</v>
      </c>
      <c r="H7" s="128" t="str">
        <f t="shared" ca="1" si="0"/>
        <v>YES</v>
      </c>
      <c r="K7" s="130" t="s">
        <v>1008</v>
      </c>
      <c r="L7" s="598">
        <v>315.04000000000002</v>
      </c>
      <c r="Q7" t="s">
        <v>1009</v>
      </c>
      <c r="R7">
        <v>259.45</v>
      </c>
    </row>
    <row r="8" spans="1:18">
      <c r="A8" t="s">
        <v>992</v>
      </c>
      <c r="B8" t="s">
        <v>1010</v>
      </c>
      <c r="C8" t="s">
        <v>994</v>
      </c>
      <c r="D8">
        <v>419.99999999999994</v>
      </c>
      <c r="E8" s="128">
        <v>45092</v>
      </c>
      <c r="F8" s="128">
        <v>45415</v>
      </c>
      <c r="G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419.99999999999994</v>
      </c>
      <c r="H8" s="128" t="str">
        <f t="shared" ca="1" si="0"/>
        <v>NO</v>
      </c>
      <c r="K8" s="130" t="s">
        <v>1011</v>
      </c>
      <c r="L8" s="598">
        <v>222.10799999999998</v>
      </c>
      <c r="Q8" t="s">
        <v>1012</v>
      </c>
      <c r="R8">
        <v>67.55377</v>
      </c>
    </row>
    <row r="9" spans="1:18">
      <c r="A9" t="s">
        <v>992</v>
      </c>
      <c r="B9" t="s">
        <v>1013</v>
      </c>
      <c r="C9" t="s">
        <v>994</v>
      </c>
      <c r="D9">
        <v>202.11999999999998</v>
      </c>
      <c r="E9" s="128">
        <v>45079</v>
      </c>
      <c r="F9" s="128">
        <v>47483</v>
      </c>
      <c r="G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202.11999999999998</v>
      </c>
      <c r="H9" s="128" t="str">
        <f t="shared" ca="1" si="0"/>
        <v>YES</v>
      </c>
      <c r="K9" s="130" t="s">
        <v>1014</v>
      </c>
      <c r="L9" s="598">
        <v>95.772000000000006</v>
      </c>
      <c r="Q9" t="s">
        <v>1015</v>
      </c>
      <c r="R9">
        <v>154.45524</v>
      </c>
    </row>
    <row r="10" spans="1:18">
      <c r="A10" t="s">
        <v>992</v>
      </c>
      <c r="B10" t="s">
        <v>1016</v>
      </c>
      <c r="C10" t="s">
        <v>994</v>
      </c>
      <c r="D10">
        <v>174</v>
      </c>
      <c r="E10" s="128">
        <v>45149</v>
      </c>
      <c r="F10" s="128">
        <v>47341</v>
      </c>
      <c r="G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174</v>
      </c>
      <c r="H10" s="128" t="str">
        <f t="shared" ca="1" si="0"/>
        <v>YES</v>
      </c>
      <c r="K10" s="130" t="s">
        <v>1017</v>
      </c>
      <c r="L10" s="598">
        <v>156.91</v>
      </c>
      <c r="Q10" t="s">
        <v>1018</v>
      </c>
      <c r="R10">
        <v>165.59936999999999</v>
      </c>
    </row>
    <row r="11" spans="1:18">
      <c r="A11" t="s">
        <v>992</v>
      </c>
      <c r="B11" t="s">
        <v>1019</v>
      </c>
      <c r="C11" t="s">
        <v>994</v>
      </c>
      <c r="D11">
        <v>431.84999999999997</v>
      </c>
      <c r="E11" s="128">
        <v>45182</v>
      </c>
      <c r="F11" s="128">
        <v>45440</v>
      </c>
      <c r="G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431.84999999999997</v>
      </c>
      <c r="H11" s="128" t="str">
        <f t="shared" ca="1" si="0"/>
        <v>NO</v>
      </c>
      <c r="K11" s="130" t="s">
        <v>1020</v>
      </c>
      <c r="L11" s="598">
        <v>208.21999999999997</v>
      </c>
      <c r="Q11" t="s">
        <v>996</v>
      </c>
      <c r="R11">
        <v>157.54468</v>
      </c>
    </row>
    <row r="12" spans="1:18">
      <c r="A12" t="s">
        <v>992</v>
      </c>
      <c r="B12" t="s">
        <v>1021</v>
      </c>
      <c r="C12" t="s">
        <v>994</v>
      </c>
      <c r="D12">
        <v>378.62999999999994</v>
      </c>
      <c r="E12" s="128">
        <v>45167</v>
      </c>
      <c r="F12" s="128">
        <v>45415</v>
      </c>
      <c r="G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378.62999999999994</v>
      </c>
      <c r="H12" s="128" t="str">
        <f t="shared" ca="1" si="0"/>
        <v>NO</v>
      </c>
      <c r="K12" s="130" t="s">
        <v>1022</v>
      </c>
      <c r="L12" s="598">
        <v>416.79</v>
      </c>
      <c r="Q12" t="s">
        <v>1010</v>
      </c>
      <c r="R12">
        <v>140.68133</v>
      </c>
    </row>
    <row r="13" spans="1:18">
      <c r="A13" t="s">
        <v>992</v>
      </c>
      <c r="B13" t="s">
        <v>1015</v>
      </c>
      <c r="C13" t="s">
        <v>994</v>
      </c>
      <c r="D13">
        <v>350</v>
      </c>
      <c r="E13" s="128">
        <v>45078</v>
      </c>
      <c r="F13" s="128">
        <v>45415</v>
      </c>
      <c r="G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13" s="128" t="str">
        <f t="shared" ca="1" si="0"/>
        <v>NO</v>
      </c>
      <c r="K13" s="130" t="s">
        <v>1023</v>
      </c>
      <c r="L13" s="598">
        <v>179.37</v>
      </c>
      <c r="Q13" t="s">
        <v>1024</v>
      </c>
      <c r="R13">
        <v>186.13822999999999</v>
      </c>
    </row>
    <row r="14" spans="1:18">
      <c r="A14" t="s">
        <v>992</v>
      </c>
      <c r="B14" t="s">
        <v>1025</v>
      </c>
      <c r="C14" t="s">
        <v>994</v>
      </c>
      <c r="D14">
        <v>475.39</v>
      </c>
      <c r="E14" s="128">
        <v>45078</v>
      </c>
      <c r="F14" s="128">
        <v>45427</v>
      </c>
      <c r="G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475.39</v>
      </c>
      <c r="H14" s="128" t="str">
        <f t="shared" ca="1" si="0"/>
        <v>NO</v>
      </c>
      <c r="K14" s="130" t="s">
        <v>1026</v>
      </c>
      <c r="L14" s="598">
        <v>6.83</v>
      </c>
      <c r="Q14" t="s">
        <v>1002</v>
      </c>
      <c r="R14">
        <v>152.53736000000001</v>
      </c>
    </row>
    <row r="15" spans="1:18">
      <c r="A15" t="s">
        <v>992</v>
      </c>
      <c r="B15" t="s">
        <v>1027</v>
      </c>
      <c r="C15" t="s">
        <v>994</v>
      </c>
      <c r="D15">
        <v>277.58999999999997</v>
      </c>
      <c r="E15" s="128">
        <v>45078</v>
      </c>
      <c r="F15" s="128">
        <v>47483</v>
      </c>
      <c r="G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277.58999999999997</v>
      </c>
      <c r="H15" s="128" t="str">
        <f t="shared" ca="1" si="0"/>
        <v>YES</v>
      </c>
      <c r="K15" s="130" t="s">
        <v>1028</v>
      </c>
      <c r="L15" s="598">
        <v>153.59</v>
      </c>
      <c r="Q15" t="s">
        <v>993</v>
      </c>
      <c r="R15">
        <v>122.96878</v>
      </c>
    </row>
    <row r="16" spans="1:18">
      <c r="A16" t="s">
        <v>992</v>
      </c>
      <c r="B16" t="s">
        <v>1029</v>
      </c>
      <c r="C16" t="s">
        <v>994</v>
      </c>
      <c r="D16">
        <v>369.95</v>
      </c>
      <c r="E16" s="128">
        <v>45078</v>
      </c>
      <c r="F16" s="128">
        <v>45415</v>
      </c>
      <c r="G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369.95</v>
      </c>
      <c r="H16" s="128" t="str">
        <f t="shared" ca="1" si="0"/>
        <v>NO</v>
      </c>
      <c r="K16" s="130" t="s">
        <v>1030</v>
      </c>
      <c r="L16" s="598">
        <v>281.64</v>
      </c>
      <c r="Q16" t="s">
        <v>1031</v>
      </c>
      <c r="R16">
        <v>189.65972000000002</v>
      </c>
    </row>
    <row r="17" spans="1:18">
      <c r="A17" t="s">
        <v>992</v>
      </c>
      <c r="B17" t="s">
        <v>1032</v>
      </c>
      <c r="C17" t="s">
        <v>994</v>
      </c>
      <c r="D17">
        <v>710</v>
      </c>
      <c r="E17" s="128">
        <v>45047</v>
      </c>
      <c r="F17" s="128">
        <v>47483</v>
      </c>
      <c r="G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710</v>
      </c>
      <c r="H17" s="128" t="str">
        <f t="shared" ca="1" si="0"/>
        <v>YES</v>
      </c>
      <c r="K17" s="130" t="s">
        <v>1033</v>
      </c>
      <c r="L17" s="598">
        <v>302.27999999999997</v>
      </c>
      <c r="Q17" t="s">
        <v>1034</v>
      </c>
      <c r="R17">
        <v>342.29681999999997</v>
      </c>
    </row>
    <row r="18" spans="1:18">
      <c r="A18" t="s">
        <v>992</v>
      </c>
      <c r="B18" t="s">
        <v>1035</v>
      </c>
      <c r="C18" t="s">
        <v>994</v>
      </c>
      <c r="D18">
        <v>114.5</v>
      </c>
      <c r="E18" s="128">
        <v>45497</v>
      </c>
      <c r="F18" s="128">
        <v>47483</v>
      </c>
      <c r="G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114.5</v>
      </c>
      <c r="H18" s="128" t="str">
        <f t="shared" ca="1" si="0"/>
        <v>YES</v>
      </c>
      <c r="K18" s="130" t="s">
        <v>1036</v>
      </c>
      <c r="L18" s="598">
        <v>171.67000000000002</v>
      </c>
      <c r="Q18" t="s">
        <v>1004</v>
      </c>
      <c r="R18">
        <v>243.30433000000002</v>
      </c>
    </row>
    <row r="19" spans="1:18">
      <c r="A19" t="s">
        <v>992</v>
      </c>
      <c r="B19" t="s">
        <v>1037</v>
      </c>
      <c r="C19" t="s">
        <v>994</v>
      </c>
      <c r="D19">
        <v>175.1</v>
      </c>
      <c r="E19" s="128">
        <v>45497</v>
      </c>
      <c r="F19" s="128">
        <v>47483</v>
      </c>
      <c r="G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175.1</v>
      </c>
      <c r="H19" s="128" t="str">
        <f t="shared" ca="1" si="0"/>
        <v>YES</v>
      </c>
      <c r="K19" s="130" t="s">
        <v>1038</v>
      </c>
      <c r="L19" s="598">
        <v>249.86</v>
      </c>
      <c r="Q19" t="s">
        <v>1039</v>
      </c>
      <c r="R19">
        <v>498.6703</v>
      </c>
    </row>
    <row r="20" spans="1:18">
      <c r="A20" t="s">
        <v>992</v>
      </c>
      <c r="B20" t="s">
        <v>1040</v>
      </c>
      <c r="C20" t="s">
        <v>994</v>
      </c>
      <c r="D20">
        <v>203.89999999999998</v>
      </c>
      <c r="E20" s="128">
        <v>45497</v>
      </c>
      <c r="F20" s="128">
        <v>47483</v>
      </c>
      <c r="G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203.89999999999998</v>
      </c>
      <c r="H20" s="128" t="str">
        <f t="shared" ca="1" si="0"/>
        <v>YES</v>
      </c>
      <c r="K20" s="130" t="s">
        <v>1041</v>
      </c>
      <c r="L20" s="598">
        <v>209.99999999999997</v>
      </c>
      <c r="Q20" t="s">
        <v>1042</v>
      </c>
      <c r="R20">
        <v>439.67573999999996</v>
      </c>
    </row>
    <row r="21" spans="1:18">
      <c r="A21" t="s">
        <v>992</v>
      </c>
      <c r="B21" t="s">
        <v>1043</v>
      </c>
      <c r="C21" t="s">
        <v>994</v>
      </c>
      <c r="D21">
        <v>243.2</v>
      </c>
      <c r="E21" s="128">
        <v>45497</v>
      </c>
      <c r="F21" s="128">
        <v>47483</v>
      </c>
      <c r="G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243.2</v>
      </c>
      <c r="H21" s="128" t="str">
        <f t="shared" ca="1" si="0"/>
        <v>YES</v>
      </c>
      <c r="K21" s="130" t="s">
        <v>1044</v>
      </c>
      <c r="L21" s="598">
        <v>165</v>
      </c>
      <c r="Q21" t="s">
        <v>1045</v>
      </c>
      <c r="R21">
        <v>127.39161999999999</v>
      </c>
    </row>
    <row r="22" spans="1:18">
      <c r="A22" t="s">
        <v>992</v>
      </c>
      <c r="B22" t="s">
        <v>1046</v>
      </c>
      <c r="C22" t="s">
        <v>994</v>
      </c>
      <c r="D22">
        <v>142.30000000000001</v>
      </c>
      <c r="E22" s="128">
        <v>44930</v>
      </c>
      <c r="F22" s="128">
        <v>44930</v>
      </c>
      <c r="G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142.30000000000001</v>
      </c>
      <c r="H22" s="128" t="str">
        <f t="shared" ca="1" si="0"/>
        <v>NO</v>
      </c>
      <c r="K22" s="130" t="s">
        <v>1047</v>
      </c>
      <c r="L22" s="598">
        <v>276</v>
      </c>
      <c r="Q22" t="s">
        <v>1048</v>
      </c>
      <c r="R22">
        <v>210.94830000000002</v>
      </c>
    </row>
    <row r="23" spans="1:18">
      <c r="A23" t="s">
        <v>992</v>
      </c>
      <c r="B23" t="s">
        <v>1049</v>
      </c>
      <c r="C23" t="s">
        <v>994</v>
      </c>
      <c r="D23">
        <v>284</v>
      </c>
      <c r="E23" s="128">
        <v>45488</v>
      </c>
      <c r="F23" s="128">
        <v>47483</v>
      </c>
      <c r="G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284</v>
      </c>
      <c r="H23" s="128" t="str">
        <f t="shared" ca="1" si="0"/>
        <v>YES</v>
      </c>
      <c r="K23" s="130" t="s">
        <v>1050</v>
      </c>
      <c r="L23" s="598">
        <v>234.85</v>
      </c>
      <c r="Q23" t="s">
        <v>1051</v>
      </c>
      <c r="R23">
        <v>146.76690000000002</v>
      </c>
    </row>
    <row r="24" spans="1:18">
      <c r="A24" t="s">
        <v>992</v>
      </c>
      <c r="B24" t="s">
        <v>1052</v>
      </c>
      <c r="C24" t="s">
        <v>994</v>
      </c>
      <c r="D24">
        <v>473</v>
      </c>
      <c r="E24" s="128">
        <v>45488</v>
      </c>
      <c r="F24" s="128">
        <v>47483</v>
      </c>
      <c r="G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473</v>
      </c>
      <c r="H24" s="128" t="str">
        <f t="shared" ca="1" si="0"/>
        <v>YES</v>
      </c>
      <c r="K24" s="130" t="s">
        <v>1053</v>
      </c>
      <c r="L24" s="598">
        <v>237.86</v>
      </c>
      <c r="Q24" t="s">
        <v>1054</v>
      </c>
      <c r="R24">
        <v>174.85733999999999</v>
      </c>
    </row>
    <row r="25" spans="1:18">
      <c r="A25" t="s">
        <v>992</v>
      </c>
      <c r="B25" t="s">
        <v>1009</v>
      </c>
      <c r="C25" t="s">
        <v>994</v>
      </c>
      <c r="D25">
        <v>418.46</v>
      </c>
      <c r="E25" s="128">
        <v>45600</v>
      </c>
      <c r="F25" s="128">
        <v>46022</v>
      </c>
      <c r="G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418.46</v>
      </c>
      <c r="H25" s="128" t="str">
        <f t="shared" ca="1" si="0"/>
        <v>YES</v>
      </c>
      <c r="K25" s="130" t="s">
        <v>1055</v>
      </c>
      <c r="L25" s="598">
        <v>48.940000000000005</v>
      </c>
      <c r="Q25" t="s">
        <v>1019</v>
      </c>
      <c r="R25">
        <v>140.26488000000001</v>
      </c>
    </row>
    <row r="26" spans="1:18">
      <c r="A26" t="s">
        <v>992</v>
      </c>
      <c r="B26" t="s">
        <v>862</v>
      </c>
      <c r="C26" t="s">
        <v>994</v>
      </c>
      <c r="D26">
        <v>1320</v>
      </c>
      <c r="E26" s="128">
        <v>45292</v>
      </c>
      <c r="F26" s="128">
        <v>45657</v>
      </c>
      <c r="G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1320</v>
      </c>
      <c r="H26" s="128" t="str">
        <f t="shared" ca="1" si="0"/>
        <v>NO</v>
      </c>
      <c r="K26" s="130" t="s">
        <v>1056</v>
      </c>
      <c r="L26" s="598">
        <v>209.99999999999997</v>
      </c>
      <c r="Q26" t="s">
        <v>1021</v>
      </c>
      <c r="R26">
        <v>191.57383000000002</v>
      </c>
    </row>
    <row r="27" spans="1:18">
      <c r="A27" t="s">
        <v>992</v>
      </c>
      <c r="B27" t="s">
        <v>1048</v>
      </c>
      <c r="C27" t="s">
        <v>994</v>
      </c>
      <c r="D27">
        <v>419.86999999999995</v>
      </c>
      <c r="E27" s="128">
        <v>45600</v>
      </c>
      <c r="F27" s="128">
        <v>46022</v>
      </c>
      <c r="G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419.86999999999995</v>
      </c>
      <c r="H27" s="128" t="str">
        <f t="shared" ca="1" si="0"/>
        <v>YES</v>
      </c>
      <c r="K27" s="130" t="s">
        <v>1057</v>
      </c>
      <c r="L27" s="598">
        <v>247.82</v>
      </c>
      <c r="Q27" t="s">
        <v>1005</v>
      </c>
      <c r="R27">
        <v>210.40544</v>
      </c>
    </row>
    <row r="28" spans="1:18">
      <c r="A28" t="s">
        <v>992</v>
      </c>
      <c r="B28" t="s">
        <v>1058</v>
      </c>
      <c r="C28" t="s">
        <v>994</v>
      </c>
      <c r="D28">
        <v>1760.6000000000001</v>
      </c>
      <c r="E28" s="128">
        <v>45413</v>
      </c>
      <c r="F28" s="128">
        <v>45657</v>
      </c>
      <c r="G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1760.6000000000001</v>
      </c>
      <c r="H28" s="128" t="str">
        <f t="shared" ca="1" si="0"/>
        <v>NO</v>
      </c>
      <c r="K28" s="130" t="s">
        <v>1059</v>
      </c>
      <c r="L28" s="598">
        <v>209.99999999999997</v>
      </c>
      <c r="Q28" t="s">
        <v>1008</v>
      </c>
      <c r="R28">
        <v>221.90335000000002</v>
      </c>
    </row>
    <row r="29" spans="1:18">
      <c r="A29" t="s">
        <v>992</v>
      </c>
      <c r="B29" t="s">
        <v>247</v>
      </c>
      <c r="C29" t="s">
        <v>994</v>
      </c>
      <c r="D29">
        <v>210.29999999999998</v>
      </c>
      <c r="E29" s="128">
        <v>45413</v>
      </c>
      <c r="F29" s="128">
        <v>45657</v>
      </c>
      <c r="G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210.29999999999998</v>
      </c>
      <c r="H29" s="128" t="str">
        <f t="shared" ca="1" si="0"/>
        <v>NO</v>
      </c>
      <c r="K29" s="130" t="s">
        <v>1060</v>
      </c>
      <c r="L29" s="598">
        <v>249.86</v>
      </c>
      <c r="Q29" t="s">
        <v>1011</v>
      </c>
      <c r="R29">
        <v>168.35934</v>
      </c>
    </row>
    <row r="30" spans="1:18">
      <c r="A30" t="s">
        <v>992</v>
      </c>
      <c r="B30" t="s">
        <v>1061</v>
      </c>
      <c r="C30" t="s">
        <v>994</v>
      </c>
      <c r="D30">
        <v>1183</v>
      </c>
      <c r="E30" s="128">
        <v>45292</v>
      </c>
      <c r="F30" s="128">
        <v>45657</v>
      </c>
      <c r="G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1183</v>
      </c>
      <c r="H30" s="128" t="str">
        <f t="shared" ca="1" si="0"/>
        <v>NO</v>
      </c>
      <c r="K30" s="130" t="s">
        <v>1062</v>
      </c>
      <c r="L30" s="598">
        <v>254.36999999999998</v>
      </c>
      <c r="Q30" t="s">
        <v>1014</v>
      </c>
      <c r="R30">
        <v>77.537899999999993</v>
      </c>
    </row>
    <row r="31" spans="1:18">
      <c r="A31" t="s">
        <v>992</v>
      </c>
      <c r="B31" t="s">
        <v>835</v>
      </c>
      <c r="C31" t="s">
        <v>994</v>
      </c>
      <c r="D31">
        <v>1408</v>
      </c>
      <c r="E31" s="128">
        <v>45292</v>
      </c>
      <c r="F31" s="128">
        <v>45657</v>
      </c>
      <c r="G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1408</v>
      </c>
      <c r="H31" s="128" t="str">
        <f t="shared" ca="1" si="0"/>
        <v>NO</v>
      </c>
      <c r="K31" s="130" t="s">
        <v>1063</v>
      </c>
      <c r="L31" s="598">
        <v>749</v>
      </c>
      <c r="Q31" t="s">
        <v>1017</v>
      </c>
      <c r="R31">
        <v>112.65145000000001</v>
      </c>
    </row>
    <row r="32" spans="1:18">
      <c r="A32" t="s">
        <v>992</v>
      </c>
      <c r="B32" t="s">
        <v>1064</v>
      </c>
      <c r="C32" t="s">
        <v>994</v>
      </c>
      <c r="D32">
        <v>287</v>
      </c>
      <c r="E32" s="128">
        <v>45292</v>
      </c>
      <c r="F32" s="128">
        <v>47483</v>
      </c>
      <c r="G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287</v>
      </c>
      <c r="H32" s="128" t="str">
        <f t="shared" ca="1" si="0"/>
        <v>YES</v>
      </c>
      <c r="K32" s="130" t="s">
        <v>1065</v>
      </c>
      <c r="L32" s="598">
        <v>429.62</v>
      </c>
      <c r="Q32" t="s">
        <v>1020</v>
      </c>
      <c r="R32">
        <v>188.55016999999998</v>
      </c>
    </row>
    <row r="33" spans="1:18">
      <c r="A33" t="s">
        <v>992</v>
      </c>
      <c r="B33" t="s">
        <v>1066</v>
      </c>
      <c r="C33" t="s">
        <v>994</v>
      </c>
      <c r="D33">
        <v>387.90000000000003</v>
      </c>
      <c r="E33" s="128">
        <v>45538</v>
      </c>
      <c r="F33" s="128">
        <v>47483</v>
      </c>
      <c r="G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387.90000000000003</v>
      </c>
      <c r="H33" s="128" t="str">
        <f t="shared" ca="1" si="0"/>
        <v>YES</v>
      </c>
      <c r="K33" s="130" t="s">
        <v>1067</v>
      </c>
      <c r="L33" s="598">
        <v>48.300000000000004</v>
      </c>
      <c r="Q33" t="s">
        <v>1022</v>
      </c>
      <c r="R33">
        <v>203.94229999999999</v>
      </c>
    </row>
    <row r="34" spans="1:18">
      <c r="A34" t="s">
        <v>992</v>
      </c>
      <c r="B34" t="s">
        <v>1068</v>
      </c>
      <c r="C34" t="s">
        <v>994</v>
      </c>
      <c r="D34">
        <v>295</v>
      </c>
      <c r="E34" s="128">
        <v>45499</v>
      </c>
      <c r="F34" s="128">
        <v>47483</v>
      </c>
      <c r="G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295</v>
      </c>
      <c r="H34" s="128" t="str">
        <f t="shared" ca="1" si="0"/>
        <v>YES</v>
      </c>
      <c r="K34" s="130" t="s">
        <v>1069</v>
      </c>
      <c r="L34" s="598">
        <v>250.52</v>
      </c>
      <c r="Q34" t="s">
        <v>1023</v>
      </c>
      <c r="R34">
        <v>146.12688</v>
      </c>
    </row>
    <row r="35" spans="1:18">
      <c r="A35" t="s">
        <v>992</v>
      </c>
      <c r="B35" t="s">
        <v>1068</v>
      </c>
      <c r="C35" t="s">
        <v>994</v>
      </c>
      <c r="D35">
        <v>371</v>
      </c>
      <c r="E35" s="128">
        <v>45499</v>
      </c>
      <c r="F35" s="128">
        <v>47483</v>
      </c>
      <c r="G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371</v>
      </c>
      <c r="H35" s="128" t="str">
        <f t="shared" ca="1" si="0"/>
        <v>YES</v>
      </c>
      <c r="K35" s="130" t="s">
        <v>1070</v>
      </c>
      <c r="L35" s="598">
        <v>588.78</v>
      </c>
      <c r="Q35" t="s">
        <v>1071</v>
      </c>
      <c r="R35">
        <v>15.28997</v>
      </c>
    </row>
    <row r="36" spans="1:18">
      <c r="A36" t="s">
        <v>992</v>
      </c>
      <c r="B36" t="s">
        <v>1072</v>
      </c>
      <c r="C36" t="s">
        <v>994</v>
      </c>
      <c r="D36">
        <v>6500</v>
      </c>
      <c r="E36" s="128">
        <v>45499</v>
      </c>
      <c r="F36" s="128">
        <v>47483</v>
      </c>
      <c r="G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6500</v>
      </c>
      <c r="H36" s="128" t="str">
        <f t="shared" ca="1" si="0"/>
        <v>YES</v>
      </c>
      <c r="K36" s="130" t="s">
        <v>1073</v>
      </c>
      <c r="L36" s="598">
        <v>859.98333333333323</v>
      </c>
      <c r="Q36" t="s">
        <v>1074</v>
      </c>
      <c r="R36">
        <v>8.4920999999999989</v>
      </c>
    </row>
    <row r="37" spans="1:18">
      <c r="A37" t="s">
        <v>992</v>
      </c>
      <c r="B37" t="s">
        <v>1035</v>
      </c>
      <c r="C37" t="s">
        <v>994</v>
      </c>
      <c r="D37">
        <v>156.60000000000002</v>
      </c>
      <c r="E37" s="128">
        <v>45497</v>
      </c>
      <c r="F37" s="128">
        <v>47483</v>
      </c>
      <c r="G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156.60000000000002</v>
      </c>
      <c r="H37" s="128" t="str">
        <f t="shared" ca="1" si="0"/>
        <v>YES</v>
      </c>
      <c r="K37" s="130" t="s">
        <v>1075</v>
      </c>
      <c r="L37" s="598">
        <v>550.66</v>
      </c>
      <c r="Q37" t="s">
        <v>1076</v>
      </c>
      <c r="R37">
        <v>259.45</v>
      </c>
    </row>
    <row r="38" spans="1:18">
      <c r="A38" t="s">
        <v>992</v>
      </c>
      <c r="B38" t="s">
        <v>1037</v>
      </c>
      <c r="C38" t="s">
        <v>994</v>
      </c>
      <c r="D38">
        <v>217.20000000000002</v>
      </c>
      <c r="E38" s="128">
        <v>45497</v>
      </c>
      <c r="F38" s="128">
        <v>47483</v>
      </c>
      <c r="G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217.20000000000002</v>
      </c>
      <c r="H38" s="128" t="str">
        <f t="shared" ca="1" si="0"/>
        <v>YES</v>
      </c>
      <c r="K38" s="130" t="s">
        <v>1077</v>
      </c>
      <c r="L38" s="598">
        <v>352.57</v>
      </c>
      <c r="Q38" t="s">
        <v>1026</v>
      </c>
      <c r="R38">
        <v>4.9430199999999997</v>
      </c>
    </row>
    <row r="39" spans="1:18">
      <c r="A39" t="s">
        <v>992</v>
      </c>
      <c r="B39" t="s">
        <v>1040</v>
      </c>
      <c r="C39" t="s">
        <v>994</v>
      </c>
      <c r="D39">
        <v>243.5</v>
      </c>
      <c r="E39" s="128">
        <v>45497</v>
      </c>
      <c r="F39" s="128">
        <v>47483</v>
      </c>
      <c r="G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243.5</v>
      </c>
      <c r="H39" s="128" t="str">
        <f t="shared" ca="1" si="0"/>
        <v>YES</v>
      </c>
      <c r="K39" s="130" t="s">
        <v>1078</v>
      </c>
      <c r="L39" s="598">
        <v>704</v>
      </c>
      <c r="Q39" t="s">
        <v>1079</v>
      </c>
      <c r="R39">
        <v>4.9430199999999997</v>
      </c>
    </row>
    <row r="40" spans="1:18">
      <c r="A40" t="s">
        <v>992</v>
      </c>
      <c r="B40" t="s">
        <v>1043</v>
      </c>
      <c r="C40" t="s">
        <v>994</v>
      </c>
      <c r="D40">
        <v>287.39999999999998</v>
      </c>
      <c r="E40" s="128">
        <v>45497</v>
      </c>
      <c r="F40" s="128">
        <v>47483</v>
      </c>
      <c r="G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287.39999999999998</v>
      </c>
      <c r="H40" s="128" t="str">
        <f t="shared" ca="1" si="0"/>
        <v>YES</v>
      </c>
      <c r="K40" s="130" t="s">
        <v>1080</v>
      </c>
      <c r="L40" s="598">
        <v>905.63</v>
      </c>
      <c r="Q40" t="s">
        <v>1028</v>
      </c>
      <c r="R40">
        <v>131.57997</v>
      </c>
    </row>
    <row r="41" spans="1:18">
      <c r="A41" t="s">
        <v>992</v>
      </c>
      <c r="B41" t="s">
        <v>1012</v>
      </c>
      <c r="C41" t="s">
        <v>994</v>
      </c>
      <c r="D41">
        <v>280</v>
      </c>
      <c r="E41" s="128">
        <v>45363</v>
      </c>
      <c r="F41" s="128">
        <v>45415</v>
      </c>
      <c r="G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</v>
      </c>
      <c r="H41" s="128" t="str">
        <f t="shared" ca="1" si="0"/>
        <v>NO</v>
      </c>
      <c r="K41" s="130" t="s">
        <v>1081</v>
      </c>
      <c r="L41" s="598">
        <v>313.75</v>
      </c>
      <c r="Q41" t="s">
        <v>1030</v>
      </c>
      <c r="R41">
        <v>83.55489</v>
      </c>
    </row>
    <row r="42" spans="1:18">
      <c r="A42" t="s">
        <v>992</v>
      </c>
      <c r="B42" t="s">
        <v>1003</v>
      </c>
      <c r="C42" t="s">
        <v>994</v>
      </c>
      <c r="D42">
        <v>410.65</v>
      </c>
      <c r="E42" s="128">
        <v>45195</v>
      </c>
      <c r="F42" s="128">
        <v>47483</v>
      </c>
      <c r="G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410.65</v>
      </c>
      <c r="H42" s="128" t="str">
        <f t="shared" ca="1" si="0"/>
        <v>YES</v>
      </c>
      <c r="K42" s="130" t="s">
        <v>1082</v>
      </c>
      <c r="L42" s="598">
        <v>53</v>
      </c>
      <c r="Q42" t="s">
        <v>1033</v>
      </c>
      <c r="R42">
        <v>120.63437</v>
      </c>
    </row>
    <row r="43" spans="1:18">
      <c r="A43" t="s">
        <v>992</v>
      </c>
      <c r="B43" t="s">
        <v>1083</v>
      </c>
      <c r="C43" t="s">
        <v>994</v>
      </c>
      <c r="D43">
        <v>344.87</v>
      </c>
      <c r="E43" s="128">
        <v>45169</v>
      </c>
      <c r="F43" s="128">
        <v>45415</v>
      </c>
      <c r="G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344.87</v>
      </c>
      <c r="H43" s="128" t="str">
        <f t="shared" ca="1" si="0"/>
        <v>NO</v>
      </c>
      <c r="K43" s="130" t="s">
        <v>1084</v>
      </c>
      <c r="L43" s="598">
        <v>540.34</v>
      </c>
      <c r="Q43" t="s">
        <v>1036</v>
      </c>
      <c r="R43">
        <v>87.282169999999994</v>
      </c>
    </row>
    <row r="44" spans="1:18">
      <c r="A44" t="s">
        <v>992</v>
      </c>
      <c r="B44" t="s">
        <v>995</v>
      </c>
      <c r="C44" t="s">
        <v>1085</v>
      </c>
      <c r="D44">
        <v>8.9071999999999996</v>
      </c>
      <c r="E44" s="128">
        <v>36526</v>
      </c>
      <c r="F44" s="128">
        <v>44865</v>
      </c>
      <c r="G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7.838336</v>
      </c>
      <c r="H44" s="128" t="str">
        <f t="shared" ca="1" si="0"/>
        <v>NO</v>
      </c>
      <c r="K44" s="130" t="s">
        <v>1086</v>
      </c>
      <c r="L44" s="598">
        <v>253.31</v>
      </c>
      <c r="Q44" t="s">
        <v>1038</v>
      </c>
      <c r="R44">
        <v>82.764130000000009</v>
      </c>
    </row>
    <row r="45" spans="1:18">
      <c r="A45" t="s">
        <v>992</v>
      </c>
      <c r="B45" t="s">
        <v>1072</v>
      </c>
      <c r="C45" t="s">
        <v>994</v>
      </c>
      <c r="D45">
        <v>4788.2</v>
      </c>
      <c r="E45" s="128">
        <v>45499</v>
      </c>
      <c r="F45" s="128">
        <v>47483</v>
      </c>
      <c r="G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4788.2</v>
      </c>
      <c r="H45" s="128" t="str">
        <f t="shared" ca="1" si="0"/>
        <v>YES</v>
      </c>
      <c r="K45" s="130" t="s">
        <v>1087</v>
      </c>
      <c r="L45" s="598">
        <v>564.92999999999995</v>
      </c>
      <c r="Q45" t="s">
        <v>1041</v>
      </c>
      <c r="R45">
        <v>93.240470000000002</v>
      </c>
    </row>
    <row r="46" spans="1:18">
      <c r="A46" t="s">
        <v>992</v>
      </c>
      <c r="B46" t="s">
        <v>1088</v>
      </c>
      <c r="C46" t="s">
        <v>994</v>
      </c>
      <c r="D46">
        <v>6161.9000000000005</v>
      </c>
      <c r="E46" s="128">
        <v>45499</v>
      </c>
      <c r="F46" s="128">
        <v>47483</v>
      </c>
      <c r="G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6161.9000000000005</v>
      </c>
      <c r="H46" s="128" t="str">
        <f t="shared" ca="1" si="0"/>
        <v>YES</v>
      </c>
      <c r="K46" s="130" t="s">
        <v>1089</v>
      </c>
      <c r="L46" s="598">
        <v>335.24</v>
      </c>
      <c r="Q46" t="s">
        <v>1044</v>
      </c>
      <c r="R46">
        <v>102.57787999999999</v>
      </c>
    </row>
    <row r="47" spans="1:18">
      <c r="A47" t="s">
        <v>992</v>
      </c>
      <c r="B47" t="s">
        <v>1002</v>
      </c>
      <c r="C47" t="s">
        <v>994</v>
      </c>
      <c r="D47">
        <v>355.34999999999997</v>
      </c>
      <c r="E47" s="128">
        <v>45415</v>
      </c>
      <c r="F47" s="128">
        <v>46022</v>
      </c>
      <c r="G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355.34999999999997</v>
      </c>
      <c r="H47" s="128" t="str">
        <f t="shared" ca="1" si="0"/>
        <v>YES</v>
      </c>
      <c r="K47" s="130" t="s">
        <v>1090</v>
      </c>
      <c r="L47" s="598">
        <v>499</v>
      </c>
      <c r="Q47" t="s">
        <v>1047</v>
      </c>
      <c r="R47">
        <v>229.06155999999999</v>
      </c>
    </row>
    <row r="48" spans="1:18">
      <c r="A48" t="s">
        <v>992</v>
      </c>
      <c r="B48" t="s">
        <v>1091</v>
      </c>
      <c r="C48" t="s">
        <v>994</v>
      </c>
      <c r="D48">
        <v>1940.0000000000002</v>
      </c>
      <c r="E48" s="128">
        <v>45413</v>
      </c>
      <c r="F48" s="128">
        <v>47483</v>
      </c>
      <c r="G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1940.0000000000002</v>
      </c>
      <c r="H48" s="128" t="str">
        <f t="shared" ca="1" si="0"/>
        <v>YES</v>
      </c>
      <c r="K48" s="130" t="s">
        <v>1092</v>
      </c>
      <c r="L48" s="598">
        <v>3060</v>
      </c>
      <c r="Q48" t="s">
        <v>1050</v>
      </c>
      <c r="R48">
        <v>100.34714</v>
      </c>
    </row>
    <row r="49" spans="1:18">
      <c r="A49" t="s">
        <v>992</v>
      </c>
      <c r="B49" t="s">
        <v>1010</v>
      </c>
      <c r="C49" t="s">
        <v>994</v>
      </c>
      <c r="D49">
        <v>355.34000000000003</v>
      </c>
      <c r="E49" s="128">
        <v>45415</v>
      </c>
      <c r="F49" s="128">
        <v>46022</v>
      </c>
      <c r="G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355.34000000000003</v>
      </c>
      <c r="H49" s="128" t="str">
        <f t="shared" ca="1" si="0"/>
        <v>YES</v>
      </c>
      <c r="K49" s="130" t="s">
        <v>1093</v>
      </c>
      <c r="L49" s="598">
        <v>612.5</v>
      </c>
      <c r="Q49" t="s">
        <v>1053</v>
      </c>
      <c r="R49">
        <v>92.292450000000002</v>
      </c>
    </row>
    <row r="50" spans="1:18">
      <c r="A50" t="s">
        <v>992</v>
      </c>
      <c r="B50" t="s">
        <v>1064</v>
      </c>
      <c r="C50" t="s">
        <v>994</v>
      </c>
      <c r="D50">
        <v>243</v>
      </c>
      <c r="E50" s="128">
        <v>45292</v>
      </c>
      <c r="F50" s="128">
        <v>47483</v>
      </c>
      <c r="G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243</v>
      </c>
      <c r="H50" s="128" t="str">
        <f t="shared" ca="1" si="0"/>
        <v>YES</v>
      </c>
      <c r="K50" s="130" t="s">
        <v>1094</v>
      </c>
      <c r="L50" s="598">
        <v>466.64</v>
      </c>
      <c r="Q50" t="s">
        <v>1055</v>
      </c>
      <c r="R50">
        <v>32.870139999999999</v>
      </c>
    </row>
    <row r="51" spans="1:18">
      <c r="A51" t="s">
        <v>992</v>
      </c>
      <c r="B51" t="s">
        <v>1095</v>
      </c>
      <c r="C51" t="s">
        <v>994</v>
      </c>
      <c r="D51">
        <v>760.00000000000011</v>
      </c>
      <c r="E51" s="128">
        <v>45342</v>
      </c>
      <c r="F51" s="128">
        <v>55153</v>
      </c>
      <c r="G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760.00000000000011</v>
      </c>
      <c r="H51" s="128" t="str">
        <f t="shared" ca="1" si="0"/>
        <v>YES</v>
      </c>
      <c r="K51" s="130" t="s">
        <v>1096</v>
      </c>
      <c r="L51" s="598">
        <v>499.31000000000006</v>
      </c>
      <c r="Q51" t="s">
        <v>1056</v>
      </c>
      <c r="R51">
        <v>82.012450000000001</v>
      </c>
    </row>
    <row r="52" spans="1:18">
      <c r="A52" t="s">
        <v>992</v>
      </c>
      <c r="B52" t="s">
        <v>1076</v>
      </c>
      <c r="C52" t="s">
        <v>994</v>
      </c>
      <c r="D52">
        <v>502.15</v>
      </c>
      <c r="E52" s="128">
        <v>45461</v>
      </c>
      <c r="F52" s="128">
        <v>45657</v>
      </c>
      <c r="G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502.15</v>
      </c>
      <c r="H52" s="128" t="str">
        <f t="shared" ca="1" si="0"/>
        <v>NO</v>
      </c>
      <c r="K52" s="130" t="s">
        <v>1097</v>
      </c>
      <c r="L52" s="598">
        <v>383.74999999999994</v>
      </c>
      <c r="Q52" t="s">
        <v>1057</v>
      </c>
      <c r="R52">
        <v>137.26307</v>
      </c>
    </row>
    <row r="53" spans="1:18">
      <c r="A53" t="s">
        <v>992</v>
      </c>
      <c r="B53" t="s">
        <v>1098</v>
      </c>
      <c r="C53" t="s">
        <v>994</v>
      </c>
      <c r="D53">
        <v>132</v>
      </c>
      <c r="E53" s="128">
        <v>45336</v>
      </c>
      <c r="F53" s="128">
        <v>55153</v>
      </c>
      <c r="G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132</v>
      </c>
      <c r="H53" s="128" t="str">
        <f t="shared" ca="1" si="0"/>
        <v>YES</v>
      </c>
      <c r="K53" s="130" t="s">
        <v>1099</v>
      </c>
      <c r="L53" s="598">
        <v>213.49999999999997</v>
      </c>
      <c r="Q53" t="s">
        <v>1059</v>
      </c>
      <c r="R53">
        <v>94.282359999999997</v>
      </c>
    </row>
    <row r="54" spans="1:18">
      <c r="A54" t="s">
        <v>992</v>
      </c>
      <c r="B54" t="s">
        <v>1021</v>
      </c>
      <c r="C54" t="s">
        <v>994</v>
      </c>
      <c r="D54">
        <v>384.57000000000005</v>
      </c>
      <c r="E54" s="128">
        <v>45415</v>
      </c>
      <c r="F54" s="128">
        <v>46022</v>
      </c>
      <c r="G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384.57000000000005</v>
      </c>
      <c r="H54" s="128" t="str">
        <f t="shared" ca="1" si="0"/>
        <v>YES</v>
      </c>
      <c r="K54" s="130" t="s">
        <v>1100</v>
      </c>
      <c r="L54" s="598">
        <v>3451.8900000000003</v>
      </c>
      <c r="Q54" t="s">
        <v>1060</v>
      </c>
      <c r="R54">
        <v>57.713089999999994</v>
      </c>
    </row>
    <row r="55" spans="1:18">
      <c r="A55" t="s">
        <v>992</v>
      </c>
      <c r="B55" t="s">
        <v>819</v>
      </c>
      <c r="C55" t="s">
        <v>994</v>
      </c>
      <c r="D55">
        <v>850</v>
      </c>
      <c r="E55" s="128">
        <v>45085</v>
      </c>
      <c r="F55" s="128">
        <v>45291</v>
      </c>
      <c r="G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850</v>
      </c>
      <c r="H55" s="128" t="str">
        <f t="shared" ca="1" si="0"/>
        <v>NO</v>
      </c>
      <c r="K55" s="130" t="s">
        <v>1101</v>
      </c>
      <c r="L55" s="598">
        <v>257.63</v>
      </c>
      <c r="Q55" t="s">
        <v>1062</v>
      </c>
      <c r="R55">
        <v>137.06383</v>
      </c>
    </row>
    <row r="56" spans="1:18">
      <c r="A56" t="s">
        <v>992</v>
      </c>
      <c r="B56" t="s">
        <v>1015</v>
      </c>
      <c r="C56" t="s">
        <v>994</v>
      </c>
      <c r="D56">
        <v>355.34000000000003</v>
      </c>
      <c r="E56" s="128">
        <v>45415</v>
      </c>
      <c r="F56" s="128">
        <v>46022</v>
      </c>
      <c r="G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355.34000000000003</v>
      </c>
      <c r="H56" s="128" t="str">
        <f t="shared" ca="1" si="0"/>
        <v>YES</v>
      </c>
      <c r="K56" s="130" t="s">
        <v>1102</v>
      </c>
      <c r="L56" s="598">
        <v>260.70999999999998</v>
      </c>
      <c r="Q56" t="s">
        <v>1063</v>
      </c>
      <c r="R56">
        <v>424.57065</v>
      </c>
    </row>
    <row r="57" spans="1:18">
      <c r="A57" t="s">
        <v>992</v>
      </c>
      <c r="B57" t="s">
        <v>1103</v>
      </c>
      <c r="C57" t="s">
        <v>994</v>
      </c>
      <c r="D57">
        <v>1350</v>
      </c>
      <c r="E57" s="128">
        <v>45085</v>
      </c>
      <c r="F57" s="128">
        <v>54789</v>
      </c>
      <c r="G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1350</v>
      </c>
      <c r="H57" s="128" t="str">
        <f t="shared" ca="1" si="0"/>
        <v>YES</v>
      </c>
      <c r="K57" s="130" t="s">
        <v>1104</v>
      </c>
      <c r="L57" s="598">
        <v>423.09000000000003</v>
      </c>
      <c r="Q57" t="s">
        <v>1065</v>
      </c>
      <c r="R57">
        <v>342.29681999999997</v>
      </c>
    </row>
    <row r="58" spans="1:18">
      <c r="A58" t="s">
        <v>992</v>
      </c>
      <c r="B58" t="s">
        <v>1025</v>
      </c>
      <c r="C58" t="s">
        <v>994</v>
      </c>
      <c r="D58">
        <v>512.09</v>
      </c>
      <c r="E58" s="128">
        <v>45427</v>
      </c>
      <c r="F58" s="128">
        <v>47483</v>
      </c>
      <c r="G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512.09</v>
      </c>
      <c r="H58" s="128" t="str">
        <f t="shared" ca="1" si="0"/>
        <v>YES</v>
      </c>
      <c r="K58" s="130" t="s">
        <v>1105</v>
      </c>
      <c r="L58" s="598">
        <v>564.92999999999995</v>
      </c>
      <c r="Q58" t="s">
        <v>1067</v>
      </c>
      <c r="R58">
        <v>52.690950000000001</v>
      </c>
    </row>
    <row r="59" spans="1:18">
      <c r="A59" t="s">
        <v>992</v>
      </c>
      <c r="B59" t="s">
        <v>1039</v>
      </c>
      <c r="C59" t="s">
        <v>994</v>
      </c>
      <c r="D59">
        <v>844.01</v>
      </c>
      <c r="E59" s="128">
        <v>45177</v>
      </c>
      <c r="F59" s="128">
        <v>45415</v>
      </c>
      <c r="G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844.01</v>
      </c>
      <c r="H59" s="128" t="str">
        <f t="shared" ca="1" si="0"/>
        <v>NO</v>
      </c>
      <c r="K59" s="130" t="s">
        <v>1106</v>
      </c>
      <c r="L59" s="598">
        <v>578.94999999999993</v>
      </c>
      <c r="Q59" t="s">
        <v>1069</v>
      </c>
      <c r="R59">
        <v>122.06071</v>
      </c>
    </row>
    <row r="60" spans="1:18">
      <c r="A60" t="s">
        <v>992</v>
      </c>
      <c r="B60" t="s">
        <v>1054</v>
      </c>
      <c r="C60" t="s">
        <v>994</v>
      </c>
      <c r="D60">
        <v>347.88</v>
      </c>
      <c r="E60" s="128">
        <v>45182</v>
      </c>
      <c r="F60" s="128">
        <v>45415</v>
      </c>
      <c r="G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347.88</v>
      </c>
      <c r="H60" s="128" t="str">
        <f t="shared" ca="1" si="0"/>
        <v>NO</v>
      </c>
      <c r="K60" s="130" t="s">
        <v>1107</v>
      </c>
      <c r="L60" s="598">
        <v>1415.5</v>
      </c>
      <c r="Q60" t="s">
        <v>1070</v>
      </c>
      <c r="R60">
        <v>358.94950999999998</v>
      </c>
    </row>
    <row r="61" spans="1:18">
      <c r="A61" t="s">
        <v>992</v>
      </c>
      <c r="B61" t="s">
        <v>1108</v>
      </c>
      <c r="C61" t="s">
        <v>994</v>
      </c>
      <c r="D61">
        <v>1191</v>
      </c>
      <c r="E61" s="128">
        <v>45243</v>
      </c>
      <c r="F61" s="128">
        <v>45427</v>
      </c>
      <c r="G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1191</v>
      </c>
      <c r="H61" s="128" t="str">
        <f t="shared" ca="1" si="0"/>
        <v>NO</v>
      </c>
      <c r="K61" s="130" t="s">
        <v>1109</v>
      </c>
      <c r="L61" s="598">
        <v>283.82</v>
      </c>
      <c r="Q61" t="s">
        <v>1073</v>
      </c>
      <c r="R61">
        <v>464.41462999999999</v>
      </c>
    </row>
    <row r="62" spans="1:18">
      <c r="A62" t="s">
        <v>992</v>
      </c>
      <c r="B62" t="s">
        <v>1110</v>
      </c>
      <c r="C62" t="s">
        <v>994</v>
      </c>
      <c r="D62">
        <v>446.28000000000003</v>
      </c>
      <c r="E62" s="128">
        <v>45355</v>
      </c>
      <c r="F62" s="128">
        <v>47483</v>
      </c>
      <c r="G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446.28000000000003</v>
      </c>
      <c r="H62" s="128" t="str">
        <f t="shared" ca="1" si="0"/>
        <v>YES</v>
      </c>
      <c r="K62" s="130" t="s">
        <v>1111</v>
      </c>
      <c r="L62" s="598">
        <v>1</v>
      </c>
      <c r="Q62" t="s">
        <v>1075</v>
      </c>
      <c r="R62">
        <v>257.40170999999998</v>
      </c>
    </row>
    <row r="63" spans="1:18">
      <c r="A63" t="s">
        <v>992</v>
      </c>
      <c r="B63" t="s">
        <v>1112</v>
      </c>
      <c r="C63" t="s">
        <v>994</v>
      </c>
      <c r="D63">
        <v>171</v>
      </c>
      <c r="E63" s="128">
        <v>-53688</v>
      </c>
      <c r="F63" s="128">
        <v>-53688</v>
      </c>
      <c r="G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171</v>
      </c>
      <c r="H63" s="128" t="str">
        <f t="shared" ca="1" si="0"/>
        <v>NO</v>
      </c>
      <c r="K63" s="130" t="s">
        <v>1113</v>
      </c>
      <c r="L63" s="598">
        <v>253.94</v>
      </c>
      <c r="Q63" t="s">
        <v>1077</v>
      </c>
      <c r="R63">
        <v>210.21764999999999</v>
      </c>
    </row>
    <row r="64" spans="1:18">
      <c r="A64" t="s">
        <v>992</v>
      </c>
      <c r="B64" t="s">
        <v>1112</v>
      </c>
      <c r="C64" t="s">
        <v>994</v>
      </c>
      <c r="D64">
        <v>201.99999999999997</v>
      </c>
      <c r="E64" s="128">
        <v>45047</v>
      </c>
      <c r="F64" s="128">
        <v>46753</v>
      </c>
      <c r="G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201.99999999999997</v>
      </c>
      <c r="H64" s="128" t="str">
        <f t="shared" ca="1" si="0"/>
        <v>YES</v>
      </c>
      <c r="K64" s="130" t="s">
        <v>1114</v>
      </c>
      <c r="L64" s="598">
        <v>139.49</v>
      </c>
      <c r="Q64" t="s">
        <v>1013</v>
      </c>
      <c r="R64">
        <v>99.811820000000012</v>
      </c>
    </row>
    <row r="65" spans="1:18">
      <c r="A65" t="s">
        <v>992</v>
      </c>
      <c r="B65" t="s">
        <v>1029</v>
      </c>
      <c r="C65" t="s">
        <v>994</v>
      </c>
      <c r="D65">
        <v>377.05</v>
      </c>
      <c r="E65" s="128">
        <v>45415</v>
      </c>
      <c r="F65" s="128">
        <v>46022</v>
      </c>
      <c r="G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377.05</v>
      </c>
      <c r="H65" s="128" t="str">
        <f t="shared" ca="1" si="0"/>
        <v>YES</v>
      </c>
      <c r="K65" s="130" t="s">
        <v>1115</v>
      </c>
      <c r="L65" s="598">
        <v>110.5</v>
      </c>
      <c r="Q65" t="s">
        <v>1027</v>
      </c>
      <c r="R65">
        <v>121.31402999999999</v>
      </c>
    </row>
    <row r="66" spans="1:18">
      <c r="A66" t="s">
        <v>992</v>
      </c>
      <c r="B66" t="s">
        <v>1034</v>
      </c>
      <c r="C66" t="s">
        <v>994</v>
      </c>
      <c r="D66">
        <v>503.19999999999993</v>
      </c>
      <c r="E66" s="128">
        <v>45205</v>
      </c>
      <c r="F66" s="128">
        <v>45415</v>
      </c>
      <c r="G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503.19999999999993</v>
      </c>
      <c r="H66" s="128" t="str">
        <f t="shared" ref="H66:H129" ca="1" si="1">IF(OR(F66=0,F66&gt;TODAY()),"YES","NO")</f>
        <v>NO</v>
      </c>
      <c r="K66" s="130" t="s">
        <v>1116</v>
      </c>
      <c r="L66" s="598">
        <v>192.95</v>
      </c>
      <c r="Q66" t="s">
        <v>1029</v>
      </c>
      <c r="R66">
        <v>199.08167999999998</v>
      </c>
    </row>
    <row r="67" spans="1:18">
      <c r="A67" t="s">
        <v>992</v>
      </c>
      <c r="B67" t="s">
        <v>841</v>
      </c>
      <c r="C67" t="s">
        <v>994</v>
      </c>
      <c r="D67">
        <v>662</v>
      </c>
      <c r="E67" s="128">
        <v>45292</v>
      </c>
      <c r="F67" s="128">
        <v>45657</v>
      </c>
      <c r="G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662</v>
      </c>
      <c r="H67" s="128" t="str">
        <f t="shared" ca="1" si="1"/>
        <v>NO</v>
      </c>
      <c r="K67" s="130" t="s">
        <v>1117</v>
      </c>
      <c r="L67" s="598">
        <v>231.28000000000003</v>
      </c>
      <c r="Q67" t="s">
        <v>1016</v>
      </c>
      <c r="R67">
        <v>76.653580000000005</v>
      </c>
    </row>
    <row r="68" spans="1:18">
      <c r="A68" t="s">
        <v>992</v>
      </c>
      <c r="B68" t="s">
        <v>1118</v>
      </c>
      <c r="C68" t="s">
        <v>994</v>
      </c>
      <c r="D68">
        <v>300</v>
      </c>
      <c r="E68" s="128">
        <v>45017</v>
      </c>
      <c r="F68" s="128">
        <v>46388</v>
      </c>
      <c r="G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300</v>
      </c>
      <c r="H68" s="128" t="str">
        <f t="shared" ca="1" si="1"/>
        <v>YES</v>
      </c>
      <c r="K68" s="130" t="s">
        <v>1119</v>
      </c>
      <c r="L68" s="598">
        <v>231.63</v>
      </c>
      <c r="Q68" t="s">
        <v>1000</v>
      </c>
      <c r="R68">
        <v>76.653580000000005</v>
      </c>
    </row>
    <row r="69" spans="1:18">
      <c r="A69" t="s">
        <v>992</v>
      </c>
      <c r="B69" t="s">
        <v>1012</v>
      </c>
      <c r="C69" t="s">
        <v>994</v>
      </c>
      <c r="D69">
        <v>281.64</v>
      </c>
      <c r="E69" s="128">
        <v>45415</v>
      </c>
      <c r="F69" s="128">
        <v>46022</v>
      </c>
      <c r="G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281.64</v>
      </c>
      <c r="H69" s="128" t="str">
        <f t="shared" ca="1" si="1"/>
        <v>YES</v>
      </c>
      <c r="K69" s="130" t="s">
        <v>1120</v>
      </c>
      <c r="L69" s="598">
        <v>148.75</v>
      </c>
      <c r="Q69" t="s">
        <v>1007</v>
      </c>
      <c r="R69">
        <v>46.807789999999997</v>
      </c>
    </row>
    <row r="70" spans="1:18">
      <c r="A70" t="s">
        <v>992</v>
      </c>
      <c r="B70" t="s">
        <v>1046</v>
      </c>
      <c r="C70" t="s">
        <v>994</v>
      </c>
      <c r="D70">
        <v>136.60000000000002</v>
      </c>
      <c r="E70" s="128">
        <v>45017</v>
      </c>
      <c r="F70" s="128">
        <v>47574</v>
      </c>
      <c r="G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136.60000000000002</v>
      </c>
      <c r="H70" s="128" t="str">
        <f t="shared" ca="1" si="1"/>
        <v>YES</v>
      </c>
      <c r="K70" s="130" t="s">
        <v>1121</v>
      </c>
      <c r="L70" s="598">
        <v>692</v>
      </c>
      <c r="Q70" t="s">
        <v>1083</v>
      </c>
      <c r="R70">
        <v>172.05566999999999</v>
      </c>
    </row>
    <row r="71" spans="1:18">
      <c r="A71" t="s">
        <v>992</v>
      </c>
      <c r="B71" t="s">
        <v>1083</v>
      </c>
      <c r="C71" t="s">
        <v>994</v>
      </c>
      <c r="D71">
        <v>350.82</v>
      </c>
      <c r="E71" s="128">
        <v>45415</v>
      </c>
      <c r="F71" s="128">
        <v>46022</v>
      </c>
      <c r="G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350.82</v>
      </c>
      <c r="H71" s="128" t="str">
        <f t="shared" ca="1" si="1"/>
        <v>YES</v>
      </c>
      <c r="K71" s="130" t="s">
        <v>1122</v>
      </c>
      <c r="L71" s="598">
        <v>128.35</v>
      </c>
      <c r="Q71" t="s">
        <v>1123</v>
      </c>
      <c r="R71">
        <v>43.918619999999997</v>
      </c>
    </row>
    <row r="72" spans="1:18">
      <c r="A72" t="s">
        <v>992</v>
      </c>
      <c r="B72" t="s">
        <v>995</v>
      </c>
      <c r="C72" t="s">
        <v>994</v>
      </c>
      <c r="D72">
        <v>8.9437999999999995</v>
      </c>
      <c r="E72" s="128">
        <v>44866</v>
      </c>
      <c r="F72" s="128">
        <v>47483</v>
      </c>
      <c r="G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8.9437999999999995</v>
      </c>
      <c r="H72" s="128" t="str">
        <f t="shared" ca="1" si="1"/>
        <v>YES</v>
      </c>
      <c r="K72" s="130" t="s">
        <v>1124</v>
      </c>
      <c r="L72" s="598">
        <v>205.625</v>
      </c>
      <c r="Q72" t="s">
        <v>1125</v>
      </c>
      <c r="R72">
        <v>43.918619999999997</v>
      </c>
    </row>
    <row r="73" spans="1:18">
      <c r="A73" t="s">
        <v>992</v>
      </c>
      <c r="B73" t="s">
        <v>1126</v>
      </c>
      <c r="C73" t="s">
        <v>994</v>
      </c>
      <c r="D73">
        <v>8480.0999999999985</v>
      </c>
      <c r="E73" s="128">
        <v>45407</v>
      </c>
      <c r="F73" s="128">
        <v>47483</v>
      </c>
      <c r="G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8480.0999999999985</v>
      </c>
      <c r="H73" s="128" t="str">
        <f t="shared" ca="1" si="1"/>
        <v>YES</v>
      </c>
      <c r="K73" s="130" t="s">
        <v>847</v>
      </c>
      <c r="L73" s="598">
        <v>595</v>
      </c>
      <c r="Q73" t="s">
        <v>1127</v>
      </c>
      <c r="R73">
        <v>49.301600000000008</v>
      </c>
    </row>
    <row r="74" spans="1:18">
      <c r="A74" t="s">
        <v>992</v>
      </c>
      <c r="B74" t="s">
        <v>1095</v>
      </c>
      <c r="C74" t="s">
        <v>994</v>
      </c>
      <c r="D74">
        <v>720</v>
      </c>
      <c r="E74" s="128">
        <v>45342</v>
      </c>
      <c r="F74" s="128">
        <v>55153</v>
      </c>
      <c r="G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720</v>
      </c>
      <c r="H74" s="128" t="str">
        <f t="shared" ca="1" si="1"/>
        <v>YES</v>
      </c>
      <c r="K74" s="130" t="s">
        <v>1128</v>
      </c>
      <c r="L74" s="598">
        <v>305.8</v>
      </c>
      <c r="Q74" t="s">
        <v>1129</v>
      </c>
      <c r="R74">
        <v>51.607600000000005</v>
      </c>
    </row>
    <row r="75" spans="1:18">
      <c r="A75" t="s">
        <v>992</v>
      </c>
      <c r="B75" t="s">
        <v>811</v>
      </c>
      <c r="C75" t="s">
        <v>994</v>
      </c>
      <c r="D75">
        <v>1050</v>
      </c>
      <c r="E75" s="128">
        <v>45383</v>
      </c>
      <c r="F75" s="128">
        <v>45657</v>
      </c>
      <c r="G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1050</v>
      </c>
      <c r="H75" s="128" t="str">
        <f t="shared" ca="1" si="1"/>
        <v>NO</v>
      </c>
      <c r="K75" s="130" t="s">
        <v>1130</v>
      </c>
      <c r="L75" s="598">
        <v>302.34000000000003</v>
      </c>
      <c r="Q75" t="s">
        <v>1131</v>
      </c>
      <c r="R75">
        <v>682.14584000000002</v>
      </c>
    </row>
    <row r="76" spans="1:18">
      <c r="A76" t="s">
        <v>992</v>
      </c>
      <c r="B76" t="s">
        <v>1098</v>
      </c>
      <c r="C76" t="s">
        <v>994</v>
      </c>
      <c r="D76">
        <v>89</v>
      </c>
      <c r="E76" s="128">
        <v>45336</v>
      </c>
      <c r="F76" s="128">
        <v>55153</v>
      </c>
      <c r="G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</v>
      </c>
      <c r="H76" s="128" t="str">
        <f t="shared" ca="1" si="1"/>
        <v>YES</v>
      </c>
      <c r="K76" s="130" t="s">
        <v>1132</v>
      </c>
      <c r="L76" s="598">
        <v>289.77000000000004</v>
      </c>
      <c r="Q76" t="s">
        <v>1078</v>
      </c>
      <c r="R76">
        <v>821.59850999999992</v>
      </c>
    </row>
    <row r="77" spans="1:18">
      <c r="A77" t="s">
        <v>992</v>
      </c>
      <c r="B77" t="s">
        <v>819</v>
      </c>
      <c r="C77" t="s">
        <v>994</v>
      </c>
      <c r="D77">
        <v>830</v>
      </c>
      <c r="E77" s="128">
        <v>45292</v>
      </c>
      <c r="F77" s="128">
        <v>45443</v>
      </c>
      <c r="G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830</v>
      </c>
      <c r="H77" s="128" t="str">
        <f t="shared" ca="1" si="1"/>
        <v>NO</v>
      </c>
      <c r="K77" s="130" t="s">
        <v>1133</v>
      </c>
      <c r="L77" s="598">
        <v>229.41</v>
      </c>
      <c r="Q77" t="s">
        <v>1080</v>
      </c>
      <c r="R77">
        <v>784.21357999999998</v>
      </c>
    </row>
    <row r="78" spans="1:18">
      <c r="A78" t="s">
        <v>992</v>
      </c>
      <c r="B78" t="s">
        <v>1039</v>
      </c>
      <c r="C78" t="s">
        <v>994</v>
      </c>
      <c r="D78">
        <v>854.99</v>
      </c>
      <c r="E78" s="128">
        <v>45415</v>
      </c>
      <c r="F78" s="128">
        <v>46022</v>
      </c>
      <c r="G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854.99</v>
      </c>
      <c r="H78" s="128" t="str">
        <f t="shared" ca="1" si="1"/>
        <v>YES</v>
      </c>
      <c r="K78" s="130" t="s">
        <v>1134</v>
      </c>
      <c r="L78" s="598">
        <v>278.10000000000002</v>
      </c>
      <c r="Q78" t="s">
        <v>1135</v>
      </c>
      <c r="R78">
        <v>39.15793</v>
      </c>
    </row>
    <row r="79" spans="1:18">
      <c r="A79" t="s">
        <v>992</v>
      </c>
      <c r="B79" t="s">
        <v>1054</v>
      </c>
      <c r="C79" t="s">
        <v>994</v>
      </c>
      <c r="D79">
        <v>354.37</v>
      </c>
      <c r="E79" s="128">
        <v>45415</v>
      </c>
      <c r="F79" s="128">
        <v>46022</v>
      </c>
      <c r="G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354.37</v>
      </c>
      <c r="H79" s="128" t="str">
        <f t="shared" ca="1" si="1"/>
        <v>YES</v>
      </c>
      <c r="K79" s="130" t="s">
        <v>1136</v>
      </c>
      <c r="L79" s="598">
        <v>323</v>
      </c>
      <c r="Q79" t="s">
        <v>1137</v>
      </c>
      <c r="R79">
        <v>28.58052</v>
      </c>
    </row>
    <row r="80" spans="1:18">
      <c r="A80" t="s">
        <v>992</v>
      </c>
      <c r="B80" t="s">
        <v>1108</v>
      </c>
      <c r="C80" t="s">
        <v>994</v>
      </c>
      <c r="D80">
        <v>1003.7700000000001</v>
      </c>
      <c r="E80" s="128">
        <v>45427</v>
      </c>
      <c r="F80" s="128">
        <v>47483</v>
      </c>
      <c r="G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1003.7700000000001</v>
      </c>
      <c r="H80" s="128" t="str">
        <f t="shared" ca="1" si="1"/>
        <v>YES</v>
      </c>
      <c r="K80" s="130" t="s">
        <v>1138</v>
      </c>
      <c r="L80" s="598">
        <v>134.62</v>
      </c>
      <c r="Q80" t="s">
        <v>1081</v>
      </c>
      <c r="R80">
        <v>249.82144</v>
      </c>
    </row>
    <row r="81" spans="1:18">
      <c r="A81" t="s">
        <v>992</v>
      </c>
      <c r="B81" t="s">
        <v>1034</v>
      </c>
      <c r="C81" t="s">
        <v>994</v>
      </c>
      <c r="D81">
        <v>513.16000000000008</v>
      </c>
      <c r="E81" s="128">
        <v>45415</v>
      </c>
      <c r="F81" s="128">
        <v>46022</v>
      </c>
      <c r="G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513.16000000000008</v>
      </c>
      <c r="H81" s="128" t="str">
        <f t="shared" ca="1" si="1"/>
        <v>YES</v>
      </c>
      <c r="K81" s="130" t="s">
        <v>1139</v>
      </c>
      <c r="L81" s="598">
        <v>263.5</v>
      </c>
      <c r="Q81" t="s">
        <v>1082</v>
      </c>
      <c r="R81">
        <v>31.370179999999998</v>
      </c>
    </row>
    <row r="82" spans="1:18">
      <c r="A82" t="s">
        <v>992</v>
      </c>
      <c r="B82" t="s">
        <v>995</v>
      </c>
      <c r="C82" t="s">
        <v>1085</v>
      </c>
      <c r="D82">
        <v>8.9437999999999995</v>
      </c>
      <c r="E82" s="128">
        <v>44866</v>
      </c>
      <c r="F82" s="128">
        <v>47483</v>
      </c>
      <c r="G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7.8705439999999998</v>
      </c>
      <c r="H82" s="128" t="str">
        <f t="shared" ca="1" si="1"/>
        <v>YES</v>
      </c>
      <c r="K82" s="130" t="s">
        <v>895</v>
      </c>
      <c r="L82" s="598">
        <v>236.64</v>
      </c>
      <c r="Q82" t="s">
        <v>1084</v>
      </c>
      <c r="R82">
        <v>317.63855000000001</v>
      </c>
    </row>
    <row r="83" spans="1:18">
      <c r="A83" t="s">
        <v>992</v>
      </c>
      <c r="B83" t="s">
        <v>811</v>
      </c>
      <c r="C83" t="s">
        <v>994</v>
      </c>
      <c r="D83">
        <v>1019</v>
      </c>
      <c r="E83" s="128">
        <v>45658</v>
      </c>
      <c r="F83" s="128">
        <v>46022</v>
      </c>
      <c r="G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1019</v>
      </c>
      <c r="H83" s="128" t="str">
        <f t="shared" ca="1" si="1"/>
        <v>YES</v>
      </c>
      <c r="K83" s="130" t="s">
        <v>1140</v>
      </c>
      <c r="L83" s="598">
        <v>265.88</v>
      </c>
      <c r="Q83" t="s">
        <v>1141</v>
      </c>
      <c r="R83">
        <v>20.215250000000001</v>
      </c>
    </row>
    <row r="84" spans="1:18">
      <c r="A84" t="s">
        <v>992</v>
      </c>
      <c r="B84" t="s">
        <v>819</v>
      </c>
      <c r="C84" t="s">
        <v>994</v>
      </c>
      <c r="D84">
        <v>791.7</v>
      </c>
      <c r="E84" s="128">
        <v>45658</v>
      </c>
      <c r="F84" s="128">
        <v>46022</v>
      </c>
      <c r="G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791.7</v>
      </c>
      <c r="H84" s="128" t="str">
        <f t="shared" ca="1" si="1"/>
        <v>YES</v>
      </c>
      <c r="K84" s="130" t="s">
        <v>1142</v>
      </c>
      <c r="L84" s="598">
        <v>279</v>
      </c>
      <c r="Q84" t="s">
        <v>1086</v>
      </c>
      <c r="R84">
        <v>188.19168999999999</v>
      </c>
    </row>
    <row r="85" spans="1:18">
      <c r="A85" t="s">
        <v>992</v>
      </c>
      <c r="B85" t="s">
        <v>1051</v>
      </c>
      <c r="C85" t="s">
        <v>994</v>
      </c>
      <c r="D85">
        <v>215.27</v>
      </c>
      <c r="E85" s="128">
        <v>45317</v>
      </c>
      <c r="F85" s="128">
        <v>47483</v>
      </c>
      <c r="G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215.27</v>
      </c>
      <c r="H85" s="128" t="str">
        <f t="shared" ca="1" si="1"/>
        <v>YES</v>
      </c>
      <c r="K85" s="130" t="s">
        <v>1143</v>
      </c>
      <c r="L85" s="598">
        <v>517.82000000000005</v>
      </c>
      <c r="Q85" t="s">
        <v>1087</v>
      </c>
      <c r="R85">
        <v>390.80128999999999</v>
      </c>
    </row>
    <row r="86" spans="1:18">
      <c r="A86" t="s">
        <v>992</v>
      </c>
      <c r="B86" t="s">
        <v>819</v>
      </c>
      <c r="C86" t="s">
        <v>994</v>
      </c>
      <c r="D86">
        <v>760.19999999999993</v>
      </c>
      <c r="E86" s="128">
        <v>46023</v>
      </c>
      <c r="F86" s="128">
        <v>46387</v>
      </c>
      <c r="G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760.19999999999993</v>
      </c>
      <c r="H86" s="128" t="str">
        <f t="shared" ca="1" si="1"/>
        <v>YES</v>
      </c>
      <c r="K86" s="130" t="s">
        <v>1144</v>
      </c>
      <c r="L86" s="598">
        <v>317.7</v>
      </c>
      <c r="Q86" t="s">
        <v>1089</v>
      </c>
      <c r="R86">
        <v>263.93164999999999</v>
      </c>
    </row>
    <row r="87" spans="1:18">
      <c r="A87" t="s">
        <v>992</v>
      </c>
      <c r="B87" t="s">
        <v>819</v>
      </c>
      <c r="C87" t="s">
        <v>994</v>
      </c>
      <c r="D87">
        <v>824.5</v>
      </c>
      <c r="E87" s="128">
        <v>45444</v>
      </c>
      <c r="F87" s="128">
        <v>45657</v>
      </c>
      <c r="G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824.5</v>
      </c>
      <c r="H87" s="128" t="str">
        <f t="shared" ca="1" si="1"/>
        <v>NO</v>
      </c>
      <c r="K87" s="130" t="s">
        <v>1145</v>
      </c>
      <c r="L87" s="598">
        <v>140.25</v>
      </c>
      <c r="Q87" t="s">
        <v>1090</v>
      </c>
      <c r="R87">
        <v>424.90735000000001</v>
      </c>
    </row>
    <row r="88" spans="1:18">
      <c r="A88" t="s">
        <v>992</v>
      </c>
      <c r="B88" t="s">
        <v>999</v>
      </c>
      <c r="C88" t="s">
        <v>1085</v>
      </c>
      <c r="D88">
        <v>7.9686000000000003</v>
      </c>
      <c r="E88" s="128">
        <v>36526</v>
      </c>
      <c r="F88" s="128">
        <v>44865</v>
      </c>
      <c r="G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7.0123680000000004</v>
      </c>
      <c r="H88" s="128" t="str">
        <f t="shared" ca="1" si="1"/>
        <v>NO</v>
      </c>
      <c r="K88" s="130" t="s">
        <v>1146</v>
      </c>
      <c r="L88" s="598">
        <v>204</v>
      </c>
      <c r="Q88" t="s">
        <v>1092</v>
      </c>
      <c r="R88">
        <v>2150.2287799999999</v>
      </c>
    </row>
    <row r="89" spans="1:18">
      <c r="A89" t="s">
        <v>992</v>
      </c>
      <c r="B89" t="s">
        <v>999</v>
      </c>
      <c r="C89" t="s">
        <v>994</v>
      </c>
      <c r="D89">
        <v>7.960700000000001</v>
      </c>
      <c r="E89" s="128">
        <v>44866</v>
      </c>
      <c r="F89" s="128">
        <v>47483</v>
      </c>
      <c r="G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7.960700000000001</v>
      </c>
      <c r="H89" s="128" t="str">
        <f t="shared" ca="1" si="1"/>
        <v>YES</v>
      </c>
      <c r="K89" s="130" t="s">
        <v>1147</v>
      </c>
      <c r="L89" s="598">
        <v>346.21</v>
      </c>
      <c r="Q89" t="s">
        <v>1093</v>
      </c>
      <c r="R89">
        <v>313.88314000000003</v>
      </c>
    </row>
    <row r="90" spans="1:18">
      <c r="A90" t="s">
        <v>992</v>
      </c>
      <c r="B90" t="s">
        <v>1024</v>
      </c>
      <c r="C90" t="s">
        <v>994</v>
      </c>
      <c r="D90">
        <v>433.76000000000005</v>
      </c>
      <c r="E90" s="128">
        <v>45113</v>
      </c>
      <c r="F90" s="128">
        <v>45415</v>
      </c>
      <c r="G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433.76000000000005</v>
      </c>
      <c r="H90" s="128" t="str">
        <f t="shared" ca="1" si="1"/>
        <v>NO</v>
      </c>
      <c r="K90" s="130" t="s">
        <v>1148</v>
      </c>
      <c r="L90" s="598">
        <v>200</v>
      </c>
      <c r="Q90" t="s">
        <v>1094</v>
      </c>
      <c r="R90">
        <v>294.77913000000001</v>
      </c>
    </row>
    <row r="91" spans="1:18">
      <c r="A91" t="s">
        <v>992</v>
      </c>
      <c r="B91" t="s">
        <v>999</v>
      </c>
      <c r="C91" t="s">
        <v>1085</v>
      </c>
      <c r="D91">
        <v>7.960700000000001</v>
      </c>
      <c r="E91" s="128">
        <v>44866</v>
      </c>
      <c r="F91" s="128">
        <v>47483</v>
      </c>
      <c r="G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7.0054160000000012</v>
      </c>
      <c r="H91" s="128" t="str">
        <f t="shared" ca="1" si="1"/>
        <v>YES</v>
      </c>
      <c r="K91" s="130" t="s">
        <v>1149</v>
      </c>
      <c r="L91" s="598">
        <v>118.68829999999998</v>
      </c>
      <c r="Q91" t="s">
        <v>1096</v>
      </c>
      <c r="R91">
        <v>348.41953999999998</v>
      </c>
    </row>
    <row r="92" spans="1:18">
      <c r="A92" t="s">
        <v>992</v>
      </c>
      <c r="B92" t="s">
        <v>1024</v>
      </c>
      <c r="C92" t="s">
        <v>994</v>
      </c>
      <c r="D92">
        <v>441.34999999999997</v>
      </c>
      <c r="E92" s="128">
        <v>45415</v>
      </c>
      <c r="F92" s="128">
        <v>46022</v>
      </c>
      <c r="G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441.34999999999997</v>
      </c>
      <c r="H92" s="128" t="str">
        <f t="shared" ca="1" si="1"/>
        <v>YES</v>
      </c>
      <c r="K92" s="130" t="s">
        <v>1150</v>
      </c>
      <c r="L92" s="598">
        <v>175.1</v>
      </c>
      <c r="Q92" t="s">
        <v>1097</v>
      </c>
      <c r="R92">
        <v>233.17671000000001</v>
      </c>
    </row>
    <row r="93" spans="1:18">
      <c r="A93" t="s">
        <v>992</v>
      </c>
      <c r="B93" t="s">
        <v>1001</v>
      </c>
      <c r="C93" t="s">
        <v>1085</v>
      </c>
      <c r="D93">
        <v>4.7278000000000002</v>
      </c>
      <c r="E93" s="128">
        <v>36526</v>
      </c>
      <c r="F93" s="128">
        <v>44865</v>
      </c>
      <c r="G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4.1604640000000002</v>
      </c>
      <c r="H93" s="128" t="str">
        <f t="shared" ca="1" si="1"/>
        <v>NO</v>
      </c>
      <c r="K93" s="130" t="s">
        <v>1151</v>
      </c>
      <c r="L93" s="598">
        <v>105.08240000000001</v>
      </c>
      <c r="Q93" t="s">
        <v>1099</v>
      </c>
      <c r="R93">
        <v>184.66138999999998</v>
      </c>
    </row>
    <row r="94" spans="1:18">
      <c r="A94" t="s">
        <v>992</v>
      </c>
      <c r="B94" t="s">
        <v>1031</v>
      </c>
      <c r="C94" t="s">
        <v>994</v>
      </c>
      <c r="D94">
        <v>433.76000000000005</v>
      </c>
      <c r="E94" s="128">
        <v>45217</v>
      </c>
      <c r="F94" s="128">
        <v>45415</v>
      </c>
      <c r="G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433.76000000000005</v>
      </c>
      <c r="H94" s="128" t="str">
        <f t="shared" ca="1" si="1"/>
        <v>NO</v>
      </c>
      <c r="K94" s="130" t="s">
        <v>1152</v>
      </c>
      <c r="L94" s="598">
        <v>328</v>
      </c>
      <c r="Q94" t="s">
        <v>1100</v>
      </c>
      <c r="R94">
        <v>2229.9743400000002</v>
      </c>
    </row>
    <row r="95" spans="1:18">
      <c r="A95" t="s">
        <v>992</v>
      </c>
      <c r="B95" t="s">
        <v>1005</v>
      </c>
      <c r="C95" t="s">
        <v>994</v>
      </c>
      <c r="D95">
        <v>309.81</v>
      </c>
      <c r="E95" s="128">
        <v>45047</v>
      </c>
      <c r="F95" s="128">
        <v>47483</v>
      </c>
      <c r="G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309.81</v>
      </c>
      <c r="H95" s="128" t="str">
        <f t="shared" ca="1" si="1"/>
        <v>YES</v>
      </c>
      <c r="K95" s="130" t="s">
        <v>1153</v>
      </c>
      <c r="L95" s="598">
        <v>52</v>
      </c>
      <c r="Q95" t="s">
        <v>1154</v>
      </c>
      <c r="R95">
        <v>177.12429</v>
      </c>
    </row>
    <row r="96" spans="1:18">
      <c r="A96" t="s">
        <v>992</v>
      </c>
      <c r="B96" t="s">
        <v>1031</v>
      </c>
      <c r="C96" t="s">
        <v>994</v>
      </c>
      <c r="D96">
        <v>441.34999999999997</v>
      </c>
      <c r="E96" s="128">
        <v>45415</v>
      </c>
      <c r="F96" s="128">
        <v>46022</v>
      </c>
      <c r="G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441.34999999999997</v>
      </c>
      <c r="H96" s="128" t="str">
        <f t="shared" ca="1" si="1"/>
        <v>YES</v>
      </c>
      <c r="K96" s="130" t="s">
        <v>1155</v>
      </c>
      <c r="L96" s="598">
        <v>408</v>
      </c>
      <c r="Q96" t="s">
        <v>1101</v>
      </c>
      <c r="R96">
        <v>177.92126999999999</v>
      </c>
    </row>
    <row r="97" spans="1:18">
      <c r="A97" t="s">
        <v>992</v>
      </c>
      <c r="B97" t="s">
        <v>1005</v>
      </c>
      <c r="C97" t="s">
        <v>994</v>
      </c>
      <c r="D97">
        <v>309.81</v>
      </c>
      <c r="E97" s="128">
        <v>36526</v>
      </c>
      <c r="F97" s="128">
        <v>44826</v>
      </c>
      <c r="G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309.81</v>
      </c>
      <c r="H97" s="128" t="str">
        <f t="shared" ca="1" si="1"/>
        <v>NO</v>
      </c>
      <c r="K97" s="130" t="s">
        <v>1156</v>
      </c>
      <c r="L97" s="598">
        <v>120</v>
      </c>
      <c r="Q97" t="s">
        <v>1102</v>
      </c>
      <c r="R97">
        <v>215.12798000000001</v>
      </c>
    </row>
    <row r="98" spans="1:18">
      <c r="A98" t="s">
        <v>992</v>
      </c>
      <c r="B98" t="s">
        <v>1005</v>
      </c>
      <c r="C98" t="s">
        <v>994</v>
      </c>
      <c r="D98">
        <v>325.3</v>
      </c>
      <c r="E98" s="128">
        <v>44827</v>
      </c>
      <c r="F98" s="128">
        <v>45046</v>
      </c>
      <c r="G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325.3</v>
      </c>
      <c r="H98" s="128" t="str">
        <f t="shared" ca="1" si="1"/>
        <v>NO</v>
      </c>
      <c r="K98" s="130" t="s">
        <v>1158</v>
      </c>
      <c r="L98" s="598">
        <v>350</v>
      </c>
      <c r="Q98" t="s">
        <v>1104</v>
      </c>
      <c r="R98">
        <v>287.33096999999998</v>
      </c>
    </row>
    <row r="99" spans="1:18">
      <c r="A99" t="s">
        <v>992</v>
      </c>
      <c r="B99" t="s">
        <v>1157</v>
      </c>
      <c r="C99" t="s">
        <v>994</v>
      </c>
      <c r="D99">
        <v>355.41999999999996</v>
      </c>
      <c r="E99" s="128">
        <v>45119</v>
      </c>
      <c r="F99" s="128">
        <v>45427</v>
      </c>
      <c r="G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355.41999999999996</v>
      </c>
      <c r="H99" s="128" t="str">
        <f t="shared" ca="1" si="1"/>
        <v>NO</v>
      </c>
      <c r="K99" s="130" t="s">
        <v>1159</v>
      </c>
      <c r="L99" s="598">
        <v>130</v>
      </c>
      <c r="Q99" t="s">
        <v>1105</v>
      </c>
      <c r="R99">
        <v>391.60528000000005</v>
      </c>
    </row>
    <row r="100" spans="1:18">
      <c r="A100" t="s">
        <v>992</v>
      </c>
      <c r="B100" t="s">
        <v>1008</v>
      </c>
      <c r="C100" t="s">
        <v>994</v>
      </c>
      <c r="D100">
        <v>315.04000000000002</v>
      </c>
      <c r="E100" s="128">
        <v>36526</v>
      </c>
      <c r="F100" s="128">
        <v>47483</v>
      </c>
      <c r="G1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315.04000000000002</v>
      </c>
      <c r="H100" s="128" t="str">
        <f t="shared" ca="1" si="1"/>
        <v>YES</v>
      </c>
      <c r="K100" s="130" t="s">
        <v>1160</v>
      </c>
      <c r="L100" s="598">
        <v>225</v>
      </c>
      <c r="Q100" t="s">
        <v>1106</v>
      </c>
      <c r="R100">
        <v>426.42608999999993</v>
      </c>
    </row>
    <row r="101" spans="1:18">
      <c r="A101" t="s">
        <v>992</v>
      </c>
      <c r="B101" t="s">
        <v>1157</v>
      </c>
      <c r="C101" t="s">
        <v>994</v>
      </c>
      <c r="D101">
        <v>362.21</v>
      </c>
      <c r="E101" s="128">
        <v>45427</v>
      </c>
      <c r="F101" s="128">
        <v>47483</v>
      </c>
      <c r="G1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362.21</v>
      </c>
      <c r="H101" s="128" t="str">
        <f t="shared" ca="1" si="1"/>
        <v>YES</v>
      </c>
      <c r="K101" s="130" t="s">
        <v>1161</v>
      </c>
      <c r="L101" s="598">
        <v>226.1</v>
      </c>
      <c r="Q101" t="s">
        <v>1162</v>
      </c>
      <c r="R101">
        <v>7.2600899999999999</v>
      </c>
    </row>
    <row r="102" spans="1:18">
      <c r="A102" t="s">
        <v>992</v>
      </c>
      <c r="B102" t="s">
        <v>1011</v>
      </c>
      <c r="C102" t="s">
        <v>994</v>
      </c>
      <c r="D102">
        <v>222.10799999999998</v>
      </c>
      <c r="E102" s="128">
        <v>36526</v>
      </c>
      <c r="F102" s="128">
        <v>47483</v>
      </c>
      <c r="G1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222.10799999999998</v>
      </c>
      <c r="H102" s="128" t="str">
        <f t="shared" ca="1" si="1"/>
        <v>YES</v>
      </c>
      <c r="K102" s="130" t="s">
        <v>1163</v>
      </c>
      <c r="L102" s="598">
        <v>389.55999999999995</v>
      </c>
      <c r="Q102" t="s">
        <v>1164</v>
      </c>
      <c r="R102">
        <v>712.89666</v>
      </c>
    </row>
    <row r="103" spans="1:18">
      <c r="A103" t="s">
        <v>992</v>
      </c>
      <c r="B103" t="s">
        <v>1014</v>
      </c>
      <c r="C103" t="s">
        <v>994</v>
      </c>
      <c r="D103">
        <v>95.772000000000006</v>
      </c>
      <c r="E103" s="128">
        <v>36526</v>
      </c>
      <c r="F103" s="128">
        <v>47483</v>
      </c>
      <c r="G1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95.772000000000006</v>
      </c>
      <c r="H103" s="128" t="str">
        <f t="shared" ca="1" si="1"/>
        <v>YES</v>
      </c>
      <c r="K103" s="130" t="s">
        <v>1165</v>
      </c>
      <c r="L103" s="598">
        <v>116.45</v>
      </c>
      <c r="Q103" t="s">
        <v>1107</v>
      </c>
      <c r="R103">
        <v>883.60820999999999</v>
      </c>
    </row>
    <row r="104" spans="1:18">
      <c r="A104" t="s">
        <v>992</v>
      </c>
      <c r="B104" t="s">
        <v>1017</v>
      </c>
      <c r="C104" t="s">
        <v>994</v>
      </c>
      <c r="D104">
        <v>156.91</v>
      </c>
      <c r="E104" s="128">
        <v>36526</v>
      </c>
      <c r="F104" s="128">
        <v>47483</v>
      </c>
      <c r="G1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156.91</v>
      </c>
      <c r="H104" s="128" t="str">
        <f t="shared" ca="1" si="1"/>
        <v>YES</v>
      </c>
      <c r="K104" s="130" t="s">
        <v>1166</v>
      </c>
      <c r="L104" s="598">
        <v>96.389999999999986</v>
      </c>
      <c r="Q104" t="s">
        <v>1109</v>
      </c>
      <c r="R104">
        <v>193.71412999999998</v>
      </c>
    </row>
    <row r="105" spans="1:18">
      <c r="A105" t="s">
        <v>992</v>
      </c>
      <c r="B105" t="s">
        <v>1020</v>
      </c>
      <c r="C105" t="s">
        <v>994</v>
      </c>
      <c r="D105">
        <v>208.21999999999997</v>
      </c>
      <c r="E105" s="128">
        <v>36526</v>
      </c>
      <c r="F105" s="128">
        <v>47483</v>
      </c>
      <c r="G1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208.21999999999997</v>
      </c>
      <c r="H105" s="128" t="str">
        <f t="shared" ca="1" si="1"/>
        <v>YES</v>
      </c>
      <c r="K105" s="130" t="s">
        <v>1167</v>
      </c>
      <c r="L105" s="598">
        <v>209.17999999999998</v>
      </c>
      <c r="Q105" t="s">
        <v>1025</v>
      </c>
      <c r="R105">
        <v>268.05898999999999</v>
      </c>
    </row>
    <row r="106" spans="1:18">
      <c r="A106" t="s">
        <v>992</v>
      </c>
      <c r="B106" t="s">
        <v>1022</v>
      </c>
      <c r="C106" t="s">
        <v>994</v>
      </c>
      <c r="D106">
        <v>416.79</v>
      </c>
      <c r="E106" s="128">
        <v>36526</v>
      </c>
      <c r="F106" s="128">
        <v>47483</v>
      </c>
      <c r="G1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416.79</v>
      </c>
      <c r="H106" s="128" t="str">
        <f t="shared" ca="1" si="1"/>
        <v>YES</v>
      </c>
      <c r="K106" s="130" t="s">
        <v>1168</v>
      </c>
      <c r="L106" s="598">
        <v>167.35000000000002</v>
      </c>
      <c r="Q106" t="s">
        <v>1157</v>
      </c>
      <c r="R106">
        <v>238.99716000000001</v>
      </c>
    </row>
    <row r="107" spans="1:18">
      <c r="A107" t="s">
        <v>992</v>
      </c>
      <c r="B107" t="s">
        <v>1023</v>
      </c>
      <c r="C107" t="s">
        <v>994</v>
      </c>
      <c r="D107">
        <v>179.37</v>
      </c>
      <c r="E107" s="128">
        <v>36526</v>
      </c>
      <c r="F107" s="128">
        <v>47483</v>
      </c>
      <c r="G1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179.37</v>
      </c>
      <c r="H107" s="128" t="str">
        <f t="shared" ca="1" si="1"/>
        <v>YES</v>
      </c>
      <c r="K107" s="130" t="s">
        <v>1169</v>
      </c>
      <c r="L107" s="598">
        <v>648.59</v>
      </c>
      <c r="Q107" t="s">
        <v>1108</v>
      </c>
      <c r="R107">
        <v>672.47329000000002</v>
      </c>
    </row>
    <row r="108" spans="1:18">
      <c r="A108" t="s">
        <v>992</v>
      </c>
      <c r="B108" t="s">
        <v>1026</v>
      </c>
      <c r="C108" t="s">
        <v>994</v>
      </c>
      <c r="D108">
        <v>6.83</v>
      </c>
      <c r="E108" s="128">
        <v>36526</v>
      </c>
      <c r="F108" s="128">
        <v>47483</v>
      </c>
      <c r="G1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6.83</v>
      </c>
      <c r="H108" s="128" t="str">
        <f t="shared" ca="1" si="1"/>
        <v>YES</v>
      </c>
      <c r="K108" s="130" t="s">
        <v>1170</v>
      </c>
      <c r="L108" s="598">
        <v>390.97</v>
      </c>
      <c r="Q108" t="s">
        <v>1110</v>
      </c>
      <c r="R108">
        <v>168.31043</v>
      </c>
    </row>
    <row r="109" spans="1:18">
      <c r="A109" t="s">
        <v>992</v>
      </c>
      <c r="B109" t="s">
        <v>1028</v>
      </c>
      <c r="C109" t="s">
        <v>994</v>
      </c>
      <c r="D109">
        <v>150.93</v>
      </c>
      <c r="E109" s="128">
        <v>36526</v>
      </c>
      <c r="F109" s="128">
        <v>45415</v>
      </c>
      <c r="G1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150.93</v>
      </c>
      <c r="H109" s="128" t="str">
        <f t="shared" ca="1" si="1"/>
        <v>NO</v>
      </c>
      <c r="K109" s="130" t="s">
        <v>1171</v>
      </c>
      <c r="L109" s="598">
        <v>147.05000000000001</v>
      </c>
      <c r="Q109" t="s">
        <v>1126</v>
      </c>
      <c r="R109">
        <v>4946.0655800000004</v>
      </c>
    </row>
    <row r="110" spans="1:18">
      <c r="A110" t="s">
        <v>992</v>
      </c>
      <c r="B110" t="s">
        <v>1030</v>
      </c>
      <c r="C110" t="s">
        <v>994</v>
      </c>
      <c r="D110">
        <v>280</v>
      </c>
      <c r="E110" s="128">
        <v>36526</v>
      </c>
      <c r="F110" s="128">
        <v>45415</v>
      </c>
      <c r="G1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</v>
      </c>
      <c r="H110" s="128" t="str">
        <f t="shared" ca="1" si="1"/>
        <v>NO</v>
      </c>
      <c r="K110" s="130" t="s">
        <v>1172</v>
      </c>
      <c r="L110" s="598">
        <v>151.29999999999998</v>
      </c>
      <c r="Q110" t="s">
        <v>1111</v>
      </c>
      <c r="R110">
        <v>0.77717999999999998</v>
      </c>
    </row>
    <row r="111" spans="1:18">
      <c r="A111" t="s">
        <v>992</v>
      </c>
      <c r="B111" t="s">
        <v>1028</v>
      </c>
      <c r="C111" t="s">
        <v>994</v>
      </c>
      <c r="D111">
        <v>153.59</v>
      </c>
      <c r="E111" s="128">
        <v>45415</v>
      </c>
      <c r="F111" s="128">
        <v>46022</v>
      </c>
      <c r="G1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153.59</v>
      </c>
      <c r="H111" s="128" t="str">
        <f t="shared" ca="1" si="1"/>
        <v>YES</v>
      </c>
      <c r="K111" s="130" t="s">
        <v>1173</v>
      </c>
      <c r="L111" s="598">
        <v>212.5</v>
      </c>
      <c r="Q111" t="s">
        <v>1174</v>
      </c>
      <c r="R111">
        <v>0</v>
      </c>
    </row>
    <row r="112" spans="1:18">
      <c r="A112" t="s">
        <v>992</v>
      </c>
      <c r="B112" t="s">
        <v>1033</v>
      </c>
      <c r="C112" t="s">
        <v>994</v>
      </c>
      <c r="D112">
        <v>300</v>
      </c>
      <c r="E112" s="128">
        <v>36526</v>
      </c>
      <c r="F112" s="128">
        <v>45415</v>
      </c>
      <c r="G1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300</v>
      </c>
      <c r="H112" s="128" t="str">
        <f t="shared" ca="1" si="1"/>
        <v>NO</v>
      </c>
      <c r="K112" s="130" t="s">
        <v>1175</v>
      </c>
      <c r="L112" s="598">
        <v>820</v>
      </c>
      <c r="Q112" t="s">
        <v>1113</v>
      </c>
      <c r="R112">
        <v>51.063219999999994</v>
      </c>
    </row>
    <row r="113" spans="1:18">
      <c r="A113" t="s">
        <v>992</v>
      </c>
      <c r="B113" t="s">
        <v>1030</v>
      </c>
      <c r="C113" t="s">
        <v>994</v>
      </c>
      <c r="D113">
        <v>281.64</v>
      </c>
      <c r="E113" s="128">
        <v>45415</v>
      </c>
      <c r="F113" s="128">
        <v>46022</v>
      </c>
      <c r="G1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281.64</v>
      </c>
      <c r="H113" s="128" t="str">
        <f t="shared" ca="1" si="1"/>
        <v>YES</v>
      </c>
      <c r="K113" s="130" t="s">
        <v>1176</v>
      </c>
      <c r="L113" s="598">
        <v>460.00000000000006</v>
      </c>
      <c r="Q113" t="s">
        <v>1114</v>
      </c>
      <c r="R113">
        <v>50.615419999999993</v>
      </c>
    </row>
    <row r="114" spans="1:18">
      <c r="A114" t="s">
        <v>992</v>
      </c>
      <c r="B114" t="s">
        <v>1036</v>
      </c>
      <c r="C114" t="s">
        <v>994</v>
      </c>
      <c r="D114">
        <v>171.67000000000002</v>
      </c>
      <c r="E114" s="128">
        <v>36526</v>
      </c>
      <c r="F114" s="128">
        <v>47483</v>
      </c>
      <c r="G1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171.67000000000002</v>
      </c>
      <c r="H114" s="128" t="str">
        <f t="shared" ca="1" si="1"/>
        <v>YES</v>
      </c>
      <c r="K114" s="130" t="s">
        <v>1177</v>
      </c>
      <c r="L114" s="598">
        <v>280.5</v>
      </c>
      <c r="Q114" t="s">
        <v>1115</v>
      </c>
      <c r="R114">
        <v>77.284589999999994</v>
      </c>
    </row>
    <row r="115" spans="1:18">
      <c r="A115" t="s">
        <v>992</v>
      </c>
      <c r="B115" t="s">
        <v>1033</v>
      </c>
      <c r="C115" t="s">
        <v>994</v>
      </c>
      <c r="D115">
        <v>302.27999999999997</v>
      </c>
      <c r="E115" s="128">
        <v>45415</v>
      </c>
      <c r="F115" s="128">
        <v>46022</v>
      </c>
      <c r="G1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302.27999999999997</v>
      </c>
      <c r="H115" s="128" t="str">
        <f t="shared" ca="1" si="1"/>
        <v>YES</v>
      </c>
      <c r="K115" s="130" t="s">
        <v>1178</v>
      </c>
      <c r="L115" s="598">
        <v>80.075000000000003</v>
      </c>
      <c r="Q115" t="s">
        <v>1116</v>
      </c>
      <c r="R115">
        <v>113.76459</v>
      </c>
    </row>
    <row r="116" spans="1:18">
      <c r="A116" t="s">
        <v>992</v>
      </c>
      <c r="B116" t="s">
        <v>1038</v>
      </c>
      <c r="C116" t="s">
        <v>994</v>
      </c>
      <c r="D116">
        <v>249.86</v>
      </c>
      <c r="E116" s="128">
        <v>36526</v>
      </c>
      <c r="F116" s="128">
        <v>47483</v>
      </c>
      <c r="G1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249.86</v>
      </c>
      <c r="H116" s="128" t="str">
        <f t="shared" ca="1" si="1"/>
        <v>YES</v>
      </c>
      <c r="K116" s="130" t="s">
        <v>1179</v>
      </c>
      <c r="L116" s="598">
        <v>567.9</v>
      </c>
      <c r="Q116" t="s">
        <v>1117</v>
      </c>
      <c r="R116">
        <v>135.57459</v>
      </c>
    </row>
    <row r="117" spans="1:18">
      <c r="A117" t="s">
        <v>992</v>
      </c>
      <c r="B117" t="s">
        <v>1042</v>
      </c>
      <c r="C117" t="s">
        <v>994</v>
      </c>
      <c r="D117">
        <v>2109.6</v>
      </c>
      <c r="E117" s="128">
        <v>45217</v>
      </c>
      <c r="F117" s="128">
        <v>45415</v>
      </c>
      <c r="G1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2109.6</v>
      </c>
      <c r="H117" s="128" t="str">
        <f t="shared" ca="1" si="1"/>
        <v>NO</v>
      </c>
      <c r="K117" s="130" t="s">
        <v>1180</v>
      </c>
      <c r="L117" s="598">
        <v>220</v>
      </c>
      <c r="Q117" t="s">
        <v>1119</v>
      </c>
      <c r="R117">
        <v>16.937349999999999</v>
      </c>
    </row>
    <row r="118" spans="1:18">
      <c r="A118" t="s">
        <v>992</v>
      </c>
      <c r="B118" t="s">
        <v>1041</v>
      </c>
      <c r="C118" t="s">
        <v>994</v>
      </c>
      <c r="D118">
        <v>209.99999999999997</v>
      </c>
      <c r="E118" s="128">
        <v>36526</v>
      </c>
      <c r="F118" s="128">
        <v>47483</v>
      </c>
      <c r="G1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209.99999999999997</v>
      </c>
      <c r="H118" s="128" t="str">
        <f t="shared" ca="1" si="1"/>
        <v>YES</v>
      </c>
      <c r="K118" s="130" t="s">
        <v>1181</v>
      </c>
      <c r="L118" s="598">
        <v>165.07</v>
      </c>
      <c r="Q118" t="s">
        <v>1120</v>
      </c>
      <c r="R118">
        <v>114.99208</v>
      </c>
    </row>
    <row r="119" spans="1:18">
      <c r="A119" t="s">
        <v>992</v>
      </c>
      <c r="B119" t="s">
        <v>1042</v>
      </c>
      <c r="C119" t="s">
        <v>994</v>
      </c>
      <c r="D119">
        <v>2116</v>
      </c>
      <c r="E119" s="128">
        <v>45415</v>
      </c>
      <c r="F119" s="128">
        <v>46022</v>
      </c>
      <c r="G1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2116</v>
      </c>
      <c r="H119" s="128" t="str">
        <f t="shared" ca="1" si="1"/>
        <v>YES</v>
      </c>
      <c r="K119" s="130" t="s">
        <v>1182</v>
      </c>
      <c r="L119" s="598">
        <v>519.875</v>
      </c>
      <c r="Q119" t="s">
        <v>1121</v>
      </c>
      <c r="R119">
        <v>367.32731999999999</v>
      </c>
    </row>
    <row r="120" spans="1:18">
      <c r="A120" t="s">
        <v>992</v>
      </c>
      <c r="B120" t="s">
        <v>1044</v>
      </c>
      <c r="C120" t="s">
        <v>994</v>
      </c>
      <c r="D120">
        <v>152</v>
      </c>
      <c r="E120" s="128">
        <v>36526</v>
      </c>
      <c r="F120" s="128">
        <v>44562</v>
      </c>
      <c r="G1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152</v>
      </c>
      <c r="H120" s="128" t="str">
        <f t="shared" ca="1" si="1"/>
        <v>NO</v>
      </c>
      <c r="K120" s="130" t="s">
        <v>1183</v>
      </c>
      <c r="L120" s="598">
        <v>238.00000000000003</v>
      </c>
      <c r="Q120" t="s">
        <v>1122</v>
      </c>
      <c r="R120">
        <v>57.03436</v>
      </c>
    </row>
    <row r="121" spans="1:18">
      <c r="A121" t="s">
        <v>992</v>
      </c>
      <c r="B121" t="s">
        <v>1135</v>
      </c>
      <c r="C121" t="s">
        <v>994</v>
      </c>
      <c r="D121">
        <v>85</v>
      </c>
      <c r="E121" s="128">
        <v>45272</v>
      </c>
      <c r="F121" s="128">
        <v>47483</v>
      </c>
      <c r="G1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</v>
      </c>
      <c r="H121" s="128" t="str">
        <f t="shared" ca="1" si="1"/>
        <v>YES</v>
      </c>
      <c r="K121" s="130" t="s">
        <v>1184</v>
      </c>
      <c r="L121" s="598">
        <v>167.2</v>
      </c>
      <c r="Q121" t="s">
        <v>1124</v>
      </c>
      <c r="R121">
        <v>62.944589999999998</v>
      </c>
    </row>
    <row r="122" spans="1:18">
      <c r="A122" t="s">
        <v>992</v>
      </c>
      <c r="B122" t="s">
        <v>1044</v>
      </c>
      <c r="C122" t="s">
        <v>994</v>
      </c>
      <c r="D122">
        <v>165</v>
      </c>
      <c r="E122" s="128">
        <v>44563</v>
      </c>
      <c r="F122" s="128">
        <v>47483</v>
      </c>
      <c r="G1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165</v>
      </c>
      <c r="H122" s="128" t="str">
        <f t="shared" ca="1" si="1"/>
        <v>YES</v>
      </c>
      <c r="K122" s="130" t="s">
        <v>1185</v>
      </c>
      <c r="L122" s="598">
        <v>300</v>
      </c>
      <c r="Q122" t="s">
        <v>847</v>
      </c>
      <c r="R122">
        <v>169.67502999999999</v>
      </c>
    </row>
    <row r="123" spans="1:18">
      <c r="A123" t="s">
        <v>992</v>
      </c>
      <c r="B123" t="s">
        <v>1047</v>
      </c>
      <c r="C123" t="s">
        <v>994</v>
      </c>
      <c r="D123">
        <v>193.99999999999997</v>
      </c>
      <c r="E123" s="128">
        <v>36526</v>
      </c>
      <c r="F123" s="128">
        <v>44562</v>
      </c>
      <c r="G1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193.99999999999997</v>
      </c>
      <c r="H123" s="128" t="str">
        <f t="shared" ca="1" si="1"/>
        <v>NO</v>
      </c>
      <c r="K123" s="130" t="s">
        <v>1186</v>
      </c>
      <c r="L123" s="598">
        <v>249.99999999999997</v>
      </c>
      <c r="Q123" t="s">
        <v>1128</v>
      </c>
      <c r="R123">
        <v>140.57814999999999</v>
      </c>
    </row>
    <row r="124" spans="1:18">
      <c r="A124" t="s">
        <v>992</v>
      </c>
      <c r="B124" t="s">
        <v>1047</v>
      </c>
      <c r="C124" t="s">
        <v>994</v>
      </c>
      <c r="D124">
        <v>276</v>
      </c>
      <c r="E124" s="128">
        <v>44563</v>
      </c>
      <c r="F124" s="128">
        <v>47483</v>
      </c>
      <c r="G1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276</v>
      </c>
      <c r="H124" s="128" t="str">
        <f t="shared" ca="1" si="1"/>
        <v>YES</v>
      </c>
      <c r="K124" s="130" t="s">
        <v>242</v>
      </c>
      <c r="L124" s="598">
        <v>889.7</v>
      </c>
      <c r="Q124" t="s">
        <v>1130</v>
      </c>
      <c r="R124">
        <v>83.729779999999991</v>
      </c>
    </row>
    <row r="125" spans="1:18">
      <c r="A125" t="s">
        <v>992</v>
      </c>
      <c r="B125" t="s">
        <v>1050</v>
      </c>
      <c r="C125" t="s">
        <v>994</v>
      </c>
      <c r="D125">
        <v>230.00000000000003</v>
      </c>
      <c r="E125" s="128">
        <v>36526</v>
      </c>
      <c r="F125" s="128">
        <v>45415</v>
      </c>
      <c r="G1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230.00000000000003</v>
      </c>
      <c r="H125" s="128" t="str">
        <f t="shared" ca="1" si="1"/>
        <v>NO</v>
      </c>
      <c r="K125" s="130" t="s">
        <v>1187</v>
      </c>
      <c r="L125" s="598">
        <v>485.66999999999996</v>
      </c>
      <c r="Q125" t="s">
        <v>1188</v>
      </c>
      <c r="R125">
        <v>114.85611</v>
      </c>
    </row>
    <row r="126" spans="1:18">
      <c r="A126" t="s">
        <v>992</v>
      </c>
      <c r="B126" t="s">
        <v>1053</v>
      </c>
      <c r="C126" t="s">
        <v>994</v>
      </c>
      <c r="D126">
        <v>237.86</v>
      </c>
      <c r="E126" s="128">
        <v>36526</v>
      </c>
      <c r="F126" s="128">
        <v>47483</v>
      </c>
      <c r="G1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237.86</v>
      </c>
      <c r="H126" s="128" t="str">
        <f t="shared" ca="1" si="1"/>
        <v>YES</v>
      </c>
      <c r="K126" s="130" t="s">
        <v>839</v>
      </c>
      <c r="L126" s="598">
        <v>268.38159999999999</v>
      </c>
      <c r="Q126" t="s">
        <v>1132</v>
      </c>
      <c r="R126">
        <v>72.219350000000006</v>
      </c>
    </row>
    <row r="127" spans="1:18">
      <c r="A127" t="s">
        <v>992</v>
      </c>
      <c r="B127" t="s">
        <v>1050</v>
      </c>
      <c r="C127" t="s">
        <v>994</v>
      </c>
      <c r="D127">
        <v>234.85</v>
      </c>
      <c r="E127" s="128">
        <v>45415</v>
      </c>
      <c r="F127" s="128">
        <v>46022</v>
      </c>
      <c r="G1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234.85</v>
      </c>
      <c r="H127" s="128" t="str">
        <f t="shared" ca="1" si="1"/>
        <v>YES</v>
      </c>
      <c r="K127" s="130" t="s">
        <v>903</v>
      </c>
      <c r="L127" s="598">
        <v>205.77600000000001</v>
      </c>
      <c r="Q127" t="s">
        <v>1133</v>
      </c>
      <c r="R127">
        <v>49.748359999999998</v>
      </c>
    </row>
    <row r="128" spans="1:18">
      <c r="A128" t="s">
        <v>992</v>
      </c>
      <c r="B128" t="s">
        <v>1055</v>
      </c>
      <c r="C128" t="s">
        <v>994</v>
      </c>
      <c r="D128">
        <v>47.900000000000006</v>
      </c>
      <c r="E128" s="128">
        <v>36526</v>
      </c>
      <c r="F128" s="128">
        <v>45415</v>
      </c>
      <c r="G1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47.900000000000006</v>
      </c>
      <c r="H128" s="128" t="str">
        <f t="shared" ca="1" si="1"/>
        <v>NO</v>
      </c>
      <c r="K128" s="130" t="s">
        <v>1189</v>
      </c>
      <c r="L128" s="598">
        <v>262.39839999999998</v>
      </c>
      <c r="Q128" t="s">
        <v>1134</v>
      </c>
      <c r="R128">
        <v>92.637079999999997</v>
      </c>
    </row>
    <row r="129" spans="1:18">
      <c r="A129" t="s">
        <v>992</v>
      </c>
      <c r="B129" t="s">
        <v>1056</v>
      </c>
      <c r="C129" t="s">
        <v>994</v>
      </c>
      <c r="D129">
        <v>209.99999999999997</v>
      </c>
      <c r="E129" s="128">
        <v>36526</v>
      </c>
      <c r="F129" s="128">
        <v>47483</v>
      </c>
      <c r="G1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209.99999999999997</v>
      </c>
      <c r="H129" s="128" t="str">
        <f t="shared" ca="1" si="1"/>
        <v>YES</v>
      </c>
      <c r="K129" s="130" t="s">
        <v>1190</v>
      </c>
      <c r="L129" s="598">
        <v>315.04000000000002</v>
      </c>
      <c r="Q129" t="s">
        <v>1136</v>
      </c>
      <c r="R129">
        <v>51.11985</v>
      </c>
    </row>
    <row r="130" spans="1:18">
      <c r="A130" t="s">
        <v>992</v>
      </c>
      <c r="B130" t="s">
        <v>1055</v>
      </c>
      <c r="C130" t="s">
        <v>994</v>
      </c>
      <c r="D130">
        <v>48.940000000000005</v>
      </c>
      <c r="E130" s="128">
        <v>45415</v>
      </c>
      <c r="F130" s="128">
        <v>46022</v>
      </c>
      <c r="G1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48.940000000000005</v>
      </c>
      <c r="H130" s="128" t="str">
        <f t="shared" ref="H130:H193" ca="1" si="2">IF(OR(F130=0,F130&gt;TODAY()),"YES","NO")</f>
        <v>YES</v>
      </c>
      <c r="K130" s="130" t="s">
        <v>1191</v>
      </c>
      <c r="L130" s="598">
        <v>278</v>
      </c>
      <c r="Q130" t="s">
        <v>1138</v>
      </c>
      <c r="R130">
        <v>29.970130000000001</v>
      </c>
    </row>
    <row r="131" spans="1:18">
      <c r="A131" t="s">
        <v>992</v>
      </c>
      <c r="B131" t="s">
        <v>1057</v>
      </c>
      <c r="C131" t="s">
        <v>994</v>
      </c>
      <c r="D131">
        <v>247.82</v>
      </c>
      <c r="E131" s="128">
        <v>36526</v>
      </c>
      <c r="F131" s="128">
        <v>47483</v>
      </c>
      <c r="G1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247.82</v>
      </c>
      <c r="H131" s="128" t="str">
        <f t="shared" ca="1" si="2"/>
        <v>YES</v>
      </c>
      <c r="K131" s="130" t="s">
        <v>1192</v>
      </c>
      <c r="L131" s="598">
        <v>92.666666666666671</v>
      </c>
      <c r="Q131" t="s">
        <v>1139</v>
      </c>
      <c r="R131">
        <v>43.404049999999998</v>
      </c>
    </row>
    <row r="132" spans="1:18">
      <c r="A132" t="s">
        <v>992</v>
      </c>
      <c r="B132" t="s">
        <v>1059</v>
      </c>
      <c r="C132" t="s">
        <v>994</v>
      </c>
      <c r="D132">
        <v>209.99999999999997</v>
      </c>
      <c r="E132" s="128">
        <v>36526</v>
      </c>
      <c r="F132" s="128">
        <v>47483</v>
      </c>
      <c r="G1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209.99999999999997</v>
      </c>
      <c r="H132" s="128" t="str">
        <f t="shared" ca="1" si="2"/>
        <v>YES</v>
      </c>
      <c r="K132" s="130" t="s">
        <v>1193</v>
      </c>
      <c r="L132" s="598">
        <v>91</v>
      </c>
      <c r="Q132" t="s">
        <v>895</v>
      </c>
      <c r="R132">
        <v>56.006</v>
      </c>
    </row>
    <row r="133" spans="1:18">
      <c r="A133" t="s">
        <v>992</v>
      </c>
      <c r="B133" t="s">
        <v>1060</v>
      </c>
      <c r="C133" t="s">
        <v>994</v>
      </c>
      <c r="D133">
        <v>249.86</v>
      </c>
      <c r="E133" s="128">
        <v>36526</v>
      </c>
      <c r="F133" s="128">
        <v>47483</v>
      </c>
      <c r="G1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249.86</v>
      </c>
      <c r="H133" s="128" t="str">
        <f t="shared" ca="1" si="2"/>
        <v>YES</v>
      </c>
      <c r="K133" s="130" t="s">
        <v>1194</v>
      </c>
      <c r="L133" s="598">
        <v>385.14960000000002</v>
      </c>
      <c r="Q133" t="s">
        <v>1140</v>
      </c>
      <c r="R133">
        <v>19.95374</v>
      </c>
    </row>
    <row r="134" spans="1:18">
      <c r="A134" t="s">
        <v>992</v>
      </c>
      <c r="B134" t="s">
        <v>1062</v>
      </c>
      <c r="C134" t="s">
        <v>994</v>
      </c>
      <c r="D134">
        <v>247.82</v>
      </c>
      <c r="E134" s="128">
        <v>36526</v>
      </c>
      <c r="F134" s="128">
        <v>45415</v>
      </c>
      <c r="G1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247.82</v>
      </c>
      <c r="H134" s="128" t="str">
        <f t="shared" ca="1" si="2"/>
        <v>NO</v>
      </c>
      <c r="K134" s="130" t="s">
        <v>1195</v>
      </c>
      <c r="L134" s="598">
        <v>261</v>
      </c>
      <c r="Q134" t="s">
        <v>1142</v>
      </c>
      <c r="R134">
        <v>25.250299999999999</v>
      </c>
    </row>
    <row r="135" spans="1:18">
      <c r="A135" t="s">
        <v>992</v>
      </c>
      <c r="B135" t="s">
        <v>1019</v>
      </c>
      <c r="C135" t="s">
        <v>994</v>
      </c>
      <c r="D135">
        <v>365.37</v>
      </c>
      <c r="E135" s="128">
        <v>45440</v>
      </c>
      <c r="F135" s="128">
        <v>45657</v>
      </c>
      <c r="G1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365.37</v>
      </c>
      <c r="H135" s="128" t="str">
        <f t="shared" ca="1" si="2"/>
        <v>NO</v>
      </c>
      <c r="K135" s="130" t="s">
        <v>931</v>
      </c>
      <c r="L135" s="598">
        <v>131.9</v>
      </c>
      <c r="Q135" t="s">
        <v>1143</v>
      </c>
      <c r="R135">
        <v>119.0731</v>
      </c>
    </row>
    <row r="136" spans="1:18">
      <c r="A136" t="s">
        <v>992</v>
      </c>
      <c r="B136" t="s">
        <v>1063</v>
      </c>
      <c r="C136" t="s">
        <v>994</v>
      </c>
      <c r="D136">
        <v>763.7</v>
      </c>
      <c r="E136" s="128">
        <v>36526</v>
      </c>
      <c r="F136" s="128">
        <v>47483</v>
      </c>
      <c r="G1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763.7</v>
      </c>
      <c r="H136" s="128" t="str">
        <f t="shared" ca="1" si="2"/>
        <v>YES</v>
      </c>
      <c r="K136" s="130" t="s">
        <v>1196</v>
      </c>
      <c r="L136" s="598">
        <v>531</v>
      </c>
      <c r="Q136" t="s">
        <v>1144</v>
      </c>
      <c r="R136">
        <v>31.709610000000001</v>
      </c>
    </row>
    <row r="137" spans="1:18">
      <c r="A137" t="s">
        <v>992</v>
      </c>
      <c r="B137" t="s">
        <v>1062</v>
      </c>
      <c r="C137" t="s">
        <v>994</v>
      </c>
      <c r="D137">
        <v>254.36999999999998</v>
      </c>
      <c r="E137" s="128">
        <v>45415</v>
      </c>
      <c r="F137" s="128">
        <v>46022</v>
      </c>
      <c r="G1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254.36999999999998</v>
      </c>
      <c r="H137" s="128" t="str">
        <f t="shared" ca="1" si="2"/>
        <v>YES</v>
      </c>
      <c r="K137" s="130" t="s">
        <v>1197</v>
      </c>
      <c r="L137" s="598">
        <v>357</v>
      </c>
      <c r="Q137" t="s">
        <v>1145</v>
      </c>
      <c r="R137">
        <v>31.773219999999998</v>
      </c>
    </row>
    <row r="138" spans="1:18">
      <c r="A138" t="s">
        <v>992</v>
      </c>
      <c r="B138" t="s">
        <v>1063</v>
      </c>
      <c r="C138" t="s">
        <v>994</v>
      </c>
      <c r="D138">
        <v>734.3</v>
      </c>
      <c r="E138" s="128">
        <v>36526</v>
      </c>
      <c r="F138" s="128">
        <v>47483</v>
      </c>
      <c r="G1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734.3</v>
      </c>
      <c r="H138" s="128" t="str">
        <f t="shared" ca="1" si="2"/>
        <v>YES</v>
      </c>
      <c r="K138" s="130" t="s">
        <v>1103</v>
      </c>
      <c r="L138" s="598">
        <v>1350</v>
      </c>
      <c r="Q138" t="s">
        <v>1146</v>
      </c>
      <c r="R138">
        <v>30.445219999999999</v>
      </c>
    </row>
    <row r="139" spans="1:18">
      <c r="A139" t="s">
        <v>992</v>
      </c>
      <c r="B139" t="s">
        <v>1065</v>
      </c>
      <c r="C139" t="s">
        <v>994</v>
      </c>
      <c r="D139">
        <v>429.62</v>
      </c>
      <c r="E139" s="128">
        <v>36526</v>
      </c>
      <c r="F139" s="128">
        <v>47483</v>
      </c>
      <c r="G1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429.62</v>
      </c>
      <c r="H139" s="128" t="str">
        <f t="shared" ca="1" si="2"/>
        <v>YES</v>
      </c>
      <c r="K139" s="130" t="s">
        <v>1198</v>
      </c>
      <c r="L139" s="598">
        <v>969.00000000000011</v>
      </c>
      <c r="Q139" t="s">
        <v>1147</v>
      </c>
      <c r="R139">
        <v>66.764949999999999</v>
      </c>
    </row>
    <row r="140" spans="1:18">
      <c r="A140" t="s">
        <v>992</v>
      </c>
      <c r="B140" t="s">
        <v>1067</v>
      </c>
      <c r="C140" t="s">
        <v>994</v>
      </c>
      <c r="D140">
        <v>48.300000000000004</v>
      </c>
      <c r="E140" s="128">
        <v>36526</v>
      </c>
      <c r="F140" s="128">
        <v>47483</v>
      </c>
      <c r="G1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48.300000000000004</v>
      </c>
      <c r="H140" s="128" t="str">
        <f t="shared" ca="1" si="2"/>
        <v>YES</v>
      </c>
      <c r="K140" s="130" t="s">
        <v>1200</v>
      </c>
      <c r="L140" s="598">
        <v>249.9</v>
      </c>
      <c r="Q140" t="s">
        <v>1148</v>
      </c>
      <c r="R140">
        <v>103.9003</v>
      </c>
    </row>
    <row r="141" spans="1:18">
      <c r="A141" t="s">
        <v>992</v>
      </c>
      <c r="B141" t="s">
        <v>1069</v>
      </c>
      <c r="C141" t="s">
        <v>994</v>
      </c>
      <c r="D141">
        <v>250.52</v>
      </c>
      <c r="E141" s="128">
        <v>36526</v>
      </c>
      <c r="F141" s="128">
        <v>47483</v>
      </c>
      <c r="G1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250.52</v>
      </c>
      <c r="H141" s="128" t="str">
        <f t="shared" ca="1" si="2"/>
        <v>YES</v>
      </c>
      <c r="K141" s="130" t="s">
        <v>1201</v>
      </c>
      <c r="L141" s="598">
        <v>227.8</v>
      </c>
      <c r="Q141" t="s">
        <v>1149</v>
      </c>
      <c r="R141">
        <v>28.186589999999999</v>
      </c>
    </row>
    <row r="142" spans="1:18">
      <c r="A142" t="s">
        <v>992</v>
      </c>
      <c r="B142" t="s">
        <v>1070</v>
      </c>
      <c r="C142" t="s">
        <v>994</v>
      </c>
      <c r="D142">
        <v>578.99</v>
      </c>
      <c r="E142" s="128">
        <v>44562</v>
      </c>
      <c r="F142" s="128">
        <v>45415</v>
      </c>
      <c r="G1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578.99</v>
      </c>
      <c r="H142" s="128" t="str">
        <f t="shared" ca="1" si="2"/>
        <v>NO</v>
      </c>
      <c r="K142" s="130" t="s">
        <v>1202</v>
      </c>
      <c r="L142" s="598">
        <v>328.1</v>
      </c>
      <c r="Q142" t="s">
        <v>1150</v>
      </c>
      <c r="R142">
        <v>43.297719999999998</v>
      </c>
    </row>
    <row r="143" spans="1:18">
      <c r="A143" t="s">
        <v>992</v>
      </c>
      <c r="B143" t="s">
        <v>1073</v>
      </c>
      <c r="C143" t="s">
        <v>994</v>
      </c>
      <c r="D143">
        <v>866.96</v>
      </c>
      <c r="E143" s="128">
        <v>36526</v>
      </c>
      <c r="F143" s="128">
        <v>47483</v>
      </c>
      <c r="G1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866.96</v>
      </c>
      <c r="H143" s="128" t="str">
        <f t="shared" ca="1" si="2"/>
        <v>YES</v>
      </c>
      <c r="K143" s="130" t="s">
        <v>1203</v>
      </c>
      <c r="L143" s="598">
        <v>212.55799999999999</v>
      </c>
      <c r="Q143" t="s">
        <v>1151</v>
      </c>
      <c r="R143">
        <v>19.14772</v>
      </c>
    </row>
    <row r="144" spans="1:18">
      <c r="A144" t="s">
        <v>992</v>
      </c>
      <c r="B144" t="s">
        <v>1070</v>
      </c>
      <c r="C144" t="s">
        <v>994</v>
      </c>
      <c r="D144">
        <v>588.78</v>
      </c>
      <c r="E144" s="128">
        <v>45415</v>
      </c>
      <c r="F144" s="128">
        <v>46022</v>
      </c>
      <c r="G1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588.78</v>
      </c>
      <c r="H144" s="128" t="str">
        <f t="shared" ca="1" si="2"/>
        <v>YES</v>
      </c>
      <c r="K144" s="130" t="s">
        <v>243</v>
      </c>
      <c r="L144" s="598">
        <v>347</v>
      </c>
      <c r="Q144" t="s">
        <v>1152</v>
      </c>
      <c r="R144">
        <v>134.13459</v>
      </c>
    </row>
    <row r="145" spans="1:18">
      <c r="A145" t="s">
        <v>992</v>
      </c>
      <c r="B145" t="s">
        <v>1073</v>
      </c>
      <c r="C145" t="s">
        <v>994</v>
      </c>
      <c r="D145">
        <v>841.79</v>
      </c>
      <c r="E145" s="128">
        <v>36526</v>
      </c>
      <c r="F145" s="128">
        <v>47483</v>
      </c>
      <c r="G1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841.79</v>
      </c>
      <c r="H145" s="128" t="str">
        <f t="shared" ca="1" si="2"/>
        <v>YES</v>
      </c>
      <c r="K145" s="130" t="s">
        <v>1204</v>
      </c>
      <c r="L145" s="598">
        <v>204.8</v>
      </c>
      <c r="Q145" t="s">
        <v>1153</v>
      </c>
      <c r="R145">
        <v>44.756540000000001</v>
      </c>
    </row>
    <row r="146" spans="1:18">
      <c r="A146" t="s">
        <v>992</v>
      </c>
      <c r="B146" t="s">
        <v>1075</v>
      </c>
      <c r="C146" t="s">
        <v>994</v>
      </c>
      <c r="D146">
        <v>550.66</v>
      </c>
      <c r="E146" s="128">
        <v>36526</v>
      </c>
      <c r="F146" s="128">
        <v>47483</v>
      </c>
      <c r="G1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550.66</v>
      </c>
      <c r="H146" s="128" t="str">
        <f t="shared" ca="1" si="2"/>
        <v>YES</v>
      </c>
      <c r="K146" s="130" t="s">
        <v>1205</v>
      </c>
      <c r="L146" s="598">
        <v>116.99999999999999</v>
      </c>
      <c r="Q146" t="s">
        <v>1155</v>
      </c>
      <c r="R146">
        <v>159.63772</v>
      </c>
    </row>
    <row r="147" spans="1:18">
      <c r="A147" t="s">
        <v>992</v>
      </c>
      <c r="B147" t="s">
        <v>1073</v>
      </c>
      <c r="C147" t="s">
        <v>994</v>
      </c>
      <c r="D147">
        <v>871.19999999999993</v>
      </c>
      <c r="E147" s="128">
        <v>45415</v>
      </c>
      <c r="F147" s="128">
        <v>46022</v>
      </c>
      <c r="G1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871.19999999999993</v>
      </c>
      <c r="H147" s="128" t="str">
        <f t="shared" ca="1" si="2"/>
        <v>YES</v>
      </c>
      <c r="K147" s="130" t="s">
        <v>1206</v>
      </c>
      <c r="L147" s="598">
        <v>1445.8500000000001</v>
      </c>
      <c r="Q147" t="s">
        <v>1156</v>
      </c>
      <c r="R147">
        <v>47.925060000000002</v>
      </c>
    </row>
    <row r="148" spans="1:18">
      <c r="A148" t="s">
        <v>992</v>
      </c>
      <c r="B148" t="s">
        <v>1077</v>
      </c>
      <c r="C148" t="s">
        <v>994</v>
      </c>
      <c r="D148">
        <v>352.57</v>
      </c>
      <c r="E148" s="128">
        <v>36526</v>
      </c>
      <c r="F148" s="128">
        <v>47483</v>
      </c>
      <c r="G1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352.57</v>
      </c>
      <c r="H148" s="128" t="str">
        <f t="shared" ca="1" si="2"/>
        <v>YES</v>
      </c>
      <c r="K148" s="130" t="s">
        <v>1207</v>
      </c>
      <c r="L148" s="598">
        <v>130.80000000000001</v>
      </c>
      <c r="Q148" t="s">
        <v>1158</v>
      </c>
      <c r="R148">
        <v>297.16004000000004</v>
      </c>
    </row>
    <row r="149" spans="1:18">
      <c r="A149" t="s">
        <v>992</v>
      </c>
      <c r="B149" t="s">
        <v>1078</v>
      </c>
      <c r="C149" t="s">
        <v>994</v>
      </c>
      <c r="D149">
        <v>704</v>
      </c>
      <c r="E149" s="128">
        <v>36526</v>
      </c>
      <c r="F149" s="128">
        <v>47483</v>
      </c>
      <c r="G1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704</v>
      </c>
      <c r="H149" s="128" t="str">
        <f t="shared" ca="1" si="2"/>
        <v>YES</v>
      </c>
      <c r="K149" s="130" t="s">
        <v>1208</v>
      </c>
      <c r="L149" s="598">
        <v>552</v>
      </c>
      <c r="Q149" t="s">
        <v>1159</v>
      </c>
      <c r="R149">
        <v>22.601939999999999</v>
      </c>
    </row>
    <row r="150" spans="1:18">
      <c r="A150" t="s">
        <v>992</v>
      </c>
      <c r="B150" t="s">
        <v>1080</v>
      </c>
      <c r="C150" t="s">
        <v>994</v>
      </c>
      <c r="D150">
        <v>761.09999999999991</v>
      </c>
      <c r="E150" s="128">
        <v>36526</v>
      </c>
      <c r="F150" s="128">
        <v>44866</v>
      </c>
      <c r="G1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761.09999999999991</v>
      </c>
      <c r="H150" s="128" t="str">
        <f t="shared" ca="1" si="2"/>
        <v>NO</v>
      </c>
      <c r="K150" s="130" t="s">
        <v>1209</v>
      </c>
      <c r="L150" s="598">
        <v>552</v>
      </c>
      <c r="Q150" t="s">
        <v>1160</v>
      </c>
      <c r="R150">
        <v>213.40152</v>
      </c>
    </row>
    <row r="151" spans="1:18">
      <c r="A151" t="s">
        <v>992</v>
      </c>
      <c r="B151" t="s">
        <v>1080</v>
      </c>
      <c r="C151" t="s">
        <v>994</v>
      </c>
      <c r="D151">
        <v>743.7</v>
      </c>
      <c r="E151" s="128">
        <v>44867</v>
      </c>
      <c r="F151" s="128">
        <v>45415</v>
      </c>
      <c r="G1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743.7</v>
      </c>
      <c r="H151" s="128" t="str">
        <f t="shared" ca="1" si="2"/>
        <v>NO</v>
      </c>
      <c r="K151" s="130" t="s">
        <v>1210</v>
      </c>
      <c r="L151" s="598">
        <v>182</v>
      </c>
      <c r="Q151" t="s">
        <v>1161</v>
      </c>
      <c r="R151">
        <v>90.133690000000001</v>
      </c>
    </row>
    <row r="152" spans="1:18">
      <c r="A152" t="s">
        <v>992</v>
      </c>
      <c r="B152" t="s">
        <v>1080</v>
      </c>
      <c r="C152" t="s">
        <v>994</v>
      </c>
      <c r="D152">
        <v>905.63</v>
      </c>
      <c r="E152" s="128">
        <v>45415</v>
      </c>
      <c r="F152" s="128">
        <v>46022</v>
      </c>
      <c r="G1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905.63</v>
      </c>
      <c r="H152" s="128" t="str">
        <f t="shared" ca="1" si="2"/>
        <v>YES</v>
      </c>
      <c r="K152" s="130" t="s">
        <v>1211</v>
      </c>
      <c r="L152" s="598">
        <v>186</v>
      </c>
      <c r="Q152" t="s">
        <v>1163</v>
      </c>
      <c r="R152">
        <v>184.88230000000001</v>
      </c>
    </row>
    <row r="153" spans="1:18">
      <c r="A153" t="s">
        <v>992</v>
      </c>
      <c r="B153" t="s">
        <v>1081</v>
      </c>
      <c r="C153" t="s">
        <v>994</v>
      </c>
      <c r="D153">
        <v>313.75</v>
      </c>
      <c r="E153" s="128">
        <v>36526</v>
      </c>
      <c r="F153" s="128">
        <v>47483</v>
      </c>
      <c r="G1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313.75</v>
      </c>
      <c r="H153" s="128" t="str">
        <f t="shared" ca="1" si="2"/>
        <v>YES</v>
      </c>
      <c r="K153" s="130" t="s">
        <v>1212</v>
      </c>
      <c r="L153" s="598">
        <v>402.99999999999994</v>
      </c>
      <c r="Q153" t="s">
        <v>1165</v>
      </c>
      <c r="R153">
        <v>27.707719999999998</v>
      </c>
    </row>
    <row r="154" spans="1:18">
      <c r="A154" t="s">
        <v>992</v>
      </c>
      <c r="B154" t="s">
        <v>1082</v>
      </c>
      <c r="C154" t="s">
        <v>994</v>
      </c>
      <c r="D154">
        <v>53</v>
      </c>
      <c r="E154" s="128">
        <v>36526</v>
      </c>
      <c r="F154" s="128">
        <v>47483</v>
      </c>
      <c r="G1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</v>
      </c>
      <c r="H154" s="128" t="str">
        <f t="shared" ca="1" si="2"/>
        <v>YES</v>
      </c>
      <c r="K154" s="130" t="s">
        <v>245</v>
      </c>
      <c r="L154" s="598">
        <v>338.30666666666667</v>
      </c>
      <c r="Q154" t="s">
        <v>1166</v>
      </c>
      <c r="R154">
        <v>31.43647</v>
      </c>
    </row>
    <row r="155" spans="1:18">
      <c r="A155" t="s">
        <v>992</v>
      </c>
      <c r="B155" t="s">
        <v>1084</v>
      </c>
      <c r="C155" t="s">
        <v>994</v>
      </c>
      <c r="D155">
        <v>433.15000000000003</v>
      </c>
      <c r="E155" s="128">
        <v>36526</v>
      </c>
      <c r="F155" s="128">
        <v>45427</v>
      </c>
      <c r="G1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433.15000000000003</v>
      </c>
      <c r="H155" s="128" t="str">
        <f t="shared" ca="1" si="2"/>
        <v>NO</v>
      </c>
      <c r="K155" s="130" t="s">
        <v>246</v>
      </c>
      <c r="L155" s="598">
        <v>302.44666666666666</v>
      </c>
      <c r="Q155" t="s">
        <v>1167</v>
      </c>
      <c r="R155">
        <v>76.983739999999997</v>
      </c>
    </row>
    <row r="156" spans="1:18">
      <c r="A156" t="s">
        <v>992</v>
      </c>
      <c r="B156" t="s">
        <v>1086</v>
      </c>
      <c r="C156" t="s">
        <v>994</v>
      </c>
      <c r="D156">
        <v>253.31</v>
      </c>
      <c r="E156" s="128">
        <v>36526</v>
      </c>
      <c r="F156" s="128">
        <v>47483</v>
      </c>
      <c r="G1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253.31</v>
      </c>
      <c r="H156" s="128" t="str">
        <f t="shared" ca="1" si="2"/>
        <v>YES</v>
      </c>
      <c r="K156" s="130" t="s">
        <v>1213</v>
      </c>
      <c r="L156" s="598">
        <v>345</v>
      </c>
      <c r="Q156" t="s">
        <v>1168</v>
      </c>
      <c r="R156">
        <v>58.389349999999993</v>
      </c>
    </row>
    <row r="157" spans="1:18">
      <c r="A157" t="s">
        <v>992</v>
      </c>
      <c r="B157" t="s">
        <v>1084</v>
      </c>
      <c r="C157" t="s">
        <v>994</v>
      </c>
      <c r="D157">
        <v>540.34</v>
      </c>
      <c r="E157" s="128">
        <v>45427</v>
      </c>
      <c r="F157" s="128">
        <v>47483</v>
      </c>
      <c r="G1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540.34</v>
      </c>
      <c r="H157" s="128" t="str">
        <f t="shared" ca="1" si="2"/>
        <v>YES</v>
      </c>
      <c r="K157" s="130" t="s">
        <v>1214</v>
      </c>
      <c r="L157" s="598">
        <v>339.24</v>
      </c>
      <c r="Q157" t="s">
        <v>1169</v>
      </c>
      <c r="R157">
        <v>732.14824999999996</v>
      </c>
    </row>
    <row r="158" spans="1:18">
      <c r="A158" t="s">
        <v>992</v>
      </c>
      <c r="B158" t="s">
        <v>1087</v>
      </c>
      <c r="C158" t="s">
        <v>994</v>
      </c>
      <c r="D158">
        <v>439.245</v>
      </c>
      <c r="E158" s="128">
        <v>36526</v>
      </c>
      <c r="F158" s="128">
        <v>45427</v>
      </c>
      <c r="G1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439.245</v>
      </c>
      <c r="H158" s="128" t="str">
        <f t="shared" ca="1" si="2"/>
        <v>NO</v>
      </c>
      <c r="K158" s="130" t="s">
        <v>1215</v>
      </c>
      <c r="L158" s="598">
        <v>100.5</v>
      </c>
      <c r="Q158" t="s">
        <v>1170</v>
      </c>
      <c r="R158">
        <v>51.428690000000003</v>
      </c>
    </row>
    <row r="159" spans="1:18">
      <c r="A159" t="s">
        <v>992</v>
      </c>
      <c r="B159" t="s">
        <v>1089</v>
      </c>
      <c r="C159" t="s">
        <v>994</v>
      </c>
      <c r="D159">
        <v>335.24</v>
      </c>
      <c r="E159" s="128">
        <v>36526</v>
      </c>
      <c r="F159" s="128">
        <v>47483</v>
      </c>
      <c r="G1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335.24</v>
      </c>
      <c r="H159" s="128" t="str">
        <f t="shared" ca="1" si="2"/>
        <v>YES</v>
      </c>
      <c r="K159" s="130" t="s">
        <v>247</v>
      </c>
      <c r="L159" s="598">
        <v>206.02</v>
      </c>
      <c r="Q159" t="s">
        <v>1171</v>
      </c>
      <c r="R159">
        <v>107.92961</v>
      </c>
    </row>
    <row r="160" spans="1:18">
      <c r="A160" t="s">
        <v>992</v>
      </c>
      <c r="B160" t="s">
        <v>1087</v>
      </c>
      <c r="C160" t="s">
        <v>994</v>
      </c>
      <c r="D160">
        <v>564.92999999999995</v>
      </c>
      <c r="E160" s="128">
        <v>45427</v>
      </c>
      <c r="F160" s="128">
        <v>47483</v>
      </c>
      <c r="G1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564.92999999999995</v>
      </c>
      <c r="H160" s="128" t="str">
        <f t="shared" ca="1" si="2"/>
        <v>YES</v>
      </c>
      <c r="K160" s="130" t="s">
        <v>1216</v>
      </c>
      <c r="L160" s="598">
        <v>656</v>
      </c>
      <c r="Q160" t="s">
        <v>1172</v>
      </c>
      <c r="R160">
        <v>59.381610000000002</v>
      </c>
    </row>
    <row r="161" spans="1:18">
      <c r="A161" t="s">
        <v>992</v>
      </c>
      <c r="B161" t="s">
        <v>1090</v>
      </c>
      <c r="C161" t="s">
        <v>994</v>
      </c>
      <c r="D161">
        <v>503</v>
      </c>
      <c r="E161" s="128">
        <v>36526</v>
      </c>
      <c r="F161" s="128">
        <v>47483</v>
      </c>
      <c r="G1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503</v>
      </c>
      <c r="H161" s="128" t="str">
        <f t="shared" ca="1" si="2"/>
        <v>YES</v>
      </c>
      <c r="K161" s="130" t="s">
        <v>1217</v>
      </c>
      <c r="L161" s="598">
        <v>656</v>
      </c>
      <c r="Q161" t="s">
        <v>1173</v>
      </c>
      <c r="R161">
        <v>60.623219999999996</v>
      </c>
    </row>
    <row r="162" spans="1:18">
      <c r="A162" t="s">
        <v>992</v>
      </c>
      <c r="B162" t="s">
        <v>1090</v>
      </c>
      <c r="C162" t="s">
        <v>994</v>
      </c>
      <c r="D162">
        <v>495</v>
      </c>
      <c r="E162" s="128">
        <v>36526</v>
      </c>
      <c r="F162" s="128">
        <v>47483</v>
      </c>
      <c r="G1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495</v>
      </c>
      <c r="H162" s="128" t="str">
        <f t="shared" ca="1" si="2"/>
        <v>YES</v>
      </c>
      <c r="K162" s="130" t="s">
        <v>248</v>
      </c>
      <c r="L162" s="598">
        <v>397.00000000000006</v>
      </c>
      <c r="Q162" t="s">
        <v>1175</v>
      </c>
      <c r="R162">
        <v>375.44442999999995</v>
      </c>
    </row>
    <row r="163" spans="1:18">
      <c r="A163" t="s">
        <v>992</v>
      </c>
      <c r="B163" t="s">
        <v>1092</v>
      </c>
      <c r="C163" t="s">
        <v>994</v>
      </c>
      <c r="D163">
        <v>3060</v>
      </c>
      <c r="E163" s="128">
        <v>36526</v>
      </c>
      <c r="F163" s="128">
        <v>47483</v>
      </c>
      <c r="G1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3060</v>
      </c>
      <c r="H163" s="128" t="str">
        <f t="shared" ca="1" si="2"/>
        <v>YES</v>
      </c>
      <c r="K163" s="130" t="s">
        <v>1218</v>
      </c>
      <c r="L163" s="598">
        <v>170.14999999999998</v>
      </c>
      <c r="Q163" t="s">
        <v>1176</v>
      </c>
      <c r="R163">
        <v>231.89839999999998</v>
      </c>
    </row>
    <row r="164" spans="1:18">
      <c r="A164" t="s">
        <v>992</v>
      </c>
      <c r="B164" t="s">
        <v>1093</v>
      </c>
      <c r="C164" t="s">
        <v>994</v>
      </c>
      <c r="D164">
        <v>612.5</v>
      </c>
      <c r="E164" s="128">
        <v>36526</v>
      </c>
      <c r="F164" s="128">
        <v>47483</v>
      </c>
      <c r="G1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612.5</v>
      </c>
      <c r="H164" s="128" t="str">
        <f t="shared" ca="1" si="2"/>
        <v>YES</v>
      </c>
      <c r="K164" s="130" t="s">
        <v>1219</v>
      </c>
      <c r="L164" s="598">
        <v>163.07999999999998</v>
      </c>
      <c r="Q164" t="s">
        <v>1177</v>
      </c>
      <c r="R164">
        <v>157.76961</v>
      </c>
    </row>
    <row r="165" spans="1:18">
      <c r="A165" t="s">
        <v>992</v>
      </c>
      <c r="B165" t="s">
        <v>1094</v>
      </c>
      <c r="C165" t="s">
        <v>994</v>
      </c>
      <c r="D165">
        <v>453.77000000000004</v>
      </c>
      <c r="E165" s="128">
        <v>36526</v>
      </c>
      <c r="F165" s="128">
        <v>45427</v>
      </c>
      <c r="G1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453.77000000000004</v>
      </c>
      <c r="H165" s="128" t="str">
        <f t="shared" ca="1" si="2"/>
        <v>NO</v>
      </c>
      <c r="K165" s="130" t="s">
        <v>1220</v>
      </c>
      <c r="L165" s="598">
        <v>590</v>
      </c>
      <c r="Q165" t="s">
        <v>1178</v>
      </c>
      <c r="R165">
        <v>52.179610000000004</v>
      </c>
    </row>
    <row r="166" spans="1:18">
      <c r="A166" t="s">
        <v>992</v>
      </c>
      <c r="B166" t="s">
        <v>1096</v>
      </c>
      <c r="C166" t="s">
        <v>994</v>
      </c>
      <c r="D166">
        <v>464.61</v>
      </c>
      <c r="E166" s="128">
        <v>36526</v>
      </c>
      <c r="F166" s="128">
        <v>44876</v>
      </c>
      <c r="G1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464.61</v>
      </c>
      <c r="H166" s="128" t="str">
        <f t="shared" ca="1" si="2"/>
        <v>NO</v>
      </c>
      <c r="K166" s="130" t="s">
        <v>1221</v>
      </c>
      <c r="L166" s="598">
        <v>277</v>
      </c>
      <c r="Q166" t="s">
        <v>1179</v>
      </c>
      <c r="R166">
        <v>469.09670999999997</v>
      </c>
    </row>
    <row r="167" spans="1:18">
      <c r="A167" t="s">
        <v>992</v>
      </c>
      <c r="B167" t="s">
        <v>1094</v>
      </c>
      <c r="C167" t="s">
        <v>994</v>
      </c>
      <c r="D167">
        <v>466.64</v>
      </c>
      <c r="E167" s="128">
        <v>45427</v>
      </c>
      <c r="F167" s="128">
        <v>47483</v>
      </c>
      <c r="G1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466.64</v>
      </c>
      <c r="H167" s="128" t="str">
        <f t="shared" ca="1" si="2"/>
        <v>YES</v>
      </c>
      <c r="K167" s="130" t="s">
        <v>1222</v>
      </c>
      <c r="L167" s="598">
        <v>262</v>
      </c>
      <c r="Q167" t="s">
        <v>1180</v>
      </c>
      <c r="R167">
        <v>93.404709999999994</v>
      </c>
    </row>
    <row r="168" spans="1:18">
      <c r="A168" t="s">
        <v>992</v>
      </c>
      <c r="B168" t="s">
        <v>1096</v>
      </c>
      <c r="C168" t="s">
        <v>994</v>
      </c>
      <c r="D168">
        <v>490.1</v>
      </c>
      <c r="E168" s="128">
        <v>44876</v>
      </c>
      <c r="F168" s="128">
        <v>45427</v>
      </c>
      <c r="G1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490.1</v>
      </c>
      <c r="H168" s="128" t="str">
        <f t="shared" ca="1" si="2"/>
        <v>NO</v>
      </c>
      <c r="K168" s="130" t="s">
        <v>1223</v>
      </c>
      <c r="L168" s="598">
        <v>134</v>
      </c>
      <c r="Q168" t="s">
        <v>1181</v>
      </c>
      <c r="R168">
        <v>107.20983000000001</v>
      </c>
    </row>
    <row r="169" spans="1:18">
      <c r="A169" t="s">
        <v>992</v>
      </c>
      <c r="B169" t="s">
        <v>1097</v>
      </c>
      <c r="C169" t="s">
        <v>994</v>
      </c>
      <c r="D169">
        <v>383.74999999999994</v>
      </c>
      <c r="E169" s="128">
        <v>36526</v>
      </c>
      <c r="F169" s="128">
        <v>47483</v>
      </c>
      <c r="G1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383.74999999999994</v>
      </c>
      <c r="H169" s="128" t="str">
        <f t="shared" ca="1" si="2"/>
        <v>YES</v>
      </c>
      <c r="K169" s="130" t="s">
        <v>1224</v>
      </c>
      <c r="L169" s="598">
        <v>145</v>
      </c>
      <c r="Q169" t="s">
        <v>1182</v>
      </c>
      <c r="R169">
        <v>155.25459000000001</v>
      </c>
    </row>
    <row r="170" spans="1:18">
      <c r="A170" t="s">
        <v>992</v>
      </c>
      <c r="B170" t="s">
        <v>1096</v>
      </c>
      <c r="C170" t="s">
        <v>994</v>
      </c>
      <c r="D170">
        <v>499.31000000000006</v>
      </c>
      <c r="E170" s="128">
        <v>45427</v>
      </c>
      <c r="F170" s="128">
        <v>47483</v>
      </c>
      <c r="G1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499.31000000000006</v>
      </c>
      <c r="H170" s="128" t="str">
        <f t="shared" ca="1" si="2"/>
        <v>YES</v>
      </c>
      <c r="K170" s="130" t="s">
        <v>1225</v>
      </c>
      <c r="L170" s="598">
        <v>535.5</v>
      </c>
      <c r="Q170" t="s">
        <v>1183</v>
      </c>
      <c r="R170">
        <v>113.48412999999999</v>
      </c>
    </row>
    <row r="171" spans="1:18">
      <c r="A171" t="s">
        <v>992</v>
      </c>
      <c r="B171" t="s">
        <v>1099</v>
      </c>
      <c r="C171" t="s">
        <v>994</v>
      </c>
      <c r="D171">
        <v>213.49999999999997</v>
      </c>
      <c r="E171" s="128">
        <v>36526</v>
      </c>
      <c r="F171" s="128">
        <v>47483</v>
      </c>
      <c r="G1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213.49999999999997</v>
      </c>
      <c r="H171" s="128" t="str">
        <f t="shared" ca="1" si="2"/>
        <v>YES</v>
      </c>
      <c r="K171" s="130" t="s">
        <v>1226</v>
      </c>
      <c r="L171" s="598">
        <v>354.59999999999997</v>
      </c>
      <c r="Q171" t="s">
        <v>1184</v>
      </c>
      <c r="R171">
        <v>71.259610000000009</v>
      </c>
    </row>
    <row r="172" spans="1:18">
      <c r="A172" t="s">
        <v>992</v>
      </c>
      <c r="B172" t="s">
        <v>1100</v>
      </c>
      <c r="C172" t="s">
        <v>994</v>
      </c>
      <c r="D172">
        <v>3396.4999999999995</v>
      </c>
      <c r="E172" s="128">
        <v>36526</v>
      </c>
      <c r="F172" s="128">
        <v>45427</v>
      </c>
      <c r="G1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3396.4999999999995</v>
      </c>
      <c r="H172" s="128" t="str">
        <f t="shared" ca="1" si="2"/>
        <v>NO</v>
      </c>
      <c r="K172" s="130" t="s">
        <v>1227</v>
      </c>
      <c r="L172" s="598">
        <v>104.99999999999999</v>
      </c>
      <c r="Q172" t="s">
        <v>1185</v>
      </c>
      <c r="R172">
        <v>265.3723</v>
      </c>
    </row>
    <row r="173" spans="1:18">
      <c r="A173" t="s">
        <v>992</v>
      </c>
      <c r="B173" t="s">
        <v>1101</v>
      </c>
      <c r="C173" t="s">
        <v>994</v>
      </c>
      <c r="D173">
        <v>245.62</v>
      </c>
      <c r="E173" s="128">
        <v>36526</v>
      </c>
      <c r="F173" s="128">
        <v>45427</v>
      </c>
      <c r="G1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245.62</v>
      </c>
      <c r="H173" s="128" t="str">
        <f t="shared" ca="1" si="2"/>
        <v>NO</v>
      </c>
      <c r="K173" s="130" t="s">
        <v>1228</v>
      </c>
      <c r="L173" s="598">
        <v>499.99999999999994</v>
      </c>
      <c r="Q173" t="s">
        <v>1186</v>
      </c>
      <c r="R173">
        <v>253.81455</v>
      </c>
    </row>
    <row r="174" spans="1:18">
      <c r="A174" t="s">
        <v>992</v>
      </c>
      <c r="B174" t="s">
        <v>1100</v>
      </c>
      <c r="C174" t="s">
        <v>994</v>
      </c>
      <c r="D174">
        <v>3451.8900000000003</v>
      </c>
      <c r="E174" s="128">
        <v>45427</v>
      </c>
      <c r="F174" s="128">
        <v>47483</v>
      </c>
      <c r="G1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3451.8900000000003</v>
      </c>
      <c r="H174" s="128" t="str">
        <f t="shared" ca="1" si="2"/>
        <v>YES</v>
      </c>
      <c r="K174" s="130" t="s">
        <v>1229</v>
      </c>
      <c r="L174" s="598">
        <v>184.39000000000001</v>
      </c>
      <c r="Q174" t="s">
        <v>242</v>
      </c>
      <c r="R174">
        <v>818.53245000000004</v>
      </c>
    </row>
    <row r="175" spans="1:18">
      <c r="A175" t="s">
        <v>992</v>
      </c>
      <c r="B175" t="s">
        <v>1102</v>
      </c>
      <c r="C175" t="s">
        <v>994</v>
      </c>
      <c r="D175">
        <v>260.70999999999998</v>
      </c>
      <c r="E175" s="128">
        <v>36526</v>
      </c>
      <c r="F175" s="128">
        <v>47483</v>
      </c>
      <c r="G1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260.70999999999998</v>
      </c>
      <c r="H175" s="128" t="str">
        <f t="shared" ca="1" si="2"/>
        <v>YES</v>
      </c>
      <c r="K175" s="130" t="s">
        <v>252</v>
      </c>
      <c r="L175" s="598">
        <v>1316.5</v>
      </c>
      <c r="Q175" t="s">
        <v>1187</v>
      </c>
      <c r="R175">
        <v>359.02488</v>
      </c>
    </row>
    <row r="176" spans="1:18">
      <c r="A176" t="s">
        <v>992</v>
      </c>
      <c r="B176" t="s">
        <v>1101</v>
      </c>
      <c r="C176" t="s">
        <v>994</v>
      </c>
      <c r="D176">
        <v>257.63</v>
      </c>
      <c r="E176" s="128">
        <v>45427</v>
      </c>
      <c r="F176" s="128">
        <v>47483</v>
      </c>
      <c r="G1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257.63</v>
      </c>
      <c r="H176" s="128" t="str">
        <f t="shared" ca="1" si="2"/>
        <v>YES</v>
      </c>
      <c r="K176" s="130" t="s">
        <v>1230</v>
      </c>
      <c r="L176" s="598">
        <v>225</v>
      </c>
      <c r="Q176" t="s">
        <v>839</v>
      </c>
      <c r="R176">
        <v>95.090299999999999</v>
      </c>
    </row>
    <row r="177" spans="1:18">
      <c r="A177" t="s">
        <v>992</v>
      </c>
      <c r="B177" t="s">
        <v>1104</v>
      </c>
      <c r="C177" t="s">
        <v>994</v>
      </c>
      <c r="D177">
        <v>413.44</v>
      </c>
      <c r="E177" s="128">
        <v>44562</v>
      </c>
      <c r="F177" s="128">
        <v>45427</v>
      </c>
      <c r="G1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413.44</v>
      </c>
      <c r="H177" s="128" t="str">
        <f t="shared" ca="1" si="2"/>
        <v>NO</v>
      </c>
      <c r="K177" s="130" t="s">
        <v>253</v>
      </c>
      <c r="L177" s="598">
        <v>976.50000000000011</v>
      </c>
      <c r="Q177" t="s">
        <v>903</v>
      </c>
      <c r="R177">
        <v>82.339999999999989</v>
      </c>
    </row>
    <row r="178" spans="1:18">
      <c r="A178" t="s">
        <v>992</v>
      </c>
      <c r="B178" t="s">
        <v>1105</v>
      </c>
      <c r="C178" t="s">
        <v>994</v>
      </c>
      <c r="D178">
        <v>439.245</v>
      </c>
      <c r="E178" s="128">
        <v>36526</v>
      </c>
      <c r="F178" s="128">
        <v>45427</v>
      </c>
      <c r="G1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439.245</v>
      </c>
      <c r="H178" s="128" t="str">
        <f t="shared" ca="1" si="2"/>
        <v>NO</v>
      </c>
      <c r="K178" s="130" t="s">
        <v>1231</v>
      </c>
      <c r="L178" s="598">
        <v>299</v>
      </c>
      <c r="Q178" t="s">
        <v>1189</v>
      </c>
      <c r="R178">
        <v>131.79459</v>
      </c>
    </row>
    <row r="179" spans="1:18">
      <c r="A179" t="s">
        <v>992</v>
      </c>
      <c r="B179" t="s">
        <v>1104</v>
      </c>
      <c r="C179" t="s">
        <v>994</v>
      </c>
      <c r="D179">
        <v>423.09000000000003</v>
      </c>
      <c r="E179" s="128">
        <v>45427</v>
      </c>
      <c r="F179" s="128">
        <v>47483</v>
      </c>
      <c r="G1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423.09000000000003</v>
      </c>
      <c r="H179" s="128" t="str">
        <f t="shared" ca="1" si="2"/>
        <v>YES</v>
      </c>
      <c r="K179" s="130" t="s">
        <v>909</v>
      </c>
      <c r="L179" s="598">
        <v>190.00000000000003</v>
      </c>
      <c r="Q179" t="s">
        <v>1190</v>
      </c>
      <c r="R179">
        <v>314.08962000000002</v>
      </c>
    </row>
    <row r="180" spans="1:18">
      <c r="A180" t="s">
        <v>992</v>
      </c>
      <c r="B180" t="s">
        <v>1106</v>
      </c>
      <c r="C180" t="s">
        <v>994</v>
      </c>
      <c r="D180">
        <v>503</v>
      </c>
      <c r="E180" s="128">
        <v>44197</v>
      </c>
      <c r="F180" s="128">
        <v>44561</v>
      </c>
      <c r="G1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503</v>
      </c>
      <c r="H180" s="128" t="str">
        <f t="shared" ca="1" si="2"/>
        <v>NO</v>
      </c>
      <c r="K180" s="130" t="s">
        <v>1234</v>
      </c>
      <c r="L180" s="598">
        <v>83</v>
      </c>
      <c r="Q180" t="s">
        <v>1191</v>
      </c>
      <c r="R180">
        <v>71.43459</v>
      </c>
    </row>
    <row r="181" spans="1:18">
      <c r="A181" t="s">
        <v>992</v>
      </c>
      <c r="B181" t="s">
        <v>1105</v>
      </c>
      <c r="C181" t="s">
        <v>994</v>
      </c>
      <c r="D181">
        <v>564.92999999999995</v>
      </c>
      <c r="E181" s="128">
        <v>45427</v>
      </c>
      <c r="F181" s="128">
        <v>47483</v>
      </c>
      <c r="G1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564.92999999999995</v>
      </c>
      <c r="H181" s="128" t="str">
        <f t="shared" ca="1" si="2"/>
        <v>YES</v>
      </c>
      <c r="K181" s="130" t="s">
        <v>1236</v>
      </c>
      <c r="L181" s="598">
        <v>177.70999999999998</v>
      </c>
      <c r="Q181" t="s">
        <v>1192</v>
      </c>
      <c r="R181">
        <v>44.658470000000001</v>
      </c>
    </row>
    <row r="182" spans="1:18">
      <c r="A182" t="s">
        <v>992</v>
      </c>
      <c r="B182" t="s">
        <v>1106</v>
      </c>
      <c r="C182" t="s">
        <v>994</v>
      </c>
      <c r="D182">
        <v>495</v>
      </c>
      <c r="E182" s="128">
        <v>44561</v>
      </c>
      <c r="F182" s="128">
        <v>44712</v>
      </c>
      <c r="G1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495</v>
      </c>
      <c r="H182" s="128" t="str">
        <f t="shared" ca="1" si="2"/>
        <v>NO</v>
      </c>
      <c r="K182" s="130" t="s">
        <v>1237</v>
      </c>
      <c r="L182" s="598">
        <v>173</v>
      </c>
      <c r="Q182" t="s">
        <v>1193</v>
      </c>
      <c r="R182">
        <v>70.975219999999993</v>
      </c>
    </row>
    <row r="183" spans="1:18">
      <c r="A183" t="s">
        <v>992</v>
      </c>
      <c r="B183" t="s">
        <v>1106</v>
      </c>
      <c r="C183" t="s">
        <v>994</v>
      </c>
      <c r="D183">
        <v>487.68</v>
      </c>
      <c r="E183" s="128">
        <v>44713</v>
      </c>
      <c r="F183" s="128">
        <v>45427</v>
      </c>
      <c r="G1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487.68</v>
      </c>
      <c r="H183" s="128" t="str">
        <f t="shared" ca="1" si="2"/>
        <v>NO</v>
      </c>
      <c r="K183" s="130" t="s">
        <v>1238</v>
      </c>
      <c r="L183" s="598">
        <v>173</v>
      </c>
      <c r="Q183" t="s">
        <v>1235</v>
      </c>
      <c r="R183">
        <v>400</v>
      </c>
    </row>
    <row r="184" spans="1:18">
      <c r="A184" t="s">
        <v>992</v>
      </c>
      <c r="B184" t="s">
        <v>1162</v>
      </c>
      <c r="C184" t="s">
        <v>994</v>
      </c>
      <c r="D184">
        <v>17.399999999999999</v>
      </c>
      <c r="E184" s="128">
        <v>44197</v>
      </c>
      <c r="F184" s="128">
        <v>44561</v>
      </c>
      <c r="G1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17.399999999999999</v>
      </c>
      <c r="H184" s="128" t="str">
        <f t="shared" ca="1" si="2"/>
        <v>NO</v>
      </c>
      <c r="K184" s="130" t="s">
        <v>1239</v>
      </c>
      <c r="L184" s="598">
        <v>324</v>
      </c>
      <c r="Q184" t="s">
        <v>1194</v>
      </c>
      <c r="R184">
        <v>244.78044</v>
      </c>
    </row>
    <row r="185" spans="1:18">
      <c r="A185" t="s">
        <v>992</v>
      </c>
      <c r="B185" t="s">
        <v>1106</v>
      </c>
      <c r="C185" t="s">
        <v>994</v>
      </c>
      <c r="D185">
        <v>578.94999999999993</v>
      </c>
      <c r="E185" s="128">
        <v>45427</v>
      </c>
      <c r="F185" s="128">
        <v>47483</v>
      </c>
      <c r="G1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578.94999999999993</v>
      </c>
      <c r="H185" s="128" t="str">
        <f t="shared" ca="1" si="2"/>
        <v>YES</v>
      </c>
      <c r="K185" s="130" t="s">
        <v>1240</v>
      </c>
      <c r="L185" s="598">
        <v>294.10000000000002</v>
      </c>
      <c r="Q185" t="s">
        <v>1195</v>
      </c>
      <c r="R185">
        <v>162.29094000000001</v>
      </c>
    </row>
    <row r="186" spans="1:18">
      <c r="A186" t="s">
        <v>992</v>
      </c>
      <c r="B186" t="s">
        <v>1164</v>
      </c>
      <c r="C186" t="s">
        <v>994</v>
      </c>
      <c r="D186">
        <v>845.55</v>
      </c>
      <c r="E186" s="128">
        <v>44197</v>
      </c>
      <c r="F186" s="128">
        <v>44561</v>
      </c>
      <c r="G1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845.55</v>
      </c>
      <c r="H186" s="128" t="str">
        <f t="shared" ca="1" si="2"/>
        <v>NO</v>
      </c>
      <c r="K186" s="130" t="s">
        <v>1241</v>
      </c>
      <c r="L186" s="598">
        <v>150</v>
      </c>
      <c r="Q186" t="s">
        <v>931</v>
      </c>
      <c r="R186">
        <v>98.006259999999997</v>
      </c>
    </row>
    <row r="187" spans="1:18">
      <c r="A187" t="s">
        <v>992</v>
      </c>
      <c r="B187" t="s">
        <v>1107</v>
      </c>
      <c r="C187" t="s">
        <v>994</v>
      </c>
      <c r="D187">
        <v>1328</v>
      </c>
      <c r="E187" s="128">
        <v>44197</v>
      </c>
      <c r="F187" s="128">
        <v>44976</v>
      </c>
      <c r="G1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1328</v>
      </c>
      <c r="H187" s="128" t="str">
        <f t="shared" ca="1" si="2"/>
        <v>NO</v>
      </c>
      <c r="K187" s="130" t="s">
        <v>1242</v>
      </c>
      <c r="L187" s="598">
        <v>300</v>
      </c>
      <c r="Q187" t="s">
        <v>1196</v>
      </c>
      <c r="R187">
        <v>532.94368000000009</v>
      </c>
    </row>
    <row r="188" spans="1:18">
      <c r="A188" t="s">
        <v>992</v>
      </c>
      <c r="B188" t="s">
        <v>1107</v>
      </c>
      <c r="C188" t="s">
        <v>994</v>
      </c>
      <c r="D188">
        <v>1415.5</v>
      </c>
      <c r="E188" s="128">
        <v>44977</v>
      </c>
      <c r="F188" s="128">
        <v>46022</v>
      </c>
      <c r="G1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1415.5</v>
      </c>
      <c r="H188" s="128" t="str">
        <f t="shared" ca="1" si="2"/>
        <v>YES</v>
      </c>
      <c r="K188" s="130" t="s">
        <v>1243</v>
      </c>
      <c r="L188" s="598">
        <v>88</v>
      </c>
      <c r="Q188" t="s">
        <v>1197</v>
      </c>
      <c r="R188">
        <v>226.81640999999999</v>
      </c>
    </row>
    <row r="189" spans="1:18">
      <c r="A189" t="s">
        <v>992</v>
      </c>
      <c r="B189" t="s">
        <v>1109</v>
      </c>
      <c r="C189" t="s">
        <v>994</v>
      </c>
      <c r="D189">
        <v>253.31</v>
      </c>
      <c r="E189" s="128">
        <v>44562</v>
      </c>
      <c r="F189" s="128">
        <v>45427</v>
      </c>
      <c r="G1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253.31</v>
      </c>
      <c r="H189" s="128" t="str">
        <f t="shared" ca="1" si="2"/>
        <v>NO</v>
      </c>
      <c r="K189" s="130" t="s">
        <v>1244</v>
      </c>
      <c r="L189" s="598">
        <v>132</v>
      </c>
      <c r="Q189" t="s">
        <v>1103</v>
      </c>
      <c r="R189">
        <v>1005.05141</v>
      </c>
    </row>
    <row r="190" spans="1:18">
      <c r="A190" t="s">
        <v>992</v>
      </c>
      <c r="B190" t="s">
        <v>1111</v>
      </c>
      <c r="C190" t="s">
        <v>994</v>
      </c>
      <c r="D190">
        <v>1</v>
      </c>
      <c r="E190" s="128">
        <v>36526</v>
      </c>
      <c r="F190" s="128">
        <v>47483</v>
      </c>
      <c r="G1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</v>
      </c>
      <c r="H190" s="128" t="str">
        <f t="shared" ca="1" si="2"/>
        <v>YES</v>
      </c>
      <c r="K190" s="130" t="s">
        <v>1245</v>
      </c>
      <c r="L190" s="598">
        <v>221</v>
      </c>
      <c r="Q190" t="s">
        <v>1198</v>
      </c>
      <c r="R190">
        <v>883.93759999999997</v>
      </c>
    </row>
    <row r="191" spans="1:18">
      <c r="A191" t="s">
        <v>992</v>
      </c>
      <c r="B191" t="s">
        <v>1109</v>
      </c>
      <c r="C191" t="s">
        <v>994</v>
      </c>
      <c r="D191">
        <v>283.82</v>
      </c>
      <c r="E191" s="128">
        <v>45427</v>
      </c>
      <c r="F191" s="128">
        <v>47483</v>
      </c>
      <c r="G1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283.82</v>
      </c>
      <c r="H191" s="128" t="str">
        <f t="shared" ca="1" si="2"/>
        <v>YES</v>
      </c>
      <c r="K191" s="130" t="s">
        <v>1246</v>
      </c>
      <c r="L191" s="598">
        <v>537.6</v>
      </c>
      <c r="Q191" t="s">
        <v>1199</v>
      </c>
      <c r="R191">
        <v>343.65998999999999</v>
      </c>
    </row>
    <row r="192" spans="1:18">
      <c r="A192" t="s">
        <v>992</v>
      </c>
      <c r="B192" t="s">
        <v>1113</v>
      </c>
      <c r="C192" t="s">
        <v>994</v>
      </c>
      <c r="D192">
        <v>253.94</v>
      </c>
      <c r="E192" s="128">
        <v>36526</v>
      </c>
      <c r="F192" s="128">
        <v>47483</v>
      </c>
      <c r="G1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253.94</v>
      </c>
      <c r="H192" s="128" t="str">
        <f t="shared" ca="1" si="2"/>
        <v>YES</v>
      </c>
      <c r="K192" s="130" t="s">
        <v>1247</v>
      </c>
      <c r="L192" s="598">
        <v>537.6</v>
      </c>
      <c r="Q192" t="s">
        <v>1200</v>
      </c>
      <c r="R192">
        <v>124.06897000000001</v>
      </c>
    </row>
    <row r="193" spans="1:18">
      <c r="A193" t="s">
        <v>992</v>
      </c>
      <c r="B193" t="s">
        <v>1114</v>
      </c>
      <c r="C193" t="s">
        <v>994</v>
      </c>
      <c r="D193">
        <v>139.49</v>
      </c>
      <c r="E193" s="128">
        <v>36526</v>
      </c>
      <c r="F193" s="128">
        <v>46387</v>
      </c>
      <c r="G1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139.49</v>
      </c>
      <c r="H193" s="128" t="str">
        <f t="shared" ca="1" si="2"/>
        <v>YES</v>
      </c>
      <c r="K193" s="130" t="s">
        <v>254</v>
      </c>
      <c r="L193" s="598">
        <v>361.35</v>
      </c>
      <c r="Q193" t="s">
        <v>1201</v>
      </c>
      <c r="R193">
        <v>73.429639999999992</v>
      </c>
    </row>
    <row r="194" spans="1:18">
      <c r="A194" t="s">
        <v>992</v>
      </c>
      <c r="B194" t="s">
        <v>1115</v>
      </c>
      <c r="C194" t="s">
        <v>994</v>
      </c>
      <c r="D194">
        <v>110.5</v>
      </c>
      <c r="E194" s="128">
        <v>36526</v>
      </c>
      <c r="F194" s="128">
        <v>47483</v>
      </c>
      <c r="G1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110.5</v>
      </c>
      <c r="H194" s="128" t="str">
        <f t="shared" ref="H194:H257" ca="1" si="3">IF(OR(F194=0,F194&gt;TODAY()),"YES","NO")</f>
        <v>YES</v>
      </c>
      <c r="K194" s="130" t="s">
        <v>1248</v>
      </c>
      <c r="L194" s="598">
        <v>263</v>
      </c>
      <c r="Q194" t="s">
        <v>1202</v>
      </c>
      <c r="R194">
        <v>103.20262</v>
      </c>
    </row>
    <row r="195" spans="1:18">
      <c r="A195" t="s">
        <v>992</v>
      </c>
      <c r="B195" t="s">
        <v>1116</v>
      </c>
      <c r="C195" t="s">
        <v>994</v>
      </c>
      <c r="D195">
        <v>192.95</v>
      </c>
      <c r="E195" s="128">
        <v>36526</v>
      </c>
      <c r="F195" s="128">
        <v>47483</v>
      </c>
      <c r="G1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192.95</v>
      </c>
      <c r="H195" s="128" t="str">
        <f t="shared" ca="1" si="3"/>
        <v>YES</v>
      </c>
      <c r="K195" s="130" t="s">
        <v>1249</v>
      </c>
      <c r="L195" s="598">
        <v>561.80000000000007</v>
      </c>
      <c r="Q195" t="s">
        <v>1203</v>
      </c>
      <c r="R195">
        <v>178.59998999999999</v>
      </c>
    </row>
    <row r="196" spans="1:18">
      <c r="A196" t="s">
        <v>992</v>
      </c>
      <c r="B196" t="s">
        <v>1119</v>
      </c>
      <c r="C196" t="s">
        <v>994</v>
      </c>
      <c r="D196">
        <v>231.63</v>
      </c>
      <c r="E196" s="128">
        <v>36526</v>
      </c>
      <c r="F196" s="128">
        <v>47483</v>
      </c>
      <c r="G1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231.63</v>
      </c>
      <c r="H196" s="128" t="str">
        <f t="shared" ca="1" si="3"/>
        <v>YES</v>
      </c>
      <c r="K196" s="130" t="s">
        <v>1250</v>
      </c>
      <c r="L196" s="598">
        <v>604.1</v>
      </c>
      <c r="Q196" t="s">
        <v>243</v>
      </c>
      <c r="R196">
        <v>244.93735000000001</v>
      </c>
    </row>
    <row r="197" spans="1:18">
      <c r="A197" t="s">
        <v>992</v>
      </c>
      <c r="B197" t="s">
        <v>1120</v>
      </c>
      <c r="C197" t="s">
        <v>994</v>
      </c>
      <c r="D197">
        <v>148.75</v>
      </c>
      <c r="E197" s="128">
        <v>36526</v>
      </c>
      <c r="F197" s="128">
        <v>47483</v>
      </c>
      <c r="G1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148.75</v>
      </c>
      <c r="H197" s="128" t="str">
        <f t="shared" ca="1" si="3"/>
        <v>YES</v>
      </c>
      <c r="K197" s="130" t="s">
        <v>1251</v>
      </c>
      <c r="L197" s="598">
        <v>161</v>
      </c>
      <c r="Q197" t="s">
        <v>1204</v>
      </c>
      <c r="R197">
        <v>145.63171</v>
      </c>
    </row>
    <row r="198" spans="1:18">
      <c r="A198" t="s">
        <v>992</v>
      </c>
      <c r="B198" t="s">
        <v>1121</v>
      </c>
      <c r="C198" t="s">
        <v>994</v>
      </c>
      <c r="D198">
        <v>273.42</v>
      </c>
      <c r="E198" s="128">
        <v>36526</v>
      </c>
      <c r="F198" s="128">
        <v>42370</v>
      </c>
      <c r="G1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273.42</v>
      </c>
      <c r="H198" s="128" t="str">
        <f t="shared" ca="1" si="3"/>
        <v>NO</v>
      </c>
      <c r="K198" s="130" t="s">
        <v>1252</v>
      </c>
      <c r="L198" s="598">
        <v>150</v>
      </c>
      <c r="Q198" t="s">
        <v>1205</v>
      </c>
      <c r="R198">
        <v>83.889810000000011</v>
      </c>
    </row>
    <row r="199" spans="1:18">
      <c r="A199" t="s">
        <v>992</v>
      </c>
      <c r="B199" t="s">
        <v>1121</v>
      </c>
      <c r="C199" t="s">
        <v>994</v>
      </c>
      <c r="D199">
        <v>692</v>
      </c>
      <c r="E199" s="128">
        <v>44385</v>
      </c>
      <c r="F199" s="128">
        <v>47464</v>
      </c>
      <c r="G1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692</v>
      </c>
      <c r="H199" s="128" t="str">
        <f t="shared" ca="1" si="3"/>
        <v>YES</v>
      </c>
      <c r="K199" s="130" t="s">
        <v>1253</v>
      </c>
      <c r="L199" s="598">
        <v>530</v>
      </c>
      <c r="Q199" t="s">
        <v>1206</v>
      </c>
      <c r="R199">
        <v>533.30471</v>
      </c>
    </row>
    <row r="200" spans="1:18">
      <c r="A200" t="s">
        <v>992</v>
      </c>
      <c r="B200" t="s">
        <v>1122</v>
      </c>
      <c r="C200" t="s">
        <v>994</v>
      </c>
      <c r="D200">
        <v>128.35</v>
      </c>
      <c r="E200" s="128">
        <v>40544</v>
      </c>
      <c r="F200" s="128">
        <v>47483</v>
      </c>
      <c r="G2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128.35</v>
      </c>
      <c r="H200" s="128" t="str">
        <f t="shared" ca="1" si="3"/>
        <v>YES</v>
      </c>
      <c r="K200" s="130" t="s">
        <v>1254</v>
      </c>
      <c r="L200" s="598">
        <v>361.20000000000005</v>
      </c>
      <c r="Q200" t="s">
        <v>1207</v>
      </c>
      <c r="R200">
        <v>120.24069</v>
      </c>
    </row>
    <row r="201" spans="1:18">
      <c r="A201" t="s">
        <v>992</v>
      </c>
      <c r="B201" t="s">
        <v>1124</v>
      </c>
      <c r="C201" t="s">
        <v>994</v>
      </c>
      <c r="D201">
        <v>293.25</v>
      </c>
      <c r="E201" s="128">
        <v>36526</v>
      </c>
      <c r="F201" s="128">
        <v>47483</v>
      </c>
      <c r="G2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293.25</v>
      </c>
      <c r="H201" s="128" t="str">
        <f t="shared" ca="1" si="3"/>
        <v>YES</v>
      </c>
      <c r="K201" s="130" t="s">
        <v>1255</v>
      </c>
      <c r="L201" s="598">
        <v>283.2</v>
      </c>
      <c r="Q201" t="s">
        <v>1208</v>
      </c>
      <c r="R201">
        <v>537.21120000000008</v>
      </c>
    </row>
    <row r="202" spans="1:18">
      <c r="A202" t="s">
        <v>992</v>
      </c>
      <c r="B202" t="s">
        <v>1124</v>
      </c>
      <c r="C202" t="s">
        <v>994</v>
      </c>
      <c r="D202">
        <v>118</v>
      </c>
      <c r="E202" s="128">
        <v>43313</v>
      </c>
      <c r="F202" s="128">
        <v>47483</v>
      </c>
      <c r="G2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</v>
      </c>
      <c r="H202" s="128" t="str">
        <f t="shared" ca="1" si="3"/>
        <v>YES</v>
      </c>
      <c r="K202" s="130" t="s">
        <v>1256</v>
      </c>
      <c r="L202" s="598">
        <v>410</v>
      </c>
      <c r="Q202" t="s">
        <v>1209</v>
      </c>
      <c r="R202">
        <v>539.01004</v>
      </c>
    </row>
    <row r="203" spans="1:18">
      <c r="A203" t="s">
        <v>992</v>
      </c>
      <c r="B203" t="s">
        <v>847</v>
      </c>
      <c r="C203" t="s">
        <v>994</v>
      </c>
      <c r="D203">
        <v>595</v>
      </c>
      <c r="E203" s="128">
        <v>36526</v>
      </c>
      <c r="F203" s="128">
        <v>46387</v>
      </c>
      <c r="G2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595</v>
      </c>
      <c r="H203" s="128" t="str">
        <f t="shared" ca="1" si="3"/>
        <v>YES</v>
      </c>
      <c r="K203" s="130" t="s">
        <v>1257</v>
      </c>
      <c r="L203" s="598">
        <v>134</v>
      </c>
      <c r="Q203" t="s">
        <v>1210</v>
      </c>
      <c r="R203">
        <v>113.66337999999999</v>
      </c>
    </row>
    <row r="204" spans="1:18">
      <c r="A204" t="s">
        <v>992</v>
      </c>
      <c r="B204" t="s">
        <v>1128</v>
      </c>
      <c r="C204" t="s">
        <v>994</v>
      </c>
      <c r="D204">
        <v>442.92</v>
      </c>
      <c r="E204" s="128">
        <v>36526</v>
      </c>
      <c r="F204" s="128">
        <v>43100</v>
      </c>
      <c r="G2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442.92</v>
      </c>
      <c r="H204" s="128" t="str">
        <f t="shared" ca="1" si="3"/>
        <v>NO</v>
      </c>
      <c r="K204" s="130" t="s">
        <v>1258</v>
      </c>
      <c r="L204" s="598">
        <v>323.39999999999998</v>
      </c>
      <c r="Q204" t="s">
        <v>1211</v>
      </c>
      <c r="R204">
        <v>142.01230000000001</v>
      </c>
    </row>
    <row r="205" spans="1:18">
      <c r="A205" t="s">
        <v>992</v>
      </c>
      <c r="B205" t="s">
        <v>1128</v>
      </c>
      <c r="C205" t="s">
        <v>994</v>
      </c>
      <c r="D205">
        <v>463.15999999999997</v>
      </c>
      <c r="E205" s="128">
        <v>43101</v>
      </c>
      <c r="F205" s="128">
        <v>43431</v>
      </c>
      <c r="G2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463.15999999999997</v>
      </c>
      <c r="H205" s="128" t="str">
        <f t="shared" ca="1" si="3"/>
        <v>NO</v>
      </c>
      <c r="K205" s="130" t="s">
        <v>1259</v>
      </c>
      <c r="L205" s="598">
        <v>68</v>
      </c>
      <c r="Q205" t="s">
        <v>1212</v>
      </c>
      <c r="R205">
        <v>451.36587999999995</v>
      </c>
    </row>
    <row r="206" spans="1:18">
      <c r="A206" t="s">
        <v>992</v>
      </c>
      <c r="B206" t="s">
        <v>1128</v>
      </c>
      <c r="C206" t="s">
        <v>994</v>
      </c>
      <c r="D206">
        <v>193</v>
      </c>
      <c r="E206" s="128">
        <v>43432</v>
      </c>
      <c r="F206" s="128">
        <v>44809</v>
      </c>
      <c r="G2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193</v>
      </c>
      <c r="H206" s="128" t="str">
        <f t="shared" ca="1" si="3"/>
        <v>NO</v>
      </c>
      <c r="K206" s="130" t="s">
        <v>1260</v>
      </c>
      <c r="L206" s="598">
        <v>377.27499999999998</v>
      </c>
      <c r="Q206" t="s">
        <v>244</v>
      </c>
      <c r="R206">
        <v>249.38303999999997</v>
      </c>
    </row>
    <row r="207" spans="1:18">
      <c r="A207" t="s">
        <v>992</v>
      </c>
      <c r="B207" t="s">
        <v>1128</v>
      </c>
      <c r="C207" t="s">
        <v>994</v>
      </c>
      <c r="D207">
        <v>305.8</v>
      </c>
      <c r="E207" s="128">
        <v>44810</v>
      </c>
      <c r="F207" s="128">
        <v>46387</v>
      </c>
      <c r="G2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305.8</v>
      </c>
      <c r="H207" s="128" t="str">
        <f t="shared" ca="1" si="3"/>
        <v>YES</v>
      </c>
      <c r="K207" s="130" t="s">
        <v>1261</v>
      </c>
      <c r="L207" s="598">
        <v>474.99999999999994</v>
      </c>
      <c r="Q207" t="s">
        <v>245</v>
      </c>
      <c r="R207">
        <v>358.90977999999996</v>
      </c>
    </row>
    <row r="208" spans="1:18">
      <c r="A208" t="s">
        <v>992</v>
      </c>
      <c r="B208" t="s">
        <v>1130</v>
      </c>
      <c r="C208" t="s">
        <v>994</v>
      </c>
      <c r="D208">
        <v>302.34000000000003</v>
      </c>
      <c r="E208" s="128">
        <v>36526</v>
      </c>
      <c r="F208" s="128">
        <v>47483</v>
      </c>
      <c r="G2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302.34000000000003</v>
      </c>
      <c r="H208" s="128" t="str">
        <f t="shared" ca="1" si="3"/>
        <v>YES</v>
      </c>
      <c r="K208" s="130" t="s">
        <v>1262</v>
      </c>
      <c r="L208" s="598">
        <v>228</v>
      </c>
      <c r="Q208" t="s">
        <v>246</v>
      </c>
      <c r="R208">
        <v>351.49209999999999</v>
      </c>
    </row>
    <row r="209" spans="1:18">
      <c r="A209" t="s">
        <v>992</v>
      </c>
      <c r="B209" t="s">
        <v>1132</v>
      </c>
      <c r="C209" t="s">
        <v>994</v>
      </c>
      <c r="D209">
        <v>289.77000000000004</v>
      </c>
      <c r="E209" s="128">
        <v>36526</v>
      </c>
      <c r="F209" s="128">
        <v>47483</v>
      </c>
      <c r="G2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289.77000000000004</v>
      </c>
      <c r="H209" s="128" t="str">
        <f t="shared" ca="1" si="3"/>
        <v>YES</v>
      </c>
      <c r="K209" s="130" t="s">
        <v>1264</v>
      </c>
      <c r="L209" s="598">
        <v>306</v>
      </c>
      <c r="Q209" t="s">
        <v>1213</v>
      </c>
      <c r="R209">
        <v>336.82759999999996</v>
      </c>
    </row>
    <row r="210" spans="1:18">
      <c r="A210" t="s">
        <v>992</v>
      </c>
      <c r="B210" t="s">
        <v>1133</v>
      </c>
      <c r="C210" t="s">
        <v>994</v>
      </c>
      <c r="D210">
        <v>229.41</v>
      </c>
      <c r="E210" s="128">
        <v>36526</v>
      </c>
      <c r="F210" s="128">
        <v>47483</v>
      </c>
      <c r="G2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229.41</v>
      </c>
      <c r="H210" s="128" t="str">
        <f t="shared" ca="1" si="3"/>
        <v>YES</v>
      </c>
      <c r="K210" s="130" t="s">
        <v>1265</v>
      </c>
      <c r="L210" s="598">
        <v>263.60000000000002</v>
      </c>
      <c r="Q210" t="s">
        <v>1214</v>
      </c>
      <c r="R210">
        <v>286.29931999999997</v>
      </c>
    </row>
    <row r="211" spans="1:18">
      <c r="A211" t="s">
        <v>992</v>
      </c>
      <c r="B211" t="s">
        <v>1134</v>
      </c>
      <c r="C211" t="s">
        <v>994</v>
      </c>
      <c r="D211">
        <v>194.65</v>
      </c>
      <c r="E211" s="128">
        <v>36526</v>
      </c>
      <c r="F211" s="128">
        <v>44699</v>
      </c>
      <c r="G2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194.65</v>
      </c>
      <c r="H211" s="128" t="str">
        <f t="shared" ca="1" si="3"/>
        <v>NO</v>
      </c>
      <c r="K211" s="130" t="s">
        <v>1266</v>
      </c>
      <c r="L211" s="598">
        <v>308.40000000000003</v>
      </c>
      <c r="Q211" t="s">
        <v>1263</v>
      </c>
      <c r="R211">
        <v>110.36887</v>
      </c>
    </row>
    <row r="212" spans="1:18">
      <c r="A212" t="s">
        <v>992</v>
      </c>
      <c r="B212" t="s">
        <v>1134</v>
      </c>
      <c r="C212" t="s">
        <v>994</v>
      </c>
      <c r="D212">
        <v>278.10000000000002</v>
      </c>
      <c r="E212" s="128">
        <v>44700</v>
      </c>
      <c r="F212" s="128">
        <v>55153</v>
      </c>
      <c r="G2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278.10000000000002</v>
      </c>
      <c r="H212" s="128" t="str">
        <f t="shared" ca="1" si="3"/>
        <v>YES</v>
      </c>
      <c r="K212" s="130" t="s">
        <v>1267</v>
      </c>
      <c r="L212" s="598">
        <v>316</v>
      </c>
      <c r="Q212" t="s">
        <v>1215</v>
      </c>
      <c r="R212">
        <v>85.74569000000001</v>
      </c>
    </row>
    <row r="213" spans="1:18">
      <c r="A213" t="s">
        <v>992</v>
      </c>
      <c r="B213" t="s">
        <v>1136</v>
      </c>
      <c r="C213" t="s">
        <v>994</v>
      </c>
      <c r="D213">
        <v>323</v>
      </c>
      <c r="E213" s="128">
        <v>36526</v>
      </c>
      <c r="F213" s="128">
        <v>47483</v>
      </c>
      <c r="G2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323</v>
      </c>
      <c r="H213" s="128" t="str">
        <f t="shared" ca="1" si="3"/>
        <v>YES</v>
      </c>
      <c r="K213" s="130" t="s">
        <v>1268</v>
      </c>
      <c r="L213" s="598">
        <v>169</v>
      </c>
      <c r="Q213" t="s">
        <v>247</v>
      </c>
      <c r="R213">
        <v>158.36579</v>
      </c>
    </row>
    <row r="214" spans="1:18">
      <c r="A214" t="s">
        <v>992</v>
      </c>
      <c r="B214" t="s">
        <v>1138</v>
      </c>
      <c r="C214" t="s">
        <v>994</v>
      </c>
      <c r="D214">
        <v>131.04</v>
      </c>
      <c r="E214" s="128">
        <v>36526</v>
      </c>
      <c r="F214" s="128">
        <v>47483</v>
      </c>
      <c r="G2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131.04</v>
      </c>
      <c r="H214" s="128" t="str">
        <f t="shared" ca="1" si="3"/>
        <v>YES</v>
      </c>
      <c r="K214" s="130" t="s">
        <v>1269</v>
      </c>
      <c r="L214" s="598">
        <v>169</v>
      </c>
      <c r="Q214" t="s">
        <v>1216</v>
      </c>
      <c r="R214">
        <v>575.88100999999995</v>
      </c>
    </row>
    <row r="215" spans="1:18">
      <c r="A215" t="s">
        <v>992</v>
      </c>
      <c r="B215" t="s">
        <v>1138</v>
      </c>
      <c r="C215" t="s">
        <v>994</v>
      </c>
      <c r="D215">
        <v>138.20000000000002</v>
      </c>
      <c r="E215" s="128">
        <v>43809</v>
      </c>
      <c r="F215" s="128">
        <v>47483</v>
      </c>
      <c r="G2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138.20000000000002</v>
      </c>
      <c r="H215" s="128" t="str">
        <f t="shared" ca="1" si="3"/>
        <v>YES</v>
      </c>
      <c r="K215" s="130" t="s">
        <v>1270</v>
      </c>
      <c r="L215" s="598">
        <v>329</v>
      </c>
      <c r="Q215" t="s">
        <v>1217</v>
      </c>
      <c r="R215">
        <v>530.12699999999995</v>
      </c>
    </row>
    <row r="216" spans="1:18">
      <c r="A216" t="s">
        <v>992</v>
      </c>
      <c r="B216" t="s">
        <v>1139</v>
      </c>
      <c r="C216" t="s">
        <v>994</v>
      </c>
      <c r="D216">
        <v>263.5</v>
      </c>
      <c r="E216" s="128">
        <v>36526</v>
      </c>
      <c r="F216" s="128">
        <v>47483</v>
      </c>
      <c r="G2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263.5</v>
      </c>
      <c r="H216" s="128" t="str">
        <f t="shared" ca="1" si="3"/>
        <v>YES</v>
      </c>
      <c r="K216" s="130" t="s">
        <v>1271</v>
      </c>
      <c r="L216" s="598">
        <v>356</v>
      </c>
      <c r="Q216" t="s">
        <v>248</v>
      </c>
      <c r="R216">
        <v>314.21000999999995</v>
      </c>
    </row>
    <row r="217" spans="1:18">
      <c r="A217" t="s">
        <v>992</v>
      </c>
      <c r="B217" t="s">
        <v>895</v>
      </c>
      <c r="C217" t="s">
        <v>994</v>
      </c>
      <c r="D217">
        <v>236.64</v>
      </c>
      <c r="E217" s="128">
        <v>36526</v>
      </c>
      <c r="F217" s="128">
        <v>46387</v>
      </c>
      <c r="G2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236.64</v>
      </c>
      <c r="H217" s="128" t="str">
        <f t="shared" ca="1" si="3"/>
        <v>YES</v>
      </c>
      <c r="K217" s="130" t="s">
        <v>1272</v>
      </c>
      <c r="L217" s="598">
        <v>496</v>
      </c>
      <c r="Q217" t="s">
        <v>1218</v>
      </c>
      <c r="R217">
        <v>86.983099999999993</v>
      </c>
    </row>
    <row r="218" spans="1:18">
      <c r="A218" t="s">
        <v>992</v>
      </c>
      <c r="B218" t="s">
        <v>1140</v>
      </c>
      <c r="C218" t="s">
        <v>994</v>
      </c>
      <c r="D218">
        <v>265.88</v>
      </c>
      <c r="E218" s="128">
        <v>36526</v>
      </c>
      <c r="F218" s="128">
        <v>47483</v>
      </c>
      <c r="G2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265.88</v>
      </c>
      <c r="H218" s="128" t="str">
        <f t="shared" ca="1" si="3"/>
        <v>YES</v>
      </c>
      <c r="K218" s="130" t="s">
        <v>1273</v>
      </c>
      <c r="L218" s="598">
        <v>895</v>
      </c>
      <c r="Q218" t="s">
        <v>1219</v>
      </c>
      <c r="R218">
        <v>90.39855</v>
      </c>
    </row>
    <row r="219" spans="1:18">
      <c r="A219" t="s">
        <v>992</v>
      </c>
      <c r="B219" t="s">
        <v>1142</v>
      </c>
      <c r="C219" t="s">
        <v>994</v>
      </c>
      <c r="D219">
        <v>72.680000000000007</v>
      </c>
      <c r="E219" s="128">
        <v>36526</v>
      </c>
      <c r="F219" s="128">
        <v>43612</v>
      </c>
      <c r="G2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72.680000000000007</v>
      </c>
      <c r="H219" s="128" t="str">
        <f t="shared" ca="1" si="3"/>
        <v>NO</v>
      </c>
      <c r="K219" s="130" t="s">
        <v>1274</v>
      </c>
      <c r="L219" s="598">
        <v>350</v>
      </c>
      <c r="Q219" t="s">
        <v>1220</v>
      </c>
      <c r="R219">
        <v>379.03238999999996</v>
      </c>
    </row>
    <row r="220" spans="1:18">
      <c r="A220" t="s">
        <v>992</v>
      </c>
      <c r="B220" t="s">
        <v>1142</v>
      </c>
      <c r="C220" t="s">
        <v>994</v>
      </c>
      <c r="D220">
        <v>347</v>
      </c>
      <c r="E220" s="128">
        <v>43613</v>
      </c>
      <c r="F220" s="128">
        <v>46387</v>
      </c>
      <c r="G2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347</v>
      </c>
      <c r="H220" s="128" t="str">
        <f t="shared" ca="1" si="3"/>
        <v>YES</v>
      </c>
      <c r="K220" s="130" t="s">
        <v>1276</v>
      </c>
      <c r="L220" s="598">
        <v>470</v>
      </c>
      <c r="Q220" t="s">
        <v>1221</v>
      </c>
      <c r="R220">
        <v>103.52522</v>
      </c>
    </row>
    <row r="221" spans="1:18">
      <c r="A221" t="s">
        <v>992</v>
      </c>
      <c r="B221" t="s">
        <v>1142</v>
      </c>
      <c r="C221" t="s">
        <v>994</v>
      </c>
      <c r="D221">
        <v>211</v>
      </c>
      <c r="E221" s="128">
        <v>43613</v>
      </c>
      <c r="F221" s="128">
        <v>46387</v>
      </c>
      <c r="G2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211</v>
      </c>
      <c r="H221" s="128" t="str">
        <f t="shared" ca="1" si="3"/>
        <v>YES</v>
      </c>
      <c r="K221" s="130" t="s">
        <v>829</v>
      </c>
      <c r="L221" s="598">
        <v>252.2</v>
      </c>
      <c r="Q221" t="s">
        <v>1222</v>
      </c>
      <c r="R221">
        <v>99.415220000000005</v>
      </c>
    </row>
    <row r="222" spans="1:18">
      <c r="A222" t="s">
        <v>992</v>
      </c>
      <c r="B222" t="s">
        <v>1143</v>
      </c>
      <c r="C222" t="s">
        <v>994</v>
      </c>
      <c r="D222">
        <v>517.82000000000005</v>
      </c>
      <c r="E222" s="128">
        <v>36526</v>
      </c>
      <c r="F222" s="128">
        <v>47483</v>
      </c>
      <c r="G2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517.82000000000005</v>
      </c>
      <c r="H222" s="128" t="str">
        <f t="shared" ca="1" si="3"/>
        <v>YES</v>
      </c>
      <c r="K222" s="130" t="s">
        <v>1277</v>
      </c>
      <c r="L222" s="598">
        <v>159</v>
      </c>
      <c r="Q222" t="s">
        <v>1275</v>
      </c>
      <c r="R222">
        <v>128.99659</v>
      </c>
    </row>
    <row r="223" spans="1:18">
      <c r="A223" t="s">
        <v>992</v>
      </c>
      <c r="B223" t="s">
        <v>1144</v>
      </c>
      <c r="C223" t="s">
        <v>994</v>
      </c>
      <c r="D223">
        <v>295.89999999999998</v>
      </c>
      <c r="E223" s="128">
        <v>36526</v>
      </c>
      <c r="F223" s="128">
        <v>43853</v>
      </c>
      <c r="G2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295.89999999999998</v>
      </c>
      <c r="H223" s="128" t="str">
        <f t="shared" ca="1" si="3"/>
        <v>NO</v>
      </c>
      <c r="K223" s="130" t="s">
        <v>1278</v>
      </c>
      <c r="L223" s="598">
        <v>528</v>
      </c>
      <c r="Q223" t="s">
        <v>1223</v>
      </c>
      <c r="R223">
        <v>87.132300000000001</v>
      </c>
    </row>
    <row r="224" spans="1:18">
      <c r="A224" t="s">
        <v>992</v>
      </c>
      <c r="B224" t="s">
        <v>1144</v>
      </c>
      <c r="C224" t="s">
        <v>994</v>
      </c>
      <c r="D224">
        <v>317.7</v>
      </c>
      <c r="E224" s="128">
        <v>43854</v>
      </c>
      <c r="F224" s="128">
        <v>47483</v>
      </c>
      <c r="G2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317.7</v>
      </c>
      <c r="H224" s="128" t="str">
        <f t="shared" ca="1" si="3"/>
        <v>YES</v>
      </c>
      <c r="K224" s="130" t="s">
        <v>1280</v>
      </c>
      <c r="L224" s="598">
        <v>502.48</v>
      </c>
      <c r="Q224" t="s">
        <v>1224</v>
      </c>
      <c r="R224">
        <v>94.272300000000001</v>
      </c>
    </row>
    <row r="225" spans="1:18">
      <c r="A225" t="s">
        <v>992</v>
      </c>
      <c r="B225" t="s">
        <v>1145</v>
      </c>
      <c r="C225" t="s">
        <v>994</v>
      </c>
      <c r="D225">
        <v>140.25</v>
      </c>
      <c r="E225" s="128">
        <v>36526</v>
      </c>
      <c r="F225" s="128">
        <v>47483</v>
      </c>
      <c r="G2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140.25</v>
      </c>
      <c r="H225" s="128" t="str">
        <f t="shared" ca="1" si="3"/>
        <v>YES</v>
      </c>
      <c r="K225" s="130" t="s">
        <v>1281</v>
      </c>
      <c r="L225" s="598">
        <v>243</v>
      </c>
      <c r="Q225" t="s">
        <v>1225</v>
      </c>
      <c r="R225">
        <v>150.3323</v>
      </c>
    </row>
    <row r="226" spans="1:18">
      <c r="A226" t="s">
        <v>992</v>
      </c>
      <c r="B226" t="s">
        <v>1146</v>
      </c>
      <c r="C226" t="s">
        <v>994</v>
      </c>
      <c r="D226">
        <v>204</v>
      </c>
      <c r="E226" s="128">
        <v>36526</v>
      </c>
      <c r="F226" s="128">
        <v>47483</v>
      </c>
      <c r="G2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204</v>
      </c>
      <c r="H226" s="128" t="str">
        <f t="shared" ca="1" si="3"/>
        <v>YES</v>
      </c>
      <c r="K226" s="130" t="s">
        <v>858</v>
      </c>
      <c r="L226" s="598">
        <v>230.00000000000003</v>
      </c>
      <c r="Q226" t="s">
        <v>1279</v>
      </c>
      <c r="R226">
        <v>377.41356999999999</v>
      </c>
    </row>
    <row r="227" spans="1:18">
      <c r="A227" t="s">
        <v>992</v>
      </c>
      <c r="B227" t="s">
        <v>1147</v>
      </c>
      <c r="C227" t="s">
        <v>994</v>
      </c>
      <c r="D227">
        <v>346.21</v>
      </c>
      <c r="E227" s="128">
        <v>40544</v>
      </c>
      <c r="F227" s="128">
        <v>51136</v>
      </c>
      <c r="G2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346.21</v>
      </c>
      <c r="H227" s="128" t="str">
        <f t="shared" ca="1" si="3"/>
        <v>YES</v>
      </c>
      <c r="K227" s="130" t="s">
        <v>855</v>
      </c>
      <c r="L227" s="598">
        <v>170</v>
      </c>
      <c r="Q227" t="s">
        <v>1226</v>
      </c>
      <c r="R227">
        <v>339.70301999999998</v>
      </c>
    </row>
    <row r="228" spans="1:18">
      <c r="A228" t="s">
        <v>992</v>
      </c>
      <c r="B228" t="s">
        <v>1148</v>
      </c>
      <c r="C228" t="s">
        <v>994</v>
      </c>
      <c r="D228">
        <v>120</v>
      </c>
      <c r="E228" s="128">
        <v>36526</v>
      </c>
      <c r="F228" s="128">
        <v>44987</v>
      </c>
      <c r="G2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</v>
      </c>
      <c r="H228" s="128" t="str">
        <f t="shared" ca="1" si="3"/>
        <v>NO</v>
      </c>
      <c r="K228" s="130" t="s">
        <v>1282</v>
      </c>
      <c r="L228" s="598">
        <v>310</v>
      </c>
      <c r="Q228" t="s">
        <v>1227</v>
      </c>
      <c r="R228">
        <v>68.722970000000004</v>
      </c>
    </row>
    <row r="229" spans="1:18">
      <c r="A229" t="s">
        <v>992</v>
      </c>
      <c r="B229" t="s">
        <v>1148</v>
      </c>
      <c r="C229" t="s">
        <v>994</v>
      </c>
      <c r="D229">
        <v>200</v>
      </c>
      <c r="E229" s="128">
        <v>44988</v>
      </c>
      <c r="F229" s="128">
        <v>54834</v>
      </c>
      <c r="G2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200</v>
      </c>
      <c r="H229" s="128" t="str">
        <f t="shared" ca="1" si="3"/>
        <v>YES</v>
      </c>
      <c r="K229" s="130" t="s">
        <v>1283</v>
      </c>
      <c r="L229" s="598">
        <v>310</v>
      </c>
      <c r="Q229" t="s">
        <v>1228</v>
      </c>
      <c r="R229">
        <v>198.93096000000003</v>
      </c>
    </row>
    <row r="230" spans="1:18">
      <c r="A230" t="s">
        <v>992</v>
      </c>
      <c r="B230" t="s">
        <v>1149</v>
      </c>
      <c r="C230" t="s">
        <v>994</v>
      </c>
      <c r="D230">
        <v>114.29</v>
      </c>
      <c r="E230" s="128">
        <v>36526</v>
      </c>
      <c r="F230" s="128">
        <v>44834</v>
      </c>
      <c r="G2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114.29</v>
      </c>
      <c r="H230" s="128" t="str">
        <f t="shared" ca="1" si="3"/>
        <v>NO</v>
      </c>
      <c r="K230" s="130" t="s">
        <v>1284</v>
      </c>
      <c r="L230" s="598">
        <v>76</v>
      </c>
      <c r="Q230" t="s">
        <v>1229</v>
      </c>
      <c r="R230">
        <v>163.50452000000001</v>
      </c>
    </row>
    <row r="231" spans="1:18">
      <c r="A231" t="s">
        <v>992</v>
      </c>
      <c r="B231" t="s">
        <v>1149</v>
      </c>
      <c r="C231" t="s">
        <v>994</v>
      </c>
      <c r="D231">
        <v>108.58</v>
      </c>
      <c r="E231" s="128">
        <v>36526</v>
      </c>
      <c r="F231" s="128">
        <v>44834</v>
      </c>
      <c r="G2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108.58</v>
      </c>
      <c r="H231" s="128" t="str">
        <f t="shared" ca="1" si="3"/>
        <v>NO</v>
      </c>
      <c r="K231" s="130" t="s">
        <v>1285</v>
      </c>
      <c r="L231" s="598">
        <v>279</v>
      </c>
      <c r="Q231" t="s">
        <v>252</v>
      </c>
      <c r="R231">
        <v>928.26910000000009</v>
      </c>
    </row>
    <row r="232" spans="1:18">
      <c r="A232" t="s">
        <v>992</v>
      </c>
      <c r="B232" t="s">
        <v>1149</v>
      </c>
      <c r="C232" t="s">
        <v>994</v>
      </c>
      <c r="D232">
        <v>103.15100000000001</v>
      </c>
      <c r="E232" s="128">
        <v>36526</v>
      </c>
      <c r="F232" s="128">
        <v>44834</v>
      </c>
      <c r="G2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103.15100000000001</v>
      </c>
      <c r="H232" s="128" t="str">
        <f t="shared" ca="1" si="3"/>
        <v>NO</v>
      </c>
      <c r="K232" s="130" t="s">
        <v>1286</v>
      </c>
      <c r="L232" s="598">
        <v>355.5</v>
      </c>
      <c r="Q232" t="s">
        <v>1230</v>
      </c>
      <c r="R232">
        <v>138.21567000000002</v>
      </c>
    </row>
    <row r="233" spans="1:18">
      <c r="A233" t="s">
        <v>992</v>
      </c>
      <c r="B233" t="s">
        <v>1149</v>
      </c>
      <c r="C233" t="s">
        <v>994</v>
      </c>
      <c r="D233">
        <v>97.721999999999994</v>
      </c>
      <c r="E233" s="128">
        <v>36526</v>
      </c>
      <c r="F233" s="128">
        <v>44834</v>
      </c>
      <c r="G2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97.721999999999994</v>
      </c>
      <c r="H233" s="128" t="str">
        <f t="shared" ca="1" si="3"/>
        <v>NO</v>
      </c>
      <c r="K233" s="130" t="s">
        <v>1287</v>
      </c>
      <c r="L233" s="598">
        <v>208.4</v>
      </c>
      <c r="Q233" t="s">
        <v>253</v>
      </c>
      <c r="R233">
        <v>731.44715999999994</v>
      </c>
    </row>
    <row r="234" spans="1:18">
      <c r="A234" t="s">
        <v>992</v>
      </c>
      <c r="B234" t="s">
        <v>1149</v>
      </c>
      <c r="C234" t="s">
        <v>994</v>
      </c>
      <c r="D234">
        <v>92.292999999999992</v>
      </c>
      <c r="E234" s="128">
        <v>36526</v>
      </c>
      <c r="F234" s="128">
        <v>44834</v>
      </c>
      <c r="G2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92.292999999999992</v>
      </c>
      <c r="H234" s="128" t="str">
        <f t="shared" ca="1" si="3"/>
        <v>NO</v>
      </c>
      <c r="K234" s="130" t="s">
        <v>1288</v>
      </c>
      <c r="L234" s="598">
        <v>105000</v>
      </c>
      <c r="Q234" t="s">
        <v>1231</v>
      </c>
      <c r="R234">
        <v>210.09341000000001</v>
      </c>
    </row>
    <row r="235" spans="1:18">
      <c r="A235" t="s">
        <v>992</v>
      </c>
      <c r="B235" t="s">
        <v>1149</v>
      </c>
      <c r="C235" t="s">
        <v>994</v>
      </c>
      <c r="D235">
        <v>131.43350000000001</v>
      </c>
      <c r="E235" s="128">
        <v>44835</v>
      </c>
      <c r="F235" s="128">
        <v>46387</v>
      </c>
      <c r="G2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131.43350000000001</v>
      </c>
      <c r="H235" s="128" t="str">
        <f t="shared" ca="1" si="3"/>
        <v>YES</v>
      </c>
      <c r="K235" s="130" t="s">
        <v>1289</v>
      </c>
      <c r="L235" s="598">
        <v>289</v>
      </c>
      <c r="Q235" t="s">
        <v>1232</v>
      </c>
      <c r="R235">
        <v>848.5383700000001</v>
      </c>
    </row>
    <row r="236" spans="1:18">
      <c r="A236" t="s">
        <v>992</v>
      </c>
      <c r="B236" t="s">
        <v>1149</v>
      </c>
      <c r="C236" t="s">
        <v>994</v>
      </c>
      <c r="D236">
        <v>124.867</v>
      </c>
      <c r="E236" s="128">
        <v>44835</v>
      </c>
      <c r="F236" s="128">
        <v>46387</v>
      </c>
      <c r="G2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124.867</v>
      </c>
      <c r="H236" s="128" t="str">
        <f t="shared" ca="1" si="3"/>
        <v>YES</v>
      </c>
      <c r="K236" s="130" t="s">
        <v>870</v>
      </c>
      <c r="L236" s="598">
        <v>100</v>
      </c>
      <c r="Q236" t="s">
        <v>909</v>
      </c>
      <c r="R236">
        <v>132.49187999999998</v>
      </c>
    </row>
    <row r="237" spans="1:18">
      <c r="A237" t="s">
        <v>992</v>
      </c>
      <c r="B237" t="s">
        <v>1149</v>
      </c>
      <c r="C237" t="s">
        <v>994</v>
      </c>
      <c r="D237">
        <v>118.6237</v>
      </c>
      <c r="E237" s="128">
        <v>44835</v>
      </c>
      <c r="F237" s="128">
        <v>46387</v>
      </c>
      <c r="G2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118.6237</v>
      </c>
      <c r="H237" s="128" t="str">
        <f t="shared" ca="1" si="3"/>
        <v>YES</v>
      </c>
      <c r="K237" s="130" t="s">
        <v>1290</v>
      </c>
      <c r="L237" s="598">
        <v>130</v>
      </c>
      <c r="Q237" t="s">
        <v>1233</v>
      </c>
      <c r="R237">
        <v>232.0308</v>
      </c>
    </row>
    <row r="238" spans="1:18">
      <c r="A238" t="s">
        <v>992</v>
      </c>
      <c r="B238" t="s">
        <v>1149</v>
      </c>
      <c r="C238" t="s">
        <v>994</v>
      </c>
      <c r="D238">
        <v>112.38030000000001</v>
      </c>
      <c r="E238" s="128">
        <v>44835</v>
      </c>
      <c r="F238" s="128">
        <v>46387</v>
      </c>
      <c r="G2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112.38030000000001</v>
      </c>
      <c r="H238" s="128" t="str">
        <f t="shared" ca="1" si="3"/>
        <v>YES</v>
      </c>
      <c r="K238" s="130" t="s">
        <v>1291</v>
      </c>
      <c r="L238" s="598">
        <v>161.26000000000002</v>
      </c>
      <c r="Q238" t="s">
        <v>1234</v>
      </c>
      <c r="R238">
        <v>53.855940000000004</v>
      </c>
    </row>
    <row r="239" spans="1:18">
      <c r="A239" t="s">
        <v>992</v>
      </c>
      <c r="B239" t="s">
        <v>1149</v>
      </c>
      <c r="C239" t="s">
        <v>994</v>
      </c>
      <c r="D239">
        <v>106.137</v>
      </c>
      <c r="E239" s="128">
        <v>44835</v>
      </c>
      <c r="F239" s="128">
        <v>46387</v>
      </c>
      <c r="G2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106.137</v>
      </c>
      <c r="H239" s="128" t="str">
        <f t="shared" ca="1" si="3"/>
        <v>YES</v>
      </c>
      <c r="K239" s="130" t="s">
        <v>1292</v>
      </c>
      <c r="L239" s="598">
        <v>197.26000000000002</v>
      </c>
      <c r="Q239" t="s">
        <v>1236</v>
      </c>
      <c r="R239">
        <v>157.17695000000001</v>
      </c>
    </row>
    <row r="240" spans="1:18">
      <c r="A240" t="s">
        <v>992</v>
      </c>
      <c r="B240" t="s">
        <v>1150</v>
      </c>
      <c r="C240" t="s">
        <v>994</v>
      </c>
      <c r="D240">
        <v>175.1</v>
      </c>
      <c r="E240" s="128">
        <v>36526</v>
      </c>
      <c r="F240" s="128">
        <v>47483</v>
      </c>
      <c r="G2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175.1</v>
      </c>
      <c r="H240" s="128" t="str">
        <f t="shared" ca="1" si="3"/>
        <v>YES</v>
      </c>
      <c r="K240" s="130" t="s">
        <v>1293</v>
      </c>
      <c r="L240" s="598">
        <v>207</v>
      </c>
      <c r="Q240" t="s">
        <v>1237</v>
      </c>
      <c r="R240">
        <v>155.47362999999999</v>
      </c>
    </row>
    <row r="241" spans="1:18">
      <c r="A241" t="s">
        <v>992</v>
      </c>
      <c r="B241" t="s">
        <v>1151</v>
      </c>
      <c r="C241" t="s">
        <v>994</v>
      </c>
      <c r="D241">
        <v>101.68</v>
      </c>
      <c r="E241" s="128">
        <v>36526</v>
      </c>
      <c r="F241" s="128">
        <v>44834</v>
      </c>
      <c r="G2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101.68</v>
      </c>
      <c r="H241" s="128" t="str">
        <f t="shared" ca="1" si="3"/>
        <v>NO</v>
      </c>
      <c r="K241" s="130" t="s">
        <v>1294</v>
      </c>
      <c r="L241" s="598">
        <v>214.5</v>
      </c>
      <c r="Q241" t="s">
        <v>1238</v>
      </c>
      <c r="R241">
        <v>154.18761000000001</v>
      </c>
    </row>
    <row r="242" spans="1:18">
      <c r="A242" t="s">
        <v>992</v>
      </c>
      <c r="B242" t="s">
        <v>1151</v>
      </c>
      <c r="C242" t="s">
        <v>994</v>
      </c>
      <c r="D242">
        <v>96</v>
      </c>
      <c r="E242" s="128">
        <v>36526</v>
      </c>
      <c r="F242" s="128">
        <v>44834</v>
      </c>
      <c r="G2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</v>
      </c>
      <c r="H242" s="128" t="str">
        <f t="shared" ca="1" si="3"/>
        <v>NO</v>
      </c>
      <c r="K242" s="130" t="s">
        <v>1295</v>
      </c>
      <c r="L242" s="598">
        <v>209.99999999999997</v>
      </c>
      <c r="Q242" t="s">
        <v>1239</v>
      </c>
      <c r="R242">
        <v>227.37723</v>
      </c>
    </row>
    <row r="243" spans="1:18">
      <c r="A243" t="s">
        <v>992</v>
      </c>
      <c r="B243" t="s">
        <v>1151</v>
      </c>
      <c r="C243" t="s">
        <v>994</v>
      </c>
      <c r="D243">
        <v>91.2</v>
      </c>
      <c r="E243" s="128">
        <v>36526</v>
      </c>
      <c r="F243" s="128">
        <v>44834</v>
      </c>
      <c r="G2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91.2</v>
      </c>
      <c r="H243" s="128" t="str">
        <f t="shared" ca="1" si="3"/>
        <v>NO</v>
      </c>
      <c r="K243" s="130" t="s">
        <v>1296</v>
      </c>
      <c r="L243" s="598">
        <v>1252</v>
      </c>
      <c r="Q243" t="s">
        <v>1240</v>
      </c>
      <c r="R243">
        <v>329.39305000000002</v>
      </c>
    </row>
    <row r="244" spans="1:18">
      <c r="A244" t="s">
        <v>992</v>
      </c>
      <c r="B244" t="s">
        <v>1151</v>
      </c>
      <c r="C244" t="s">
        <v>994</v>
      </c>
      <c r="D244">
        <v>86.4</v>
      </c>
      <c r="E244" s="128">
        <v>36526</v>
      </c>
      <c r="F244" s="128">
        <v>44834</v>
      </c>
      <c r="G2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86.4</v>
      </c>
      <c r="H244" s="128" t="str">
        <f t="shared" ca="1" si="3"/>
        <v>NO</v>
      </c>
      <c r="K244" s="130" t="s">
        <v>1297</v>
      </c>
      <c r="L244" s="598">
        <v>467.99999999999994</v>
      </c>
      <c r="Q244" t="s">
        <v>1241</v>
      </c>
      <c r="R244">
        <v>57.475109999999994</v>
      </c>
    </row>
    <row r="245" spans="1:18">
      <c r="A245" t="s">
        <v>992</v>
      </c>
      <c r="B245" t="s">
        <v>1151</v>
      </c>
      <c r="C245" t="s">
        <v>994</v>
      </c>
      <c r="D245">
        <v>81.599999999999994</v>
      </c>
      <c r="E245" s="128">
        <v>36526</v>
      </c>
      <c r="F245" s="128">
        <v>44834</v>
      </c>
      <c r="G2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81.599999999999994</v>
      </c>
      <c r="H245" s="128" t="str">
        <f t="shared" ca="1" si="3"/>
        <v>NO</v>
      </c>
      <c r="K245" s="130" t="s">
        <v>1298</v>
      </c>
      <c r="L245" s="598">
        <v>254.00000000000003</v>
      </c>
      <c r="Q245" t="s">
        <v>1242</v>
      </c>
      <c r="R245">
        <v>154.45863</v>
      </c>
    </row>
    <row r="246" spans="1:18">
      <c r="A246" t="s">
        <v>992</v>
      </c>
      <c r="B246" t="s">
        <v>1151</v>
      </c>
      <c r="C246" t="s">
        <v>994</v>
      </c>
      <c r="D246">
        <v>116.93199999999999</v>
      </c>
      <c r="E246" s="128">
        <v>44835</v>
      </c>
      <c r="F246" s="128">
        <v>47483</v>
      </c>
      <c r="G2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116.93199999999999</v>
      </c>
      <c r="H246" s="128" t="str">
        <f t="shared" ca="1" si="3"/>
        <v>YES</v>
      </c>
      <c r="K246" s="130" t="s">
        <v>1299</v>
      </c>
      <c r="L246" s="598">
        <v>375</v>
      </c>
      <c r="Q246" t="s">
        <v>1243</v>
      </c>
      <c r="R246">
        <v>74.023589999999999</v>
      </c>
    </row>
    <row r="247" spans="1:18">
      <c r="A247" t="s">
        <v>992</v>
      </c>
      <c r="B247" t="s">
        <v>1151</v>
      </c>
      <c r="C247" t="s">
        <v>994</v>
      </c>
      <c r="D247">
        <v>110.4</v>
      </c>
      <c r="E247" s="128">
        <v>44835</v>
      </c>
      <c r="F247" s="128">
        <v>47483</v>
      </c>
      <c r="G2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110.4</v>
      </c>
      <c r="H247" s="128" t="str">
        <f t="shared" ca="1" si="3"/>
        <v>YES</v>
      </c>
      <c r="K247" s="130" t="s">
        <v>1300</v>
      </c>
      <c r="L247" s="598">
        <v>627</v>
      </c>
      <c r="Q247" t="s">
        <v>1244</v>
      </c>
      <c r="R247">
        <v>108.39758999999999</v>
      </c>
    </row>
    <row r="248" spans="1:18">
      <c r="A248" t="s">
        <v>992</v>
      </c>
      <c r="B248" t="s">
        <v>1151</v>
      </c>
      <c r="C248" t="s">
        <v>994</v>
      </c>
      <c r="D248">
        <v>104.88</v>
      </c>
      <c r="E248" s="128">
        <v>44835</v>
      </c>
      <c r="F248" s="128">
        <v>47483</v>
      </c>
      <c r="G2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104.88</v>
      </c>
      <c r="H248" s="128" t="str">
        <f t="shared" ca="1" si="3"/>
        <v>YES</v>
      </c>
      <c r="K248" s="130" t="s">
        <v>1301</v>
      </c>
      <c r="L248" s="598">
        <v>227</v>
      </c>
      <c r="Q248" t="s">
        <v>1245</v>
      </c>
      <c r="R248">
        <v>105.86654999999999</v>
      </c>
    </row>
    <row r="249" spans="1:18">
      <c r="A249" t="s">
        <v>992</v>
      </c>
      <c r="B249" t="s">
        <v>1151</v>
      </c>
      <c r="C249" t="s">
        <v>994</v>
      </c>
      <c r="D249">
        <v>99.36</v>
      </c>
      <c r="E249" s="128">
        <v>44835</v>
      </c>
      <c r="F249" s="128">
        <v>47483</v>
      </c>
      <c r="G2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99.36</v>
      </c>
      <c r="H249" s="128" t="str">
        <f t="shared" ca="1" si="3"/>
        <v>YES</v>
      </c>
      <c r="K249" s="130" t="s">
        <v>851</v>
      </c>
      <c r="L249" s="598">
        <v>324.5</v>
      </c>
      <c r="Q249" t="s">
        <v>1246</v>
      </c>
      <c r="R249">
        <v>369.58565999999996</v>
      </c>
    </row>
    <row r="250" spans="1:18">
      <c r="A250" t="s">
        <v>992</v>
      </c>
      <c r="B250" t="s">
        <v>1151</v>
      </c>
      <c r="C250" t="s">
        <v>994</v>
      </c>
      <c r="D250">
        <v>93.84</v>
      </c>
      <c r="E250" s="128">
        <v>44835</v>
      </c>
      <c r="F250" s="128">
        <v>47483</v>
      </c>
      <c r="G2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93.84</v>
      </c>
      <c r="H250" s="128" t="str">
        <f t="shared" ca="1" si="3"/>
        <v>YES</v>
      </c>
      <c r="K250" s="130" t="s">
        <v>807</v>
      </c>
      <c r="L250" s="598">
        <v>177.44</v>
      </c>
      <c r="Q250" t="s">
        <v>1247</v>
      </c>
      <c r="R250">
        <v>366.54653999999999</v>
      </c>
    </row>
    <row r="251" spans="1:18">
      <c r="A251" t="s">
        <v>992</v>
      </c>
      <c r="B251" t="s">
        <v>1152</v>
      </c>
      <c r="C251" t="s">
        <v>994</v>
      </c>
      <c r="D251">
        <v>328</v>
      </c>
      <c r="E251" s="128">
        <v>36526</v>
      </c>
      <c r="F251" s="128">
        <v>47483</v>
      </c>
      <c r="G2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328</v>
      </c>
      <c r="H251" s="128" t="str">
        <f t="shared" ca="1" si="3"/>
        <v>YES</v>
      </c>
      <c r="K251" s="130" t="s">
        <v>1302</v>
      </c>
      <c r="L251" s="598">
        <v>293</v>
      </c>
      <c r="Q251" t="s">
        <v>254</v>
      </c>
      <c r="R251">
        <v>360.75852000000003</v>
      </c>
    </row>
    <row r="252" spans="1:18">
      <c r="A252" t="s">
        <v>992</v>
      </c>
      <c r="B252" t="s">
        <v>1153</v>
      </c>
      <c r="C252" t="s">
        <v>994</v>
      </c>
      <c r="D252">
        <v>52</v>
      </c>
      <c r="E252" s="128">
        <v>36526</v>
      </c>
      <c r="F252" s="128">
        <v>47483</v>
      </c>
      <c r="G2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52</v>
      </c>
      <c r="H252" s="128" t="str">
        <f t="shared" ca="1" si="3"/>
        <v>YES</v>
      </c>
      <c r="K252" s="130" t="s">
        <v>1303</v>
      </c>
      <c r="L252" s="598">
        <v>508.00000000000006</v>
      </c>
      <c r="Q252" t="s">
        <v>1248</v>
      </c>
      <c r="R252">
        <v>253.30084000000002</v>
      </c>
    </row>
    <row r="253" spans="1:18">
      <c r="A253" t="s">
        <v>992</v>
      </c>
      <c r="B253" t="s">
        <v>1155</v>
      </c>
      <c r="C253" t="s">
        <v>994</v>
      </c>
      <c r="D253">
        <v>408</v>
      </c>
      <c r="E253" s="128">
        <v>36526</v>
      </c>
      <c r="F253" s="128">
        <v>47483</v>
      </c>
      <c r="G2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408</v>
      </c>
      <c r="H253" s="128" t="str">
        <f t="shared" ca="1" si="3"/>
        <v>YES</v>
      </c>
      <c r="K253" s="130" t="s">
        <v>1304</v>
      </c>
      <c r="L253" s="598">
        <v>245</v>
      </c>
      <c r="Q253" t="s">
        <v>1249</v>
      </c>
      <c r="R253">
        <v>350.37648999999999</v>
      </c>
    </row>
    <row r="254" spans="1:18">
      <c r="A254" t="s">
        <v>992</v>
      </c>
      <c r="B254" t="s">
        <v>1156</v>
      </c>
      <c r="C254" t="s">
        <v>994</v>
      </c>
      <c r="D254">
        <v>120</v>
      </c>
      <c r="E254" s="128">
        <v>36526</v>
      </c>
      <c r="F254" s="128">
        <v>47483</v>
      </c>
      <c r="G2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</v>
      </c>
      <c r="H254" s="128" t="str">
        <f t="shared" ca="1" si="3"/>
        <v>YES</v>
      </c>
      <c r="K254" s="130" t="s">
        <v>1305</v>
      </c>
      <c r="L254" s="598">
        <v>245</v>
      </c>
      <c r="Q254" t="s">
        <v>1250</v>
      </c>
      <c r="R254">
        <v>325.47297000000003</v>
      </c>
    </row>
    <row r="255" spans="1:18">
      <c r="A255" t="s">
        <v>992</v>
      </c>
      <c r="B255" t="s">
        <v>1158</v>
      </c>
      <c r="C255" t="s">
        <v>994</v>
      </c>
      <c r="D255">
        <v>331</v>
      </c>
      <c r="E255" s="128">
        <v>42370</v>
      </c>
      <c r="F255" s="128">
        <v>42735</v>
      </c>
      <c r="G2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331</v>
      </c>
      <c r="H255" s="128" t="str">
        <f t="shared" ca="1" si="3"/>
        <v>NO</v>
      </c>
      <c r="K255" s="130" t="s">
        <v>1306</v>
      </c>
      <c r="L255" s="598">
        <v>190.00000000000003</v>
      </c>
      <c r="Q255" t="s">
        <v>1251</v>
      </c>
      <c r="R255">
        <v>134.27440000000001</v>
      </c>
    </row>
    <row r="256" spans="1:18">
      <c r="A256" t="s">
        <v>992</v>
      </c>
      <c r="B256" t="s">
        <v>1158</v>
      </c>
      <c r="C256" t="s">
        <v>994</v>
      </c>
      <c r="D256">
        <v>324.38</v>
      </c>
      <c r="E256" s="128">
        <v>42736</v>
      </c>
      <c r="F256" s="128">
        <v>43100</v>
      </c>
      <c r="G2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324.38</v>
      </c>
      <c r="H256" s="128" t="str">
        <f t="shared" ca="1" si="3"/>
        <v>NO</v>
      </c>
      <c r="K256" s="130" t="s">
        <v>1307</v>
      </c>
      <c r="L256" s="598">
        <v>187</v>
      </c>
      <c r="Q256" t="s">
        <v>1252</v>
      </c>
      <c r="R256">
        <v>101.08176999999999</v>
      </c>
    </row>
    <row r="257" spans="1:18">
      <c r="A257" t="s">
        <v>992</v>
      </c>
      <c r="B257" t="s">
        <v>1158</v>
      </c>
      <c r="C257" t="s">
        <v>994</v>
      </c>
      <c r="D257">
        <v>324.38</v>
      </c>
      <c r="E257" s="128">
        <v>43101</v>
      </c>
      <c r="F257" s="128">
        <v>44675</v>
      </c>
      <c r="G2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324.38</v>
      </c>
      <c r="H257" s="128" t="str">
        <f t="shared" ca="1" si="3"/>
        <v>NO</v>
      </c>
      <c r="K257" s="130" t="s">
        <v>1308</v>
      </c>
      <c r="L257" s="598">
        <v>314</v>
      </c>
      <c r="Q257" t="s">
        <v>1253</v>
      </c>
      <c r="R257">
        <v>319.83958000000001</v>
      </c>
    </row>
    <row r="258" spans="1:18">
      <c r="A258" t="s">
        <v>992</v>
      </c>
      <c r="B258" t="s">
        <v>1158</v>
      </c>
      <c r="C258" t="s">
        <v>994</v>
      </c>
      <c r="D258">
        <v>350</v>
      </c>
      <c r="E258" s="128">
        <v>44676</v>
      </c>
      <c r="F258" s="128">
        <v>47483</v>
      </c>
      <c r="G2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258" s="128" t="str">
        <f t="shared" ref="H258:H321" ca="1" si="4">IF(OR(F258=0,F258&gt;TODAY()),"YES","NO")</f>
        <v>YES</v>
      </c>
      <c r="K258" s="130" t="s">
        <v>1309</v>
      </c>
      <c r="L258" s="598">
        <v>429.00000000000006</v>
      </c>
      <c r="Q258" t="s">
        <v>1254</v>
      </c>
      <c r="R258">
        <v>283.47798</v>
      </c>
    </row>
    <row r="259" spans="1:18">
      <c r="A259" t="s">
        <v>992</v>
      </c>
      <c r="B259" t="s">
        <v>1159</v>
      </c>
      <c r="C259" t="s">
        <v>994</v>
      </c>
      <c r="D259">
        <v>110.05000000000001</v>
      </c>
      <c r="E259" s="128">
        <v>36526</v>
      </c>
      <c r="F259" s="128">
        <v>42471</v>
      </c>
      <c r="G2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110.05000000000001</v>
      </c>
      <c r="H259" s="128" t="str">
        <f t="shared" ca="1" si="4"/>
        <v>NO</v>
      </c>
      <c r="K259" s="130" t="s">
        <v>1310</v>
      </c>
      <c r="L259" s="598">
        <v>383</v>
      </c>
      <c r="Q259" t="s">
        <v>1255</v>
      </c>
      <c r="R259">
        <v>214.89676</v>
      </c>
    </row>
    <row r="260" spans="1:18">
      <c r="A260" t="s">
        <v>992</v>
      </c>
      <c r="B260" t="s">
        <v>1006</v>
      </c>
      <c r="C260" t="s">
        <v>994</v>
      </c>
      <c r="D260">
        <v>179.37</v>
      </c>
      <c r="E260" s="128">
        <v>45110</v>
      </c>
      <c r="F260" s="128">
        <v>47483</v>
      </c>
      <c r="G2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179.37</v>
      </c>
      <c r="H260" s="128" t="str">
        <f t="shared" ca="1" si="4"/>
        <v>YES</v>
      </c>
      <c r="K260" s="130" t="s">
        <v>1311</v>
      </c>
      <c r="L260" s="598">
        <v>450</v>
      </c>
      <c r="Q260" t="s">
        <v>1256</v>
      </c>
      <c r="R260">
        <v>291.13484999999997</v>
      </c>
    </row>
    <row r="261" spans="1:18">
      <c r="A261" t="s">
        <v>992</v>
      </c>
      <c r="B261" t="s">
        <v>1159</v>
      </c>
      <c r="C261" t="s">
        <v>994</v>
      </c>
      <c r="D261">
        <v>74</v>
      </c>
      <c r="E261" s="128">
        <v>42472</v>
      </c>
      <c r="F261" s="128">
        <v>45111</v>
      </c>
      <c r="G2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74</v>
      </c>
      <c r="H261" s="128" t="str">
        <f t="shared" ca="1" si="4"/>
        <v>NO</v>
      </c>
      <c r="K261" s="130" t="s">
        <v>1312</v>
      </c>
      <c r="L261" s="598">
        <v>151.5</v>
      </c>
      <c r="Q261" t="s">
        <v>1257</v>
      </c>
      <c r="R261">
        <v>122.19659</v>
      </c>
    </row>
    <row r="262" spans="1:18">
      <c r="A262" t="s">
        <v>992</v>
      </c>
      <c r="B262" t="s">
        <v>1160</v>
      </c>
      <c r="C262" t="s">
        <v>994</v>
      </c>
      <c r="D262">
        <v>225</v>
      </c>
      <c r="E262" s="128">
        <v>36526</v>
      </c>
      <c r="F262" s="128">
        <v>45016</v>
      </c>
      <c r="G2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</v>
      </c>
      <c r="H262" s="128" t="str">
        <f t="shared" ca="1" si="4"/>
        <v>NO</v>
      </c>
      <c r="K262" s="130" t="s">
        <v>1313</v>
      </c>
      <c r="L262" s="598">
        <v>214.5</v>
      </c>
      <c r="Q262" t="s">
        <v>1258</v>
      </c>
      <c r="R262">
        <v>284.68101000000001</v>
      </c>
    </row>
    <row r="263" spans="1:18">
      <c r="A263" t="s">
        <v>992</v>
      </c>
      <c r="B263" t="s">
        <v>1161</v>
      </c>
      <c r="C263" t="s">
        <v>994</v>
      </c>
      <c r="D263">
        <v>226.1</v>
      </c>
      <c r="E263" s="128">
        <v>36526</v>
      </c>
      <c r="F263" s="128">
        <v>47483</v>
      </c>
      <c r="G2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226.1</v>
      </c>
      <c r="H263" s="128" t="str">
        <f t="shared" ca="1" si="4"/>
        <v>YES</v>
      </c>
      <c r="K263" s="130" t="s">
        <v>1314</v>
      </c>
      <c r="L263" s="598">
        <v>315</v>
      </c>
      <c r="Q263" t="s">
        <v>1259</v>
      </c>
      <c r="R263">
        <v>51.636629999999997</v>
      </c>
    </row>
    <row r="264" spans="1:18">
      <c r="A264" t="s">
        <v>992</v>
      </c>
      <c r="B264" t="s">
        <v>1160</v>
      </c>
      <c r="C264" t="s">
        <v>994</v>
      </c>
      <c r="D264">
        <v>225</v>
      </c>
      <c r="E264" s="128">
        <v>45017</v>
      </c>
      <c r="F264" s="128">
        <v>54789</v>
      </c>
      <c r="G2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</v>
      </c>
      <c r="H264" s="128" t="str">
        <f t="shared" ca="1" si="4"/>
        <v>YES</v>
      </c>
      <c r="K264" s="130" t="s">
        <v>1315</v>
      </c>
      <c r="L264" s="598">
        <v>425</v>
      </c>
      <c r="Q264" t="s">
        <v>1260</v>
      </c>
      <c r="R264">
        <v>261.31752</v>
      </c>
    </row>
    <row r="265" spans="1:18">
      <c r="A265" t="s">
        <v>992</v>
      </c>
      <c r="B265" t="s">
        <v>1163</v>
      </c>
      <c r="C265" t="s">
        <v>994</v>
      </c>
      <c r="D265">
        <v>389.55999999999995</v>
      </c>
      <c r="E265" s="128">
        <v>36526</v>
      </c>
      <c r="F265" s="128">
        <v>47483</v>
      </c>
      <c r="G2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389.55999999999995</v>
      </c>
      <c r="H265" s="128" t="str">
        <f t="shared" ca="1" si="4"/>
        <v>YES</v>
      </c>
      <c r="K265" s="130" t="s">
        <v>1316</v>
      </c>
      <c r="L265" s="598">
        <v>461.33333333333331</v>
      </c>
      <c r="Q265" t="s">
        <v>1261</v>
      </c>
      <c r="R265">
        <v>349.33659</v>
      </c>
    </row>
    <row r="266" spans="1:18">
      <c r="A266" t="s">
        <v>992</v>
      </c>
      <c r="B266" t="s">
        <v>1165</v>
      </c>
      <c r="C266" t="s">
        <v>994</v>
      </c>
      <c r="D266">
        <v>116.45</v>
      </c>
      <c r="E266" s="128">
        <v>36526</v>
      </c>
      <c r="F266" s="128">
        <v>47483</v>
      </c>
      <c r="G2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116.45</v>
      </c>
      <c r="H266" s="128" t="str">
        <f t="shared" ca="1" si="4"/>
        <v>YES</v>
      </c>
      <c r="K266" s="130" t="s">
        <v>1317</v>
      </c>
      <c r="L266" s="598">
        <v>266.5</v>
      </c>
      <c r="Q266" t="s">
        <v>1262</v>
      </c>
      <c r="R266">
        <v>201.97451000000001</v>
      </c>
    </row>
    <row r="267" spans="1:18">
      <c r="A267" t="s">
        <v>992</v>
      </c>
      <c r="B267" t="s">
        <v>1166</v>
      </c>
      <c r="C267" t="s">
        <v>994</v>
      </c>
      <c r="D267">
        <v>100.97999999999999</v>
      </c>
      <c r="E267" s="128">
        <v>36526</v>
      </c>
      <c r="F267" s="128">
        <v>47483</v>
      </c>
      <c r="G2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100.97999999999999</v>
      </c>
      <c r="H267" s="128" t="str">
        <f t="shared" ca="1" si="4"/>
        <v>YES</v>
      </c>
      <c r="K267" s="130" t="s">
        <v>1318</v>
      </c>
      <c r="L267" s="598">
        <v>431</v>
      </c>
      <c r="Q267" t="s">
        <v>1264</v>
      </c>
      <c r="R267">
        <v>216.82509999999999</v>
      </c>
    </row>
    <row r="268" spans="1:18">
      <c r="A268" t="s">
        <v>992</v>
      </c>
      <c r="B268" t="s">
        <v>1166</v>
      </c>
      <c r="C268" t="s">
        <v>994</v>
      </c>
      <c r="D268">
        <v>91.8</v>
      </c>
      <c r="E268" s="128">
        <v>36526</v>
      </c>
      <c r="F268" s="128">
        <v>47483</v>
      </c>
      <c r="G2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91.8</v>
      </c>
      <c r="H268" s="128" t="str">
        <f t="shared" ca="1" si="4"/>
        <v>YES</v>
      </c>
      <c r="K268" s="130" t="s">
        <v>1319</v>
      </c>
      <c r="L268" s="598">
        <v>592</v>
      </c>
      <c r="Q268" t="s">
        <v>1265</v>
      </c>
      <c r="R268">
        <v>245.02791000000002</v>
      </c>
    </row>
    <row r="269" spans="1:18">
      <c r="A269" t="s">
        <v>992</v>
      </c>
      <c r="B269" t="s">
        <v>1167</v>
      </c>
      <c r="C269" t="s">
        <v>994</v>
      </c>
      <c r="D269">
        <v>142</v>
      </c>
      <c r="E269" s="128">
        <v>36526</v>
      </c>
      <c r="F269" s="128">
        <v>45466</v>
      </c>
      <c r="G2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142</v>
      </c>
      <c r="H269" s="128" t="str">
        <f t="shared" ca="1" si="4"/>
        <v>NO</v>
      </c>
      <c r="K269" s="130" t="s">
        <v>1320</v>
      </c>
      <c r="L269" s="598">
        <v>1520.0000000000002</v>
      </c>
      <c r="Q269" t="s">
        <v>1266</v>
      </c>
      <c r="R269">
        <v>244.84393999999998</v>
      </c>
    </row>
    <row r="270" spans="1:18">
      <c r="A270" t="s">
        <v>992</v>
      </c>
      <c r="B270" t="s">
        <v>1167</v>
      </c>
      <c r="C270" t="s">
        <v>994</v>
      </c>
      <c r="D270">
        <v>227.38</v>
      </c>
      <c r="E270" s="128">
        <v>36526</v>
      </c>
      <c r="F270" s="128">
        <v>45466</v>
      </c>
      <c r="G2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227.38</v>
      </c>
      <c r="H270" s="128" t="str">
        <f t="shared" ca="1" si="4"/>
        <v>NO</v>
      </c>
      <c r="K270" s="130" t="s">
        <v>1322</v>
      </c>
      <c r="L270" s="598">
        <v>1097</v>
      </c>
      <c r="Q270" t="s">
        <v>1267</v>
      </c>
      <c r="R270">
        <v>280.92284000000001</v>
      </c>
    </row>
    <row r="271" spans="1:18">
      <c r="A271" t="s">
        <v>992</v>
      </c>
      <c r="B271" t="s">
        <v>1167</v>
      </c>
      <c r="C271" t="s">
        <v>994</v>
      </c>
      <c r="D271">
        <v>181.9</v>
      </c>
      <c r="E271" s="128">
        <v>36526</v>
      </c>
      <c r="F271" s="128">
        <v>45466</v>
      </c>
      <c r="G2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181.9</v>
      </c>
      <c r="H271" s="128" t="str">
        <f t="shared" ca="1" si="4"/>
        <v>NO</v>
      </c>
      <c r="K271" s="130" t="s">
        <v>1325</v>
      </c>
      <c r="L271" s="598">
        <v>530</v>
      </c>
      <c r="Q271" t="s">
        <v>1268</v>
      </c>
      <c r="R271">
        <v>106.51972000000001</v>
      </c>
    </row>
    <row r="272" spans="1:18">
      <c r="A272" t="s">
        <v>992</v>
      </c>
      <c r="B272" t="s">
        <v>1168</v>
      </c>
      <c r="C272" t="s">
        <v>994</v>
      </c>
      <c r="D272">
        <v>180</v>
      </c>
      <c r="E272" s="128">
        <v>36526</v>
      </c>
      <c r="F272" s="128">
        <v>47483</v>
      </c>
      <c r="G2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</v>
      </c>
      <c r="H272" s="128" t="str">
        <f t="shared" ca="1" si="4"/>
        <v>YES</v>
      </c>
      <c r="K272" s="130" t="s">
        <v>888</v>
      </c>
      <c r="L272" s="598">
        <v>364</v>
      </c>
      <c r="Q272" t="s">
        <v>1269</v>
      </c>
      <c r="R272">
        <v>111.65047</v>
      </c>
    </row>
    <row r="273" spans="1:18">
      <c r="A273" t="s">
        <v>992</v>
      </c>
      <c r="B273" t="s">
        <v>1167</v>
      </c>
      <c r="C273" t="s">
        <v>994</v>
      </c>
      <c r="D273">
        <v>209.17999999999998</v>
      </c>
      <c r="E273" s="128">
        <v>45467</v>
      </c>
      <c r="F273" s="128">
        <v>47848</v>
      </c>
      <c r="G2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209.17999999999998</v>
      </c>
      <c r="H273" s="128" t="str">
        <f t="shared" ca="1" si="4"/>
        <v>YES</v>
      </c>
      <c r="K273" s="130" t="s">
        <v>1327</v>
      </c>
      <c r="L273" s="598">
        <v>923</v>
      </c>
      <c r="Q273" t="s">
        <v>1270</v>
      </c>
      <c r="R273">
        <v>256.92510000000004</v>
      </c>
    </row>
    <row r="274" spans="1:18">
      <c r="A274" t="s">
        <v>992</v>
      </c>
      <c r="B274" t="s">
        <v>1321</v>
      </c>
      <c r="C274" t="s">
        <v>994</v>
      </c>
      <c r="D274">
        <v>836</v>
      </c>
      <c r="E274" s="128">
        <v>45467</v>
      </c>
      <c r="F274" s="128">
        <v>47483</v>
      </c>
      <c r="G2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836</v>
      </c>
      <c r="H274" s="128" t="str">
        <f t="shared" ca="1" si="4"/>
        <v>YES</v>
      </c>
      <c r="K274" s="130" t="s">
        <v>1328</v>
      </c>
      <c r="L274" s="598">
        <v>389.00000000000006</v>
      </c>
      <c r="Q274" t="s">
        <v>1271</v>
      </c>
      <c r="R274">
        <v>163.98184999999998</v>
      </c>
    </row>
    <row r="275" spans="1:18">
      <c r="A275" t="s">
        <v>992</v>
      </c>
      <c r="B275" t="s">
        <v>1168</v>
      </c>
      <c r="C275" t="s">
        <v>994</v>
      </c>
      <c r="D275">
        <v>154.70000000000002</v>
      </c>
      <c r="E275" s="128">
        <v>36526</v>
      </c>
      <c r="F275" s="128">
        <v>47483</v>
      </c>
      <c r="G2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154.70000000000002</v>
      </c>
      <c r="H275" s="128" t="str">
        <f t="shared" ca="1" si="4"/>
        <v>YES</v>
      </c>
      <c r="K275" s="130" t="s">
        <v>1329</v>
      </c>
      <c r="L275" s="598">
        <v>330</v>
      </c>
      <c r="Q275" t="s">
        <v>1272</v>
      </c>
      <c r="R275">
        <v>402.37509999999997</v>
      </c>
    </row>
    <row r="276" spans="1:18">
      <c r="A276" t="s">
        <v>992</v>
      </c>
      <c r="B276" t="s">
        <v>1169</v>
      </c>
      <c r="C276" t="s">
        <v>994</v>
      </c>
      <c r="D276">
        <v>648.59</v>
      </c>
      <c r="E276" s="128">
        <v>36526</v>
      </c>
      <c r="F276" s="128">
        <v>47483</v>
      </c>
      <c r="G2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648.59</v>
      </c>
      <c r="H276" s="128" t="str">
        <f t="shared" ca="1" si="4"/>
        <v>YES</v>
      </c>
      <c r="K276" s="130" t="s">
        <v>849</v>
      </c>
      <c r="L276" s="598">
        <v>238.82000000000002</v>
      </c>
      <c r="Q276" t="s">
        <v>1273</v>
      </c>
      <c r="R276">
        <v>666.16292999999996</v>
      </c>
    </row>
    <row r="277" spans="1:18">
      <c r="A277" t="s">
        <v>992</v>
      </c>
      <c r="B277" t="s">
        <v>1170</v>
      </c>
      <c r="C277" t="s">
        <v>994</v>
      </c>
      <c r="D277">
        <v>390.97</v>
      </c>
      <c r="E277" s="128">
        <v>36526</v>
      </c>
      <c r="F277" s="128">
        <v>47483</v>
      </c>
      <c r="G2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390.97</v>
      </c>
      <c r="H277" s="128" t="str">
        <f t="shared" ca="1" si="4"/>
        <v>YES</v>
      </c>
      <c r="K277" s="130" t="s">
        <v>833</v>
      </c>
      <c r="L277" s="598">
        <v>301</v>
      </c>
      <c r="Q277" t="s">
        <v>1326</v>
      </c>
      <c r="R277">
        <v>377.00042000000002</v>
      </c>
    </row>
    <row r="278" spans="1:18">
      <c r="A278" t="s">
        <v>992</v>
      </c>
      <c r="B278" t="s">
        <v>1171</v>
      </c>
      <c r="C278" t="s">
        <v>994</v>
      </c>
      <c r="D278">
        <v>147.05000000000001</v>
      </c>
      <c r="E278" s="128">
        <v>36526</v>
      </c>
      <c r="F278" s="128">
        <v>47483</v>
      </c>
      <c r="G2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147.05000000000001</v>
      </c>
      <c r="H278" s="128" t="str">
        <f t="shared" ca="1" si="4"/>
        <v>YES</v>
      </c>
      <c r="K278" s="130" t="s">
        <v>1330</v>
      </c>
      <c r="L278" s="598">
        <v>691</v>
      </c>
      <c r="Q278" t="s">
        <v>1274</v>
      </c>
      <c r="R278">
        <v>303.02510000000001</v>
      </c>
    </row>
    <row r="279" spans="1:18">
      <c r="A279" t="s">
        <v>992</v>
      </c>
      <c r="B279" t="s">
        <v>1172</v>
      </c>
      <c r="C279" t="s">
        <v>994</v>
      </c>
      <c r="D279">
        <v>151.29999999999998</v>
      </c>
      <c r="E279" s="128">
        <v>36526</v>
      </c>
      <c r="F279" s="128">
        <v>47483</v>
      </c>
      <c r="G2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151.29999999999998</v>
      </c>
      <c r="H279" s="128" t="str">
        <f t="shared" ca="1" si="4"/>
        <v>YES</v>
      </c>
      <c r="K279" s="130" t="s">
        <v>1331</v>
      </c>
      <c r="L279" s="598">
        <v>331.5</v>
      </c>
      <c r="Q279" t="s">
        <v>1276</v>
      </c>
      <c r="R279">
        <v>406.76549999999997</v>
      </c>
    </row>
    <row r="280" spans="1:18">
      <c r="A280" t="s">
        <v>992</v>
      </c>
      <c r="B280" t="s">
        <v>1173</v>
      </c>
      <c r="C280" t="s">
        <v>994</v>
      </c>
      <c r="D280">
        <v>212.5</v>
      </c>
      <c r="E280" s="128">
        <v>36526</v>
      </c>
      <c r="F280" s="128">
        <v>47483</v>
      </c>
      <c r="G2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212.5</v>
      </c>
      <c r="H280" s="128" t="str">
        <f t="shared" ca="1" si="4"/>
        <v>YES</v>
      </c>
      <c r="K280" s="130" t="s">
        <v>1332</v>
      </c>
      <c r="L280" s="598">
        <v>332.5</v>
      </c>
      <c r="Q280" t="s">
        <v>829</v>
      </c>
      <c r="R280">
        <v>195.72714000000002</v>
      </c>
    </row>
    <row r="281" spans="1:18">
      <c r="A281" t="s">
        <v>992</v>
      </c>
      <c r="B281" t="s">
        <v>1175</v>
      </c>
      <c r="C281" t="s">
        <v>994</v>
      </c>
      <c r="D281">
        <v>820</v>
      </c>
      <c r="E281" s="128">
        <v>36526</v>
      </c>
      <c r="F281" s="128">
        <v>47483</v>
      </c>
      <c r="G2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820</v>
      </c>
      <c r="H281" s="128" t="str">
        <f t="shared" ca="1" si="4"/>
        <v>YES</v>
      </c>
      <c r="K281" s="130" t="s">
        <v>1333</v>
      </c>
      <c r="L281" s="598">
        <v>410</v>
      </c>
      <c r="Q281" t="s">
        <v>1277</v>
      </c>
      <c r="R281">
        <v>274.54462000000001</v>
      </c>
    </row>
    <row r="282" spans="1:18">
      <c r="A282" t="s">
        <v>992</v>
      </c>
      <c r="B282" t="s">
        <v>1176</v>
      </c>
      <c r="C282" t="s">
        <v>994</v>
      </c>
      <c r="D282">
        <v>382.5</v>
      </c>
      <c r="E282" s="128">
        <v>36526</v>
      </c>
      <c r="F282" s="128">
        <v>45111</v>
      </c>
      <c r="G2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382.5</v>
      </c>
      <c r="H282" s="128" t="str">
        <f t="shared" ca="1" si="4"/>
        <v>NO</v>
      </c>
      <c r="K282" s="130" t="s">
        <v>1334</v>
      </c>
      <c r="L282" s="598">
        <v>245</v>
      </c>
      <c r="Q282" t="s">
        <v>1278</v>
      </c>
      <c r="R282">
        <v>586.74719000000005</v>
      </c>
    </row>
    <row r="283" spans="1:18">
      <c r="A283" t="s">
        <v>992</v>
      </c>
      <c r="B283" t="s">
        <v>1177</v>
      </c>
      <c r="C283" t="s">
        <v>994</v>
      </c>
      <c r="D283">
        <v>280.5</v>
      </c>
      <c r="E283" s="128">
        <v>36526</v>
      </c>
      <c r="F283" s="128">
        <v>47483</v>
      </c>
      <c r="G2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280.5</v>
      </c>
      <c r="H283" s="128" t="str">
        <f t="shared" ca="1" si="4"/>
        <v>YES</v>
      </c>
      <c r="K283" s="130" t="s">
        <v>1335</v>
      </c>
      <c r="L283" s="598">
        <v>254.00000000000003</v>
      </c>
      <c r="Q283" t="s">
        <v>1280</v>
      </c>
      <c r="R283">
        <v>521.81062000000009</v>
      </c>
    </row>
    <row r="284" spans="1:18">
      <c r="A284" t="s">
        <v>992</v>
      </c>
      <c r="B284" t="s">
        <v>1176</v>
      </c>
      <c r="C284" t="s">
        <v>994</v>
      </c>
      <c r="D284">
        <v>460.00000000000006</v>
      </c>
      <c r="E284" s="128">
        <v>45112</v>
      </c>
      <c r="F284" s="128">
        <v>54789</v>
      </c>
      <c r="G2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460.00000000000006</v>
      </c>
      <c r="H284" s="128" t="str">
        <f t="shared" ca="1" si="4"/>
        <v>YES</v>
      </c>
      <c r="K284" s="130" t="s">
        <v>1336</v>
      </c>
      <c r="L284" s="598">
        <v>286</v>
      </c>
      <c r="Q284" t="s">
        <v>1281</v>
      </c>
      <c r="R284">
        <v>193.39361</v>
      </c>
    </row>
    <row r="285" spans="1:18">
      <c r="A285" t="s">
        <v>992</v>
      </c>
      <c r="B285" t="s">
        <v>1178</v>
      </c>
      <c r="C285" t="s">
        <v>994</v>
      </c>
      <c r="D285">
        <v>84.070000000000007</v>
      </c>
      <c r="E285" s="128">
        <v>36526</v>
      </c>
      <c r="F285" s="128">
        <v>47483</v>
      </c>
      <c r="G2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84.070000000000007</v>
      </c>
      <c r="H285" s="128" t="str">
        <f t="shared" ca="1" si="4"/>
        <v>YES</v>
      </c>
      <c r="K285" s="130" t="s">
        <v>1337</v>
      </c>
      <c r="L285" s="598">
        <v>458.2</v>
      </c>
      <c r="Q285" t="s">
        <v>858</v>
      </c>
      <c r="R285">
        <v>190.03057999999999</v>
      </c>
    </row>
    <row r="286" spans="1:18">
      <c r="A286" t="s">
        <v>992</v>
      </c>
      <c r="B286" t="s">
        <v>1178</v>
      </c>
      <c r="C286" t="s">
        <v>994</v>
      </c>
      <c r="D286">
        <v>76.08</v>
      </c>
      <c r="E286" s="128">
        <v>36526</v>
      </c>
      <c r="F286" s="128">
        <v>47483</v>
      </c>
      <c r="G2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76.08</v>
      </c>
      <c r="H286" s="128" t="str">
        <f t="shared" ca="1" si="4"/>
        <v>YES</v>
      </c>
      <c r="K286" s="130" t="s">
        <v>1338</v>
      </c>
      <c r="L286" s="598">
        <v>252.5</v>
      </c>
      <c r="Q286" t="s">
        <v>855</v>
      </c>
      <c r="R286">
        <v>142.89058</v>
      </c>
    </row>
    <row r="287" spans="1:18">
      <c r="A287" t="s">
        <v>992</v>
      </c>
      <c r="B287" t="s">
        <v>1179</v>
      </c>
      <c r="C287" t="s">
        <v>994</v>
      </c>
      <c r="D287">
        <v>567.9</v>
      </c>
      <c r="E287" s="128">
        <v>36526</v>
      </c>
      <c r="F287" s="128">
        <v>47483</v>
      </c>
      <c r="G2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567.9</v>
      </c>
      <c r="H287" s="128" t="str">
        <f t="shared" ca="1" si="4"/>
        <v>YES</v>
      </c>
      <c r="K287" s="130" t="s">
        <v>1339</v>
      </c>
      <c r="L287" s="598">
        <v>2897</v>
      </c>
      <c r="Q287" t="s">
        <v>1282</v>
      </c>
      <c r="R287">
        <v>171.21984</v>
      </c>
    </row>
    <row r="288" spans="1:18">
      <c r="A288" t="s">
        <v>992</v>
      </c>
      <c r="B288" t="s">
        <v>1180</v>
      </c>
      <c r="C288" t="s">
        <v>994</v>
      </c>
      <c r="D288">
        <v>212.5</v>
      </c>
      <c r="E288" s="128">
        <v>36526</v>
      </c>
      <c r="F288" s="128">
        <v>43830</v>
      </c>
      <c r="G2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212.5</v>
      </c>
      <c r="H288" s="128" t="str">
        <f t="shared" ca="1" si="4"/>
        <v>NO</v>
      </c>
      <c r="K288" s="130" t="s">
        <v>1340</v>
      </c>
      <c r="L288" s="598">
        <v>620</v>
      </c>
      <c r="Q288" t="s">
        <v>1283</v>
      </c>
      <c r="R288">
        <v>169.25522000000001</v>
      </c>
    </row>
    <row r="289" spans="1:18">
      <c r="A289" t="s">
        <v>992</v>
      </c>
      <c r="B289" t="s">
        <v>1180</v>
      </c>
      <c r="C289" t="s">
        <v>994</v>
      </c>
      <c r="D289">
        <v>220</v>
      </c>
      <c r="E289" s="128">
        <v>43831</v>
      </c>
      <c r="F289" s="128">
        <v>47483</v>
      </c>
      <c r="G2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220</v>
      </c>
      <c r="H289" s="128" t="str">
        <f t="shared" ca="1" si="4"/>
        <v>YES</v>
      </c>
      <c r="K289" s="130" t="s">
        <v>1341</v>
      </c>
      <c r="L289" s="598">
        <v>293</v>
      </c>
      <c r="Q289" t="s">
        <v>1284</v>
      </c>
      <c r="R289">
        <v>49.527199999999993</v>
      </c>
    </row>
    <row r="290" spans="1:18">
      <c r="A290" t="s">
        <v>992</v>
      </c>
      <c r="B290" t="s">
        <v>1181</v>
      </c>
      <c r="C290" t="s">
        <v>994</v>
      </c>
      <c r="D290">
        <v>165.07</v>
      </c>
      <c r="E290" s="128">
        <v>36526</v>
      </c>
      <c r="F290" s="128">
        <v>47483</v>
      </c>
      <c r="G2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165.07</v>
      </c>
      <c r="H290" s="128" t="str">
        <f t="shared" ca="1" si="4"/>
        <v>YES</v>
      </c>
      <c r="K290" s="130" t="s">
        <v>1342</v>
      </c>
      <c r="L290" s="598">
        <v>619.5</v>
      </c>
      <c r="Q290" t="s">
        <v>1285</v>
      </c>
      <c r="R290">
        <v>196.50057999999999</v>
      </c>
    </row>
    <row r="291" spans="1:18">
      <c r="A291" t="s">
        <v>992</v>
      </c>
      <c r="B291" t="s">
        <v>1182</v>
      </c>
      <c r="C291" t="s">
        <v>994</v>
      </c>
      <c r="D291">
        <v>335.75</v>
      </c>
      <c r="E291" s="128">
        <v>36526</v>
      </c>
      <c r="F291" s="128">
        <v>47483</v>
      </c>
      <c r="G2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335.75</v>
      </c>
      <c r="H291" s="128" t="str">
        <f t="shared" ca="1" si="4"/>
        <v>YES</v>
      </c>
      <c r="K291" s="130" t="s">
        <v>1343</v>
      </c>
      <c r="L291" s="598">
        <v>592</v>
      </c>
      <c r="Q291" t="s">
        <v>1286</v>
      </c>
      <c r="R291">
        <v>198.25390999999999</v>
      </c>
    </row>
    <row r="292" spans="1:18">
      <c r="A292" t="s">
        <v>992</v>
      </c>
      <c r="B292" t="s">
        <v>1182</v>
      </c>
      <c r="C292" t="s">
        <v>1085</v>
      </c>
      <c r="D292">
        <v>301</v>
      </c>
      <c r="E292" s="128">
        <v>36526</v>
      </c>
      <c r="F292" s="128">
        <v>44926</v>
      </c>
      <c r="G2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264.88</v>
      </c>
      <c r="H292" s="128" t="str">
        <f t="shared" ca="1" si="4"/>
        <v>NO</v>
      </c>
      <c r="K292" s="130" t="s">
        <v>1344</v>
      </c>
      <c r="L292" s="598">
        <v>706.75</v>
      </c>
      <c r="Q292" t="s">
        <v>1287</v>
      </c>
      <c r="R292">
        <v>128.09675999999999</v>
      </c>
    </row>
    <row r="293" spans="1:18">
      <c r="A293" t="s">
        <v>992</v>
      </c>
      <c r="B293" t="s">
        <v>1182</v>
      </c>
      <c r="C293" t="s">
        <v>1085</v>
      </c>
      <c r="D293">
        <v>331.09999999999997</v>
      </c>
      <c r="E293" s="128">
        <v>44927</v>
      </c>
      <c r="F293" s="128">
        <v>45104</v>
      </c>
      <c r="G2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291.36799999999999</v>
      </c>
      <c r="H293" s="128" t="str">
        <f t="shared" ca="1" si="4"/>
        <v>NO</v>
      </c>
      <c r="K293" s="130" t="s">
        <v>1345</v>
      </c>
      <c r="L293" s="598">
        <v>641</v>
      </c>
      <c r="Q293" t="s">
        <v>1288</v>
      </c>
      <c r="R293">
        <v>69755.178</v>
      </c>
    </row>
    <row r="294" spans="1:18">
      <c r="A294" t="s">
        <v>992</v>
      </c>
      <c r="B294" t="s">
        <v>1183</v>
      </c>
      <c r="C294" t="s">
        <v>994</v>
      </c>
      <c r="D294">
        <v>238.00000000000003</v>
      </c>
      <c r="E294" s="128">
        <v>36526</v>
      </c>
      <c r="F294" s="128">
        <v>47483</v>
      </c>
      <c r="G2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238.00000000000003</v>
      </c>
      <c r="H294" s="128" t="str">
        <f t="shared" ca="1" si="4"/>
        <v>YES</v>
      </c>
      <c r="K294" s="130" t="s">
        <v>1346</v>
      </c>
      <c r="L294" s="598">
        <v>944.5</v>
      </c>
      <c r="Q294" t="s">
        <v>1289</v>
      </c>
      <c r="R294">
        <v>154.66735</v>
      </c>
    </row>
    <row r="295" spans="1:18">
      <c r="A295" t="s">
        <v>992</v>
      </c>
      <c r="B295" t="s">
        <v>1182</v>
      </c>
      <c r="C295" t="s">
        <v>1085</v>
      </c>
      <c r="D295">
        <v>800</v>
      </c>
      <c r="E295" s="128">
        <v>45104</v>
      </c>
      <c r="F295" s="128">
        <v>46753</v>
      </c>
      <c r="G2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704</v>
      </c>
      <c r="H295" s="128" t="str">
        <f t="shared" ca="1" si="4"/>
        <v>YES</v>
      </c>
      <c r="K295" s="130" t="s">
        <v>1347</v>
      </c>
      <c r="L295" s="598">
        <v>845</v>
      </c>
      <c r="Q295" t="s">
        <v>870</v>
      </c>
      <c r="R295">
        <v>93.616590000000002</v>
      </c>
    </row>
    <row r="296" spans="1:18">
      <c r="A296" t="s">
        <v>992</v>
      </c>
      <c r="B296" t="s">
        <v>1184</v>
      </c>
      <c r="C296" t="s">
        <v>994</v>
      </c>
      <c r="D296">
        <v>167.2</v>
      </c>
      <c r="E296" s="128">
        <v>36526</v>
      </c>
      <c r="F296" s="128">
        <v>47483</v>
      </c>
      <c r="G2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167.2</v>
      </c>
      <c r="H296" s="128" t="str">
        <f t="shared" ca="1" si="4"/>
        <v>YES</v>
      </c>
      <c r="K296" s="130" t="s">
        <v>1348</v>
      </c>
      <c r="L296" s="598">
        <v>659.5</v>
      </c>
      <c r="Q296" t="s">
        <v>1290</v>
      </c>
      <c r="R296">
        <v>57.236589999999993</v>
      </c>
    </row>
    <row r="297" spans="1:18">
      <c r="A297" t="s">
        <v>992</v>
      </c>
      <c r="B297" t="s">
        <v>1185</v>
      </c>
      <c r="C297" t="s">
        <v>994</v>
      </c>
      <c r="D297">
        <v>195.5</v>
      </c>
      <c r="E297" s="128">
        <v>36526</v>
      </c>
      <c r="F297" s="128">
        <v>45084</v>
      </c>
      <c r="G2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195.5</v>
      </c>
      <c r="H297" s="128" t="str">
        <f t="shared" ca="1" si="4"/>
        <v>NO</v>
      </c>
      <c r="K297" s="130" t="s">
        <v>1349</v>
      </c>
      <c r="L297" s="598">
        <v>913.66666666666663</v>
      </c>
      <c r="Q297" t="s">
        <v>1291</v>
      </c>
      <c r="R297">
        <v>150.23220000000001</v>
      </c>
    </row>
    <row r="298" spans="1:18">
      <c r="A298" t="s">
        <v>992</v>
      </c>
      <c r="B298" t="s">
        <v>1186</v>
      </c>
      <c r="C298" t="s">
        <v>994</v>
      </c>
      <c r="D298">
        <v>212.5</v>
      </c>
      <c r="E298" s="128">
        <v>36526</v>
      </c>
      <c r="F298" s="128">
        <v>45084</v>
      </c>
      <c r="G2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212.5</v>
      </c>
      <c r="H298" s="128" t="str">
        <f t="shared" ca="1" si="4"/>
        <v>NO</v>
      </c>
      <c r="K298" s="130" t="s">
        <v>1350</v>
      </c>
      <c r="L298" s="598">
        <v>714</v>
      </c>
      <c r="Q298" t="s">
        <v>1292</v>
      </c>
      <c r="R298">
        <v>184.03219999999999</v>
      </c>
    </row>
    <row r="299" spans="1:18">
      <c r="A299" t="s">
        <v>992</v>
      </c>
      <c r="B299" t="s">
        <v>1185</v>
      </c>
      <c r="C299" t="s">
        <v>994</v>
      </c>
      <c r="D299">
        <v>300</v>
      </c>
      <c r="E299" s="128">
        <v>45085</v>
      </c>
      <c r="F299" s="128">
        <v>54789</v>
      </c>
      <c r="G2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300</v>
      </c>
      <c r="H299" s="128" t="str">
        <f t="shared" ca="1" si="4"/>
        <v>YES</v>
      </c>
      <c r="K299" s="130" t="s">
        <v>845</v>
      </c>
      <c r="L299" s="598">
        <v>686</v>
      </c>
      <c r="Q299" t="s">
        <v>1112</v>
      </c>
      <c r="R299">
        <v>146.01972000000001</v>
      </c>
    </row>
    <row r="300" spans="1:18">
      <c r="A300" t="s">
        <v>992</v>
      </c>
      <c r="B300" t="s">
        <v>242</v>
      </c>
      <c r="C300" t="s">
        <v>994</v>
      </c>
      <c r="D300">
        <v>927.59999999999991</v>
      </c>
      <c r="E300" s="128">
        <v>42370</v>
      </c>
      <c r="F300" s="128">
        <v>43052</v>
      </c>
      <c r="G3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927.59999999999991</v>
      </c>
      <c r="H300" s="128" t="str">
        <f t="shared" ca="1" si="4"/>
        <v>NO</v>
      </c>
      <c r="K300" s="130" t="s">
        <v>1351</v>
      </c>
      <c r="L300" s="598">
        <v>993</v>
      </c>
      <c r="Q300" t="s">
        <v>1293</v>
      </c>
      <c r="R300">
        <v>145.05834000000002</v>
      </c>
    </row>
    <row r="301" spans="1:18">
      <c r="A301" t="s">
        <v>992</v>
      </c>
      <c r="B301" t="s">
        <v>1186</v>
      </c>
      <c r="C301" t="s">
        <v>994</v>
      </c>
      <c r="D301">
        <v>249.99999999999997</v>
      </c>
      <c r="E301" s="128">
        <v>45085</v>
      </c>
      <c r="F301" s="128">
        <v>54789</v>
      </c>
      <c r="G3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249.99999999999997</v>
      </c>
      <c r="H301" s="128" t="str">
        <f t="shared" ca="1" si="4"/>
        <v>YES</v>
      </c>
      <c r="K301" s="130" t="s">
        <v>1118</v>
      </c>
      <c r="L301" s="598">
        <v>300</v>
      </c>
      <c r="Q301" t="s">
        <v>1294</v>
      </c>
      <c r="R301">
        <v>98.782289999999989</v>
      </c>
    </row>
    <row r="302" spans="1:18">
      <c r="A302" t="s">
        <v>992</v>
      </c>
      <c r="B302" t="s">
        <v>242</v>
      </c>
      <c r="C302" t="s">
        <v>994</v>
      </c>
      <c r="D302">
        <v>917.94999999999993</v>
      </c>
      <c r="E302" s="128">
        <v>43053</v>
      </c>
      <c r="F302" s="128">
        <v>43415</v>
      </c>
      <c r="G3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917.94999999999993</v>
      </c>
      <c r="H302" s="128" t="str">
        <f t="shared" ca="1" si="4"/>
        <v>NO</v>
      </c>
      <c r="K302" s="130" t="s">
        <v>1352</v>
      </c>
      <c r="L302" s="598">
        <v>178</v>
      </c>
      <c r="Q302" t="s">
        <v>1295</v>
      </c>
      <c r="R302">
        <v>139.23979</v>
      </c>
    </row>
    <row r="303" spans="1:18">
      <c r="A303" t="s">
        <v>992</v>
      </c>
      <c r="B303" t="s">
        <v>242</v>
      </c>
      <c r="C303" t="s">
        <v>994</v>
      </c>
      <c r="D303">
        <v>889.7</v>
      </c>
      <c r="E303" s="128">
        <v>43416</v>
      </c>
      <c r="F303" s="128">
        <v>47848</v>
      </c>
      <c r="G3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889.7</v>
      </c>
      <c r="H303" s="128" t="str">
        <f t="shared" ca="1" si="4"/>
        <v>YES</v>
      </c>
      <c r="K303" s="130" t="s">
        <v>1353</v>
      </c>
      <c r="L303" s="598">
        <v>180</v>
      </c>
      <c r="Q303" t="s">
        <v>1296</v>
      </c>
      <c r="R303">
        <v>932.70965000000001</v>
      </c>
    </row>
    <row r="304" spans="1:18">
      <c r="A304" t="s">
        <v>992</v>
      </c>
      <c r="B304" t="s">
        <v>1187</v>
      </c>
      <c r="C304" t="s">
        <v>1085</v>
      </c>
      <c r="D304">
        <v>658</v>
      </c>
      <c r="E304" s="128">
        <v>36526</v>
      </c>
      <c r="F304" s="128">
        <v>47483</v>
      </c>
      <c r="G3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579.04</v>
      </c>
      <c r="H304" s="128" t="str">
        <f t="shared" ca="1" si="4"/>
        <v>YES</v>
      </c>
      <c r="K304" s="130" t="s">
        <v>1354</v>
      </c>
      <c r="L304" s="598">
        <v>135</v>
      </c>
      <c r="Q304" t="s">
        <v>1297</v>
      </c>
      <c r="R304">
        <v>393.56220000000002</v>
      </c>
    </row>
    <row r="305" spans="1:18">
      <c r="A305" t="s">
        <v>992</v>
      </c>
      <c r="B305" t="s">
        <v>1187</v>
      </c>
      <c r="C305" t="s">
        <v>994</v>
      </c>
      <c r="D305">
        <v>397.00000000000006</v>
      </c>
      <c r="E305" s="128">
        <v>36526</v>
      </c>
      <c r="F305" s="128">
        <v>42735</v>
      </c>
      <c r="G3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397.00000000000006</v>
      </c>
      <c r="H305" s="128" t="str">
        <f t="shared" ca="1" si="4"/>
        <v>NO</v>
      </c>
      <c r="K305" s="130" t="s">
        <v>936</v>
      </c>
      <c r="L305" s="598">
        <v>333.96000000000004</v>
      </c>
      <c r="Q305" t="s">
        <v>1298</v>
      </c>
      <c r="R305">
        <v>52.569300000000005</v>
      </c>
    </row>
    <row r="306" spans="1:18">
      <c r="A306" t="s">
        <v>992</v>
      </c>
      <c r="B306" t="s">
        <v>1187</v>
      </c>
      <c r="C306" t="s">
        <v>994</v>
      </c>
      <c r="D306">
        <v>370</v>
      </c>
      <c r="E306" s="128">
        <v>42736</v>
      </c>
      <c r="F306" s="128">
        <v>43657</v>
      </c>
      <c r="G3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370</v>
      </c>
      <c r="H306" s="128" t="str">
        <f t="shared" ca="1" si="4"/>
        <v>NO</v>
      </c>
      <c r="K306" s="130" t="s">
        <v>1355</v>
      </c>
      <c r="L306" s="598">
        <v>304.91999999999996</v>
      </c>
      <c r="Q306" t="s">
        <v>1299</v>
      </c>
      <c r="R306">
        <v>351.62220000000002</v>
      </c>
    </row>
    <row r="307" spans="1:18">
      <c r="A307" t="s">
        <v>992</v>
      </c>
      <c r="B307" t="s">
        <v>1187</v>
      </c>
      <c r="C307" t="s">
        <v>994</v>
      </c>
      <c r="D307">
        <v>392.29999999999995</v>
      </c>
      <c r="E307" s="128">
        <v>43658</v>
      </c>
      <c r="F307" s="128">
        <v>47483</v>
      </c>
      <c r="G3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392.29999999999995</v>
      </c>
      <c r="H307" s="128" t="str">
        <f t="shared" ca="1" si="4"/>
        <v>YES</v>
      </c>
      <c r="K307" s="130" t="s">
        <v>1356</v>
      </c>
      <c r="L307" s="598">
        <v>288</v>
      </c>
      <c r="Q307" t="s">
        <v>1300</v>
      </c>
      <c r="R307">
        <v>567.70220000000006</v>
      </c>
    </row>
    <row r="308" spans="1:18">
      <c r="A308" t="s">
        <v>992</v>
      </c>
      <c r="B308" t="s">
        <v>839</v>
      </c>
      <c r="C308" t="s">
        <v>994</v>
      </c>
      <c r="D308">
        <v>297.5</v>
      </c>
      <c r="E308" s="128">
        <v>36526</v>
      </c>
      <c r="F308" s="128">
        <v>47483</v>
      </c>
      <c r="G3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297.5</v>
      </c>
      <c r="H308" s="128" t="str">
        <f t="shared" ca="1" si="4"/>
        <v>YES</v>
      </c>
      <c r="K308" s="130" t="s">
        <v>1357</v>
      </c>
      <c r="L308" s="598">
        <v>190.00000000000003</v>
      </c>
      <c r="Q308" t="s">
        <v>1301</v>
      </c>
      <c r="R308">
        <v>215.35220000000001</v>
      </c>
    </row>
    <row r="309" spans="1:18">
      <c r="A309" t="s">
        <v>992</v>
      </c>
      <c r="B309" t="s">
        <v>839</v>
      </c>
      <c r="C309" t="s">
        <v>1085</v>
      </c>
      <c r="D309">
        <v>247.17</v>
      </c>
      <c r="E309" s="128">
        <v>36526</v>
      </c>
      <c r="F309" s="128">
        <v>44926</v>
      </c>
      <c r="G3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217.50959999999998</v>
      </c>
      <c r="H309" s="128" t="str">
        <f t="shared" ca="1" si="4"/>
        <v>NO</v>
      </c>
      <c r="K309" s="130" t="s">
        <v>1358</v>
      </c>
      <c r="L309" s="598">
        <v>185</v>
      </c>
      <c r="Q309" t="s">
        <v>851</v>
      </c>
      <c r="R309">
        <v>160.20901000000001</v>
      </c>
    </row>
    <row r="310" spans="1:18">
      <c r="A310" t="s">
        <v>992</v>
      </c>
      <c r="B310" t="s">
        <v>839</v>
      </c>
      <c r="C310" t="s">
        <v>1085</v>
      </c>
      <c r="D310">
        <v>271.89</v>
      </c>
      <c r="E310" s="128">
        <v>44927</v>
      </c>
      <c r="F310" s="128">
        <v>47483</v>
      </c>
      <c r="G3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239.26319999999998</v>
      </c>
      <c r="H310" s="128" t="str">
        <f t="shared" ca="1" si="4"/>
        <v>YES</v>
      </c>
      <c r="K310" s="130" t="s">
        <v>1359</v>
      </c>
      <c r="L310" s="598">
        <v>168.25</v>
      </c>
      <c r="Q310" t="s">
        <v>807</v>
      </c>
      <c r="R310">
        <v>143.70284000000001</v>
      </c>
    </row>
    <row r="311" spans="1:18">
      <c r="A311" t="s">
        <v>992</v>
      </c>
      <c r="B311" t="s">
        <v>903</v>
      </c>
      <c r="C311" t="s">
        <v>994</v>
      </c>
      <c r="D311">
        <v>255</v>
      </c>
      <c r="E311" s="128">
        <v>36526</v>
      </c>
      <c r="F311" s="128">
        <v>47483</v>
      </c>
      <c r="G3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</v>
      </c>
      <c r="H311" s="128" t="str">
        <f t="shared" ca="1" si="4"/>
        <v>YES</v>
      </c>
      <c r="K311" s="130" t="s">
        <v>881</v>
      </c>
      <c r="L311" s="598">
        <v>180</v>
      </c>
      <c r="Q311" t="s">
        <v>1302</v>
      </c>
      <c r="R311">
        <v>248.74542000000002</v>
      </c>
    </row>
    <row r="312" spans="1:18">
      <c r="A312" t="s">
        <v>992</v>
      </c>
      <c r="B312" t="s">
        <v>903</v>
      </c>
      <c r="C312" t="s">
        <v>1085</v>
      </c>
      <c r="D312">
        <v>161.73000000000002</v>
      </c>
      <c r="E312" s="128">
        <v>36526</v>
      </c>
      <c r="F312" s="128">
        <v>44926</v>
      </c>
      <c r="G3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142.32240000000002</v>
      </c>
      <c r="H312" s="128" t="str">
        <f t="shared" ca="1" si="4"/>
        <v>NO</v>
      </c>
      <c r="K312" s="130" t="s">
        <v>905</v>
      </c>
      <c r="L312" s="598">
        <v>173</v>
      </c>
      <c r="Q312" t="s">
        <v>1303</v>
      </c>
      <c r="R312">
        <v>437.58541999999994</v>
      </c>
    </row>
    <row r="313" spans="1:18">
      <c r="A313" t="s">
        <v>992</v>
      </c>
      <c r="B313" t="s">
        <v>903</v>
      </c>
      <c r="C313" t="s">
        <v>1085</v>
      </c>
      <c r="D313">
        <v>177.9</v>
      </c>
      <c r="E313" s="128">
        <v>44927</v>
      </c>
      <c r="F313" s="128">
        <v>47483</v>
      </c>
      <c r="G3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156.55199999999999</v>
      </c>
      <c r="H313" s="128" t="str">
        <f t="shared" ca="1" si="4"/>
        <v>YES</v>
      </c>
      <c r="K313" s="130" t="s">
        <v>1360</v>
      </c>
      <c r="L313" s="598">
        <v>355</v>
      </c>
      <c r="Q313" t="s">
        <v>1304</v>
      </c>
      <c r="R313">
        <v>210.72752</v>
      </c>
    </row>
    <row r="314" spans="1:18">
      <c r="A314" t="s">
        <v>992</v>
      </c>
      <c r="B314" t="s">
        <v>1189</v>
      </c>
      <c r="C314" t="s">
        <v>1085</v>
      </c>
      <c r="D314">
        <v>271.07</v>
      </c>
      <c r="E314" s="128">
        <v>36526</v>
      </c>
      <c r="F314" s="128">
        <v>44926</v>
      </c>
      <c r="G3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238.54159999999999</v>
      </c>
      <c r="H314" s="128" t="str">
        <f t="shared" ca="1" si="4"/>
        <v>NO</v>
      </c>
      <c r="K314" s="130" t="s">
        <v>940</v>
      </c>
      <c r="L314" s="598">
        <v>499.99999999999994</v>
      </c>
      <c r="Q314" t="s">
        <v>1305</v>
      </c>
      <c r="R314">
        <v>210.63542000000001</v>
      </c>
    </row>
    <row r="315" spans="1:18">
      <c r="A315" t="s">
        <v>992</v>
      </c>
      <c r="B315" t="s">
        <v>1189</v>
      </c>
      <c r="C315" t="s">
        <v>1085</v>
      </c>
      <c r="D315">
        <v>298.18</v>
      </c>
      <c r="E315" s="128">
        <v>44927</v>
      </c>
      <c r="F315" s="128">
        <v>47483</v>
      </c>
      <c r="G3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262.39839999999998</v>
      </c>
      <c r="H315" s="128" t="str">
        <f t="shared" ca="1" si="4"/>
        <v>YES</v>
      </c>
      <c r="K315" s="130" t="s">
        <v>883</v>
      </c>
      <c r="L315" s="598">
        <v>360</v>
      </c>
      <c r="Q315" t="s">
        <v>1306</v>
      </c>
      <c r="R315">
        <v>123.6591</v>
      </c>
    </row>
    <row r="316" spans="1:18">
      <c r="A316" t="s">
        <v>992</v>
      </c>
      <c r="B316" t="s">
        <v>1190</v>
      </c>
      <c r="C316" t="s">
        <v>1085</v>
      </c>
      <c r="D316">
        <v>358</v>
      </c>
      <c r="E316" s="128">
        <v>36526</v>
      </c>
      <c r="F316" s="128">
        <v>47483</v>
      </c>
      <c r="G3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315.04000000000002</v>
      </c>
      <c r="H316" s="128" t="str">
        <f t="shared" ca="1" si="4"/>
        <v>YES</v>
      </c>
      <c r="K316" s="130" t="s">
        <v>1362</v>
      </c>
      <c r="L316" s="598">
        <v>134</v>
      </c>
      <c r="Q316" t="s">
        <v>1307</v>
      </c>
      <c r="R316">
        <v>848.33659</v>
      </c>
    </row>
    <row r="317" spans="1:18">
      <c r="A317" t="s">
        <v>992</v>
      </c>
      <c r="B317" t="s">
        <v>1191</v>
      </c>
      <c r="C317" t="s">
        <v>994</v>
      </c>
      <c r="D317">
        <v>204</v>
      </c>
      <c r="E317" s="128">
        <v>36526</v>
      </c>
      <c r="F317" s="128">
        <v>47483</v>
      </c>
      <c r="G3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204</v>
      </c>
      <c r="H317" s="128" t="str">
        <f t="shared" ca="1" si="4"/>
        <v>YES</v>
      </c>
      <c r="K317" s="130" t="s">
        <v>879</v>
      </c>
      <c r="L317" s="598">
        <v>270.39999999999998</v>
      </c>
      <c r="Q317" t="s">
        <v>1308</v>
      </c>
      <c r="R317">
        <v>278.49020000000002</v>
      </c>
    </row>
    <row r="318" spans="1:18">
      <c r="A318" t="s">
        <v>992</v>
      </c>
      <c r="B318" t="s">
        <v>1191</v>
      </c>
      <c r="C318" t="s">
        <v>1085</v>
      </c>
      <c r="D318">
        <v>130</v>
      </c>
      <c r="E318" s="128">
        <v>36526</v>
      </c>
      <c r="F318" s="128">
        <v>44926</v>
      </c>
      <c r="G3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114.4</v>
      </c>
      <c r="H318" s="128" t="str">
        <f t="shared" ca="1" si="4"/>
        <v>NO</v>
      </c>
      <c r="K318" s="130" t="s">
        <v>1363</v>
      </c>
      <c r="L318" s="598">
        <v>262.5</v>
      </c>
      <c r="Q318" t="s">
        <v>1309</v>
      </c>
      <c r="R318">
        <v>377.17020000000002</v>
      </c>
    </row>
    <row r="319" spans="1:18">
      <c r="A319" t="s">
        <v>992</v>
      </c>
      <c r="B319" t="s">
        <v>1191</v>
      </c>
      <c r="C319" t="s">
        <v>1085</v>
      </c>
      <c r="D319">
        <v>143</v>
      </c>
      <c r="E319" s="128">
        <v>44927</v>
      </c>
      <c r="F319" s="128">
        <v>45102</v>
      </c>
      <c r="G3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125.84</v>
      </c>
      <c r="H319" s="128" t="str">
        <f t="shared" ca="1" si="4"/>
        <v>NO</v>
      </c>
      <c r="K319" s="130" t="s">
        <v>1365</v>
      </c>
      <c r="L319" s="598">
        <v>324.8</v>
      </c>
      <c r="Q319" t="s">
        <v>1310</v>
      </c>
      <c r="R319">
        <v>332.16019999999997</v>
      </c>
    </row>
    <row r="320" spans="1:18">
      <c r="A320" t="s">
        <v>992</v>
      </c>
      <c r="B320" t="s">
        <v>1192</v>
      </c>
      <c r="C320" t="s">
        <v>994</v>
      </c>
      <c r="D320">
        <v>114</v>
      </c>
      <c r="E320" s="128">
        <v>36526</v>
      </c>
      <c r="F320" s="128">
        <v>47483</v>
      </c>
      <c r="G3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</v>
      </c>
      <c r="H320" s="128" t="str">
        <f t="shared" ca="1" si="4"/>
        <v>YES</v>
      </c>
      <c r="K320" s="130" t="s">
        <v>1366</v>
      </c>
      <c r="L320" s="598">
        <v>275.27999999999997</v>
      </c>
      <c r="Q320" t="s">
        <v>1311</v>
      </c>
      <c r="R320">
        <v>275.85791999999998</v>
      </c>
    </row>
    <row r="321" spans="1:18">
      <c r="A321" t="s">
        <v>992</v>
      </c>
      <c r="B321" t="s">
        <v>1191</v>
      </c>
      <c r="C321" t="s">
        <v>1085</v>
      </c>
      <c r="D321">
        <v>400</v>
      </c>
      <c r="E321" s="128">
        <v>45103</v>
      </c>
      <c r="F321" s="128">
        <v>54789</v>
      </c>
      <c r="G3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352</v>
      </c>
      <c r="H321" s="128" t="str">
        <f t="shared" ca="1" si="4"/>
        <v>YES</v>
      </c>
      <c r="K321" s="130" t="s">
        <v>1367</v>
      </c>
      <c r="L321" s="598">
        <v>99.45</v>
      </c>
      <c r="Q321" t="s">
        <v>1312</v>
      </c>
      <c r="R321">
        <v>131.3022</v>
      </c>
    </row>
    <row r="322" spans="1:18">
      <c r="A322" t="s">
        <v>992</v>
      </c>
      <c r="B322" t="s">
        <v>1192</v>
      </c>
      <c r="C322" t="s">
        <v>994</v>
      </c>
      <c r="D322">
        <v>58</v>
      </c>
      <c r="E322" s="128">
        <v>36526</v>
      </c>
      <c r="F322" s="128">
        <v>47483</v>
      </c>
      <c r="G3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58</v>
      </c>
      <c r="H322" s="128" t="str">
        <f t="shared" ref="H322:H385" ca="1" si="5">IF(OR(F322=0,F322&gt;TODAY()),"YES","NO")</f>
        <v>YES</v>
      </c>
      <c r="K322" s="130" t="s">
        <v>1368</v>
      </c>
      <c r="L322" s="598">
        <v>195.07999999999998</v>
      </c>
      <c r="Q322" t="s">
        <v>1313</v>
      </c>
      <c r="R322">
        <v>116.36218000000001</v>
      </c>
    </row>
    <row r="323" spans="1:18">
      <c r="A323" t="s">
        <v>992</v>
      </c>
      <c r="B323" t="s">
        <v>1192</v>
      </c>
      <c r="C323" t="s">
        <v>994</v>
      </c>
      <c r="D323">
        <v>52</v>
      </c>
      <c r="E323" s="128">
        <v>36526</v>
      </c>
      <c r="F323" s="128">
        <v>43761</v>
      </c>
      <c r="G3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52</v>
      </c>
      <c r="H323" s="128" t="str">
        <f t="shared" ca="1" si="5"/>
        <v>NO</v>
      </c>
      <c r="K323" s="130" t="s">
        <v>1369</v>
      </c>
      <c r="L323" s="598">
        <v>114.74999999999999</v>
      </c>
      <c r="Q323" t="s">
        <v>1314</v>
      </c>
      <c r="R323">
        <v>249.26343</v>
      </c>
    </row>
    <row r="324" spans="1:18">
      <c r="A324" t="s">
        <v>992</v>
      </c>
      <c r="B324" t="s">
        <v>1192</v>
      </c>
      <c r="C324" t="s">
        <v>994</v>
      </c>
      <c r="D324">
        <v>106</v>
      </c>
      <c r="E324" s="128">
        <v>43762</v>
      </c>
      <c r="F324" s="128">
        <v>47483</v>
      </c>
      <c r="G3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</v>
      </c>
      <c r="H324" s="128" t="str">
        <f t="shared" ca="1" si="5"/>
        <v>YES</v>
      </c>
      <c r="K324" s="130" t="s">
        <v>1370</v>
      </c>
      <c r="L324" s="598">
        <v>150</v>
      </c>
      <c r="Q324" t="s">
        <v>1315</v>
      </c>
      <c r="R324">
        <v>195.58028999999999</v>
      </c>
    </row>
    <row r="325" spans="1:18">
      <c r="A325" t="s">
        <v>992</v>
      </c>
      <c r="B325" t="s">
        <v>1193</v>
      </c>
      <c r="C325" t="s">
        <v>994</v>
      </c>
      <c r="D325">
        <v>120.99999999999999</v>
      </c>
      <c r="E325" s="128">
        <v>36526</v>
      </c>
      <c r="F325" s="128">
        <v>47483</v>
      </c>
      <c r="G3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120.99999999999999</v>
      </c>
      <c r="H325" s="128" t="str">
        <f t="shared" ca="1" si="5"/>
        <v>YES</v>
      </c>
      <c r="K325" s="130" t="s">
        <v>1371</v>
      </c>
      <c r="L325" s="598">
        <v>204.67999999999998</v>
      </c>
      <c r="Q325" t="s">
        <v>1364</v>
      </c>
      <c r="R325">
        <v>51.992789999999999</v>
      </c>
    </row>
    <row r="326" spans="1:18">
      <c r="A326" t="s">
        <v>992</v>
      </c>
      <c r="B326" t="s">
        <v>1193</v>
      </c>
      <c r="C326" t="s">
        <v>994</v>
      </c>
      <c r="D326">
        <v>61</v>
      </c>
      <c r="E326" s="128">
        <v>36526</v>
      </c>
      <c r="F326" s="128">
        <v>47483</v>
      </c>
      <c r="G3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</v>
      </c>
      <c r="H326" s="128" t="str">
        <f t="shared" ca="1" si="5"/>
        <v>YES</v>
      </c>
      <c r="K326" s="130" t="s">
        <v>1373</v>
      </c>
      <c r="L326" s="598">
        <v>222.45000000000002</v>
      </c>
      <c r="Q326" t="s">
        <v>1316</v>
      </c>
      <c r="R326">
        <v>367.23402000000004</v>
      </c>
    </row>
    <row r="327" spans="1:18">
      <c r="A327" t="s">
        <v>992</v>
      </c>
      <c r="B327" t="s">
        <v>1194</v>
      </c>
      <c r="C327" t="s">
        <v>1085</v>
      </c>
      <c r="D327">
        <v>437.67</v>
      </c>
      <c r="E327" s="128">
        <v>36526</v>
      </c>
      <c r="F327" s="128">
        <v>47483</v>
      </c>
      <c r="G3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385.14960000000002</v>
      </c>
      <c r="H327" s="128" t="str">
        <f t="shared" ca="1" si="5"/>
        <v>YES</v>
      </c>
      <c r="K327" s="130" t="s">
        <v>1375</v>
      </c>
      <c r="L327" s="598">
        <v>334.86</v>
      </c>
      <c r="Q327" t="s">
        <v>1317</v>
      </c>
      <c r="R327">
        <v>194.18419999999998</v>
      </c>
    </row>
    <row r="328" spans="1:18">
      <c r="A328" t="s">
        <v>992</v>
      </c>
      <c r="B328" t="s">
        <v>1195</v>
      </c>
      <c r="C328" t="s">
        <v>994</v>
      </c>
      <c r="D328">
        <v>143.06</v>
      </c>
      <c r="E328" s="128">
        <v>36526</v>
      </c>
      <c r="F328" s="128">
        <v>44196</v>
      </c>
      <c r="G3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143.06</v>
      </c>
      <c r="H328" s="128" t="str">
        <f t="shared" ca="1" si="5"/>
        <v>NO</v>
      </c>
      <c r="K328" s="130" t="s">
        <v>1376</v>
      </c>
      <c r="L328" s="598">
        <v>181.39</v>
      </c>
      <c r="Q328" t="s">
        <v>1318</v>
      </c>
      <c r="R328">
        <v>372.75248999999997</v>
      </c>
    </row>
    <row r="329" spans="1:18">
      <c r="A329" t="s">
        <v>992</v>
      </c>
      <c r="B329" t="s">
        <v>1195</v>
      </c>
      <c r="C329" t="s">
        <v>994</v>
      </c>
      <c r="D329">
        <v>261</v>
      </c>
      <c r="E329" s="128">
        <v>44197</v>
      </c>
      <c r="F329" s="128">
        <v>47483</v>
      </c>
      <c r="G3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261</v>
      </c>
      <c r="H329" s="128" t="str">
        <f t="shared" ca="1" si="5"/>
        <v>YES</v>
      </c>
      <c r="K329" s="130" t="s">
        <v>1377</v>
      </c>
      <c r="L329" s="598">
        <v>171.11</v>
      </c>
      <c r="Q329" t="s">
        <v>1319</v>
      </c>
      <c r="R329">
        <v>186.54721000000001</v>
      </c>
    </row>
    <row r="330" spans="1:18">
      <c r="A330" t="s">
        <v>992</v>
      </c>
      <c r="B330" t="s">
        <v>931</v>
      </c>
      <c r="C330" t="s">
        <v>994</v>
      </c>
      <c r="D330">
        <v>131.9</v>
      </c>
      <c r="E330" s="128">
        <v>36526</v>
      </c>
      <c r="F330" s="128">
        <v>47483</v>
      </c>
      <c r="G3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131.9</v>
      </c>
      <c r="H330" s="128" t="str">
        <f t="shared" ca="1" si="5"/>
        <v>YES</v>
      </c>
      <c r="K330" s="130" t="s">
        <v>1378</v>
      </c>
      <c r="L330" s="598">
        <v>154.01999999999998</v>
      </c>
      <c r="Q330" t="s">
        <v>1320</v>
      </c>
      <c r="R330">
        <v>825.61554000000001</v>
      </c>
    </row>
    <row r="331" spans="1:18">
      <c r="A331" t="s">
        <v>992</v>
      </c>
      <c r="B331" t="s">
        <v>1196</v>
      </c>
      <c r="C331" t="s">
        <v>994</v>
      </c>
      <c r="D331">
        <v>558.6</v>
      </c>
      <c r="E331" s="128">
        <v>36526</v>
      </c>
      <c r="F331" s="128">
        <v>43100</v>
      </c>
      <c r="G3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558.6</v>
      </c>
      <c r="H331" s="128" t="str">
        <f t="shared" ca="1" si="5"/>
        <v>NO</v>
      </c>
      <c r="K331" s="130" t="s">
        <v>1379</v>
      </c>
      <c r="L331" s="598">
        <v>231.29</v>
      </c>
      <c r="Q331" t="s">
        <v>1322</v>
      </c>
      <c r="R331">
        <v>628.68304000000001</v>
      </c>
    </row>
    <row r="332" spans="1:18">
      <c r="A332" t="s">
        <v>992</v>
      </c>
      <c r="B332" t="s">
        <v>1196</v>
      </c>
      <c r="C332" t="s">
        <v>994</v>
      </c>
      <c r="D332">
        <v>541.79999999999995</v>
      </c>
      <c r="E332" s="128">
        <v>43101</v>
      </c>
      <c r="F332" s="128">
        <v>43830</v>
      </c>
      <c r="G3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541.79999999999995</v>
      </c>
      <c r="H332" s="128" t="str">
        <f t="shared" ca="1" si="5"/>
        <v>NO</v>
      </c>
      <c r="K332" s="130" t="s">
        <v>1380</v>
      </c>
      <c r="L332" s="598">
        <v>125.04</v>
      </c>
      <c r="Q332" t="s">
        <v>1372</v>
      </c>
      <c r="R332">
        <v>228.94</v>
      </c>
    </row>
    <row r="333" spans="1:18">
      <c r="A333" t="s">
        <v>992</v>
      </c>
      <c r="B333" t="s">
        <v>1196</v>
      </c>
      <c r="C333" t="s">
        <v>994</v>
      </c>
      <c r="D333">
        <v>531</v>
      </c>
      <c r="E333" s="128">
        <v>43831</v>
      </c>
      <c r="F333" s="128">
        <v>44834</v>
      </c>
      <c r="G3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531</v>
      </c>
      <c r="H333" s="128" t="str">
        <f t="shared" ca="1" si="5"/>
        <v>NO</v>
      </c>
      <c r="K333" s="130" t="s">
        <v>1381</v>
      </c>
      <c r="L333" s="598">
        <v>183.77</v>
      </c>
      <c r="Q333" t="s">
        <v>1374</v>
      </c>
      <c r="R333">
        <v>329.52931999999998</v>
      </c>
    </row>
    <row r="334" spans="1:18">
      <c r="A334" t="s">
        <v>992</v>
      </c>
      <c r="B334" t="s">
        <v>1196</v>
      </c>
      <c r="C334" t="s">
        <v>994</v>
      </c>
      <c r="D334">
        <v>557.55000000000007</v>
      </c>
      <c r="E334" s="128">
        <v>44835</v>
      </c>
      <c r="F334" s="128">
        <v>45016</v>
      </c>
      <c r="G3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557.55000000000007</v>
      </c>
      <c r="H334" s="128" t="str">
        <f t="shared" ca="1" si="5"/>
        <v>NO</v>
      </c>
      <c r="K334" s="130" t="s">
        <v>1382</v>
      </c>
      <c r="L334" s="598">
        <v>375</v>
      </c>
      <c r="Q334" t="s">
        <v>1323</v>
      </c>
      <c r="R334">
        <v>170.87344000000002</v>
      </c>
    </row>
    <row r="335" spans="1:18">
      <c r="A335" t="s">
        <v>992</v>
      </c>
      <c r="B335" t="s">
        <v>1197</v>
      </c>
      <c r="C335" t="s">
        <v>994</v>
      </c>
      <c r="D335">
        <v>357</v>
      </c>
      <c r="E335" s="128">
        <v>36526</v>
      </c>
      <c r="F335" s="128">
        <v>47483</v>
      </c>
      <c r="G3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357</v>
      </c>
      <c r="H335" s="128" t="str">
        <f t="shared" ca="1" si="5"/>
        <v>YES</v>
      </c>
      <c r="K335" s="130" t="s">
        <v>1383</v>
      </c>
      <c r="L335" s="598">
        <v>207.26</v>
      </c>
      <c r="Q335" t="s">
        <v>1324</v>
      </c>
      <c r="R335">
        <v>401.18718000000001</v>
      </c>
    </row>
    <row r="336" spans="1:18">
      <c r="A336" t="s">
        <v>992</v>
      </c>
      <c r="B336" t="s">
        <v>1198</v>
      </c>
      <c r="C336" t="s">
        <v>994</v>
      </c>
      <c r="D336">
        <v>969.00000000000011</v>
      </c>
      <c r="E336" s="128">
        <v>36526</v>
      </c>
      <c r="F336" s="128">
        <v>47483</v>
      </c>
      <c r="G3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969.00000000000011</v>
      </c>
      <c r="H336" s="128" t="str">
        <f t="shared" ca="1" si="5"/>
        <v>YES</v>
      </c>
      <c r="K336" s="130" t="s">
        <v>1384</v>
      </c>
      <c r="L336" s="598">
        <v>180.1</v>
      </c>
      <c r="Q336" t="s">
        <v>1325</v>
      </c>
      <c r="R336">
        <v>314.75754999999998</v>
      </c>
    </row>
    <row r="337" spans="1:18">
      <c r="A337" t="s">
        <v>992</v>
      </c>
      <c r="B337" t="s">
        <v>1199</v>
      </c>
      <c r="C337" t="s">
        <v>994</v>
      </c>
      <c r="D337">
        <v>267.7</v>
      </c>
      <c r="E337" s="128">
        <v>36526</v>
      </c>
      <c r="F337" s="128">
        <v>45657</v>
      </c>
      <c r="G3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267.7</v>
      </c>
      <c r="H337" s="128" t="str">
        <f t="shared" ca="1" si="5"/>
        <v>NO</v>
      </c>
      <c r="K337" s="130" t="s">
        <v>1385</v>
      </c>
      <c r="L337" s="598">
        <v>244.38</v>
      </c>
      <c r="Q337" t="s">
        <v>888</v>
      </c>
      <c r="R337">
        <v>203.34772999999998</v>
      </c>
    </row>
    <row r="338" spans="1:18">
      <c r="A338" t="s">
        <v>992</v>
      </c>
      <c r="B338" t="s">
        <v>1200</v>
      </c>
      <c r="C338" t="s">
        <v>994</v>
      </c>
      <c r="D338">
        <v>249.9</v>
      </c>
      <c r="E338" s="128">
        <v>36526</v>
      </c>
      <c r="F338" s="128">
        <v>47483</v>
      </c>
      <c r="G3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249.9</v>
      </c>
      <c r="H338" s="128" t="str">
        <f t="shared" ca="1" si="5"/>
        <v>YES</v>
      </c>
      <c r="K338" s="130" t="s">
        <v>1386</v>
      </c>
      <c r="L338" s="598">
        <v>156.4</v>
      </c>
      <c r="Q338" t="s">
        <v>1327</v>
      </c>
      <c r="R338">
        <v>445.33053999999998</v>
      </c>
    </row>
    <row r="339" spans="1:18">
      <c r="A339" t="s">
        <v>992</v>
      </c>
      <c r="B339" t="s">
        <v>1201</v>
      </c>
      <c r="C339" t="s">
        <v>994</v>
      </c>
      <c r="D339">
        <v>227.8</v>
      </c>
      <c r="E339" s="128">
        <v>36526</v>
      </c>
      <c r="F339" s="128">
        <v>47483</v>
      </c>
      <c r="G3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227.8</v>
      </c>
      <c r="H339" s="128" t="str">
        <f t="shared" ca="1" si="5"/>
        <v>YES</v>
      </c>
      <c r="K339" s="130" t="s">
        <v>1387</v>
      </c>
      <c r="L339" s="598">
        <v>115.00000000000001</v>
      </c>
      <c r="Q339" t="s">
        <v>1328</v>
      </c>
      <c r="R339">
        <v>155.03182999999999</v>
      </c>
    </row>
    <row r="340" spans="1:18">
      <c r="A340" t="s">
        <v>992</v>
      </c>
      <c r="B340" t="s">
        <v>1202</v>
      </c>
      <c r="C340" t="s">
        <v>994</v>
      </c>
      <c r="D340">
        <v>328.1</v>
      </c>
      <c r="E340" s="128">
        <v>36526</v>
      </c>
      <c r="F340" s="128">
        <v>46387</v>
      </c>
      <c r="G3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328.1</v>
      </c>
      <c r="H340" s="128" t="str">
        <f t="shared" ca="1" si="5"/>
        <v>YES</v>
      </c>
      <c r="K340" s="130" t="s">
        <v>1388</v>
      </c>
      <c r="L340" s="598">
        <v>138</v>
      </c>
      <c r="Q340" t="s">
        <v>1329</v>
      </c>
      <c r="R340">
        <v>178.86178999999998</v>
      </c>
    </row>
    <row r="341" spans="1:18">
      <c r="A341" t="s">
        <v>992</v>
      </c>
      <c r="B341" t="s">
        <v>1203</v>
      </c>
      <c r="C341" t="s">
        <v>994</v>
      </c>
      <c r="D341">
        <v>217.6</v>
      </c>
      <c r="E341" s="128">
        <v>43101</v>
      </c>
      <c r="F341" s="128">
        <v>47484</v>
      </c>
      <c r="G3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217.6</v>
      </c>
      <c r="H341" s="128" t="str">
        <f t="shared" ca="1" si="5"/>
        <v>YES</v>
      </c>
      <c r="K341" s="130" t="s">
        <v>1389</v>
      </c>
      <c r="L341" s="598">
        <v>147.9</v>
      </c>
      <c r="Q341" t="s">
        <v>849</v>
      </c>
      <c r="R341">
        <v>224.99589000000003</v>
      </c>
    </row>
    <row r="342" spans="1:18">
      <c r="A342" t="s">
        <v>992</v>
      </c>
      <c r="B342" t="s">
        <v>1203</v>
      </c>
      <c r="C342" t="s">
        <v>994</v>
      </c>
      <c r="D342">
        <v>210.6</v>
      </c>
      <c r="E342" s="128">
        <v>43101</v>
      </c>
      <c r="F342" s="128">
        <v>47484</v>
      </c>
      <c r="G3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210.6</v>
      </c>
      <c r="H342" s="128" t="str">
        <f t="shared" ca="1" si="5"/>
        <v>YES</v>
      </c>
      <c r="K342" s="130" t="s">
        <v>1390</v>
      </c>
      <c r="L342" s="598">
        <v>1300</v>
      </c>
      <c r="Q342" t="s">
        <v>833</v>
      </c>
      <c r="R342">
        <v>233.70399999999998</v>
      </c>
    </row>
    <row r="343" spans="1:18">
      <c r="A343" t="s">
        <v>992</v>
      </c>
      <c r="B343" t="s">
        <v>1203</v>
      </c>
      <c r="C343" t="s">
        <v>994</v>
      </c>
      <c r="D343">
        <v>215</v>
      </c>
      <c r="E343" s="128">
        <v>43101</v>
      </c>
      <c r="F343" s="128">
        <v>47484</v>
      </c>
      <c r="G3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215</v>
      </c>
      <c r="H343" s="128" t="str">
        <f t="shared" ca="1" si="5"/>
        <v>YES</v>
      </c>
      <c r="K343" s="130" t="s">
        <v>1391</v>
      </c>
      <c r="L343" s="598">
        <v>146.62</v>
      </c>
      <c r="Q343" t="s">
        <v>1330</v>
      </c>
      <c r="R343">
        <v>577.12356</v>
      </c>
    </row>
    <row r="344" spans="1:18">
      <c r="A344" t="s">
        <v>992</v>
      </c>
      <c r="B344" t="s">
        <v>1203</v>
      </c>
      <c r="C344" t="s">
        <v>994</v>
      </c>
      <c r="D344">
        <v>213.2</v>
      </c>
      <c r="E344" s="128">
        <v>43101</v>
      </c>
      <c r="F344" s="128">
        <v>47484</v>
      </c>
      <c r="G3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213.2</v>
      </c>
      <c r="H344" s="128" t="str">
        <f t="shared" ca="1" si="5"/>
        <v>YES</v>
      </c>
      <c r="K344" s="130" t="s">
        <v>1392</v>
      </c>
      <c r="L344" s="598">
        <v>375.3</v>
      </c>
      <c r="Q344" t="s">
        <v>1331</v>
      </c>
      <c r="R344">
        <v>176.63256999999999</v>
      </c>
    </row>
    <row r="345" spans="1:18">
      <c r="A345" t="s">
        <v>992</v>
      </c>
      <c r="B345" t="s">
        <v>1203</v>
      </c>
      <c r="C345" t="s">
        <v>994</v>
      </c>
      <c r="D345">
        <v>206.39</v>
      </c>
      <c r="E345" s="128">
        <v>43101</v>
      </c>
      <c r="F345" s="128">
        <v>47484</v>
      </c>
      <c r="G3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206.39</v>
      </c>
      <c r="H345" s="128" t="str">
        <f t="shared" ca="1" si="5"/>
        <v>YES</v>
      </c>
      <c r="K345" s="130" t="s">
        <v>1393</v>
      </c>
      <c r="L345" s="598">
        <v>907.04</v>
      </c>
      <c r="Q345" t="s">
        <v>1332</v>
      </c>
      <c r="R345">
        <v>156.56108</v>
      </c>
    </row>
    <row r="346" spans="1:18">
      <c r="A346" t="s">
        <v>992</v>
      </c>
      <c r="B346" t="s">
        <v>243</v>
      </c>
      <c r="C346" t="s">
        <v>994</v>
      </c>
      <c r="D346">
        <v>380.00000000000006</v>
      </c>
      <c r="E346" s="128">
        <v>36526</v>
      </c>
      <c r="F346" s="128">
        <v>42735</v>
      </c>
      <c r="G3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346" s="128" t="str">
        <f t="shared" ca="1" si="5"/>
        <v>NO</v>
      </c>
      <c r="K346" s="130" t="s">
        <v>1394</v>
      </c>
      <c r="L346" s="598">
        <v>1632</v>
      </c>
      <c r="Q346" t="s">
        <v>1333</v>
      </c>
      <c r="R346">
        <v>226.98537999999999</v>
      </c>
    </row>
    <row r="347" spans="1:18">
      <c r="A347" t="s">
        <v>992</v>
      </c>
      <c r="B347" t="s">
        <v>243</v>
      </c>
      <c r="C347" t="s">
        <v>994</v>
      </c>
      <c r="D347">
        <v>364.75</v>
      </c>
      <c r="E347" s="128">
        <v>42736</v>
      </c>
      <c r="F347" s="128">
        <v>43100</v>
      </c>
      <c r="G3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364.75</v>
      </c>
      <c r="H347" s="128" t="str">
        <f t="shared" ca="1" si="5"/>
        <v>NO</v>
      </c>
      <c r="K347" s="130" t="s">
        <v>1395</v>
      </c>
      <c r="L347" s="598">
        <v>153</v>
      </c>
      <c r="Q347" t="s">
        <v>1334</v>
      </c>
      <c r="R347">
        <v>146.72020000000001</v>
      </c>
    </row>
    <row r="348" spans="1:18">
      <c r="A348" t="s">
        <v>992</v>
      </c>
      <c r="B348" t="s">
        <v>243</v>
      </c>
      <c r="C348" t="s">
        <v>994</v>
      </c>
      <c r="D348">
        <v>350.15999999999997</v>
      </c>
      <c r="E348" s="128">
        <v>43101</v>
      </c>
      <c r="F348" s="128">
        <v>43465</v>
      </c>
      <c r="G3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350.15999999999997</v>
      </c>
      <c r="H348" s="128" t="str">
        <f t="shared" ca="1" si="5"/>
        <v>NO</v>
      </c>
      <c r="K348" s="130" t="s">
        <v>1396</v>
      </c>
      <c r="L348" s="598">
        <v>147.9</v>
      </c>
      <c r="Q348" t="s">
        <v>1335</v>
      </c>
      <c r="R348">
        <v>156.59636</v>
      </c>
    </row>
    <row r="349" spans="1:18">
      <c r="A349" t="s">
        <v>992</v>
      </c>
      <c r="B349" t="s">
        <v>243</v>
      </c>
      <c r="C349" t="s">
        <v>994</v>
      </c>
      <c r="D349">
        <v>344.90000000000003</v>
      </c>
      <c r="E349" s="128">
        <v>43482</v>
      </c>
      <c r="F349" s="128">
        <v>44561</v>
      </c>
      <c r="G3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344.90000000000003</v>
      </c>
      <c r="H349" s="128" t="str">
        <f t="shared" ca="1" si="5"/>
        <v>NO</v>
      </c>
      <c r="K349" s="130" t="s">
        <v>1397</v>
      </c>
      <c r="L349" s="598">
        <v>983.03000000000009</v>
      </c>
      <c r="Q349" t="s">
        <v>1336</v>
      </c>
      <c r="R349">
        <v>164.74762000000001</v>
      </c>
    </row>
    <row r="350" spans="1:18">
      <c r="A350" t="s">
        <v>992</v>
      </c>
      <c r="B350" t="s">
        <v>243</v>
      </c>
      <c r="C350" t="s">
        <v>994</v>
      </c>
      <c r="D350">
        <v>347</v>
      </c>
      <c r="E350" s="128">
        <v>44562</v>
      </c>
      <c r="F350" s="128">
        <v>54789</v>
      </c>
      <c r="G3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347</v>
      </c>
      <c r="H350" s="128" t="str">
        <f t="shared" ca="1" si="5"/>
        <v>YES</v>
      </c>
      <c r="K350" s="130" t="s">
        <v>1398</v>
      </c>
      <c r="L350" s="598">
        <v>450.99999999999994</v>
      </c>
      <c r="Q350" t="s">
        <v>1337</v>
      </c>
      <c r="R350">
        <v>212.96</v>
      </c>
    </row>
    <row r="351" spans="1:18">
      <c r="A351" t="s">
        <v>992</v>
      </c>
      <c r="B351" t="s">
        <v>1204</v>
      </c>
      <c r="C351" t="s">
        <v>994</v>
      </c>
      <c r="D351">
        <v>221</v>
      </c>
      <c r="E351" s="128">
        <v>36526</v>
      </c>
      <c r="F351" s="128">
        <v>42735</v>
      </c>
      <c r="G3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221</v>
      </c>
      <c r="H351" s="128" t="str">
        <f t="shared" ca="1" si="5"/>
        <v>NO</v>
      </c>
      <c r="K351" s="130" t="s">
        <v>1399</v>
      </c>
      <c r="L351" s="598">
        <v>69</v>
      </c>
      <c r="Q351" t="s">
        <v>1338</v>
      </c>
      <c r="R351">
        <v>148.41274999999999</v>
      </c>
    </row>
    <row r="352" spans="1:18">
      <c r="A352" t="s">
        <v>992</v>
      </c>
      <c r="B352" t="s">
        <v>1204</v>
      </c>
      <c r="C352" t="s">
        <v>994</v>
      </c>
      <c r="D352">
        <v>216.58</v>
      </c>
      <c r="E352" s="128">
        <v>42736</v>
      </c>
      <c r="F352" s="128">
        <v>43100</v>
      </c>
      <c r="G3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216.58</v>
      </c>
      <c r="H352" s="128" t="str">
        <f t="shared" ca="1" si="5"/>
        <v>NO</v>
      </c>
      <c r="K352" s="130" t="s">
        <v>1400</v>
      </c>
      <c r="L352" s="598">
        <v>126.68400000000001</v>
      </c>
      <c r="Q352" t="s">
        <v>1339</v>
      </c>
      <c r="R352">
        <v>1350.39327</v>
      </c>
    </row>
    <row r="353" spans="1:18">
      <c r="A353" t="s">
        <v>992</v>
      </c>
      <c r="B353" t="s">
        <v>1204</v>
      </c>
      <c r="C353" t="s">
        <v>994</v>
      </c>
      <c r="D353">
        <v>207.92000000000002</v>
      </c>
      <c r="E353" s="128">
        <v>43101</v>
      </c>
      <c r="F353" s="128">
        <v>43465</v>
      </c>
      <c r="G3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207.92000000000002</v>
      </c>
      <c r="H353" s="128" t="str">
        <f t="shared" ca="1" si="5"/>
        <v>NO</v>
      </c>
      <c r="K353" s="130" t="s">
        <v>1401</v>
      </c>
      <c r="L353" s="598">
        <v>362.14499999999998</v>
      </c>
      <c r="Q353" t="s">
        <v>1340</v>
      </c>
      <c r="R353">
        <v>423.90446999999995</v>
      </c>
    </row>
    <row r="354" spans="1:18">
      <c r="A354" t="s">
        <v>992</v>
      </c>
      <c r="B354" t="s">
        <v>1204</v>
      </c>
      <c r="C354" t="s">
        <v>994</v>
      </c>
      <c r="D354">
        <v>204.8</v>
      </c>
      <c r="E354" s="128">
        <v>43482</v>
      </c>
      <c r="F354" s="128">
        <v>47483</v>
      </c>
      <c r="G3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204.8</v>
      </c>
      <c r="H354" s="128" t="str">
        <f t="shared" ca="1" si="5"/>
        <v>YES</v>
      </c>
      <c r="K354" s="130" t="s">
        <v>1402</v>
      </c>
      <c r="L354" s="598">
        <v>163.63</v>
      </c>
      <c r="Q354" t="s">
        <v>1341</v>
      </c>
      <c r="R354">
        <v>132.14693</v>
      </c>
    </row>
    <row r="355" spans="1:18">
      <c r="A355" t="s">
        <v>992</v>
      </c>
      <c r="B355" t="s">
        <v>1205</v>
      </c>
      <c r="C355" t="s">
        <v>994</v>
      </c>
      <c r="D355">
        <v>112</v>
      </c>
      <c r="E355" s="128">
        <v>36526</v>
      </c>
      <c r="F355" s="128">
        <v>43100</v>
      </c>
      <c r="G3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112</v>
      </c>
      <c r="H355" s="128" t="str">
        <f t="shared" ca="1" si="5"/>
        <v>NO</v>
      </c>
      <c r="K355" s="130" t="s">
        <v>1403</v>
      </c>
      <c r="L355" s="598">
        <v>650</v>
      </c>
      <c r="Q355" t="s">
        <v>1342</v>
      </c>
      <c r="R355">
        <v>290.82</v>
      </c>
    </row>
    <row r="356" spans="1:18">
      <c r="A356" t="s">
        <v>992</v>
      </c>
      <c r="B356" t="s">
        <v>1205</v>
      </c>
      <c r="C356" t="s">
        <v>994</v>
      </c>
      <c r="D356">
        <v>116.99999999999999</v>
      </c>
      <c r="E356" s="128">
        <v>43101</v>
      </c>
      <c r="F356" s="128">
        <v>47483</v>
      </c>
      <c r="G3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116.99999999999999</v>
      </c>
      <c r="H356" s="128" t="str">
        <f t="shared" ca="1" si="5"/>
        <v>YES</v>
      </c>
      <c r="K356" s="130" t="s">
        <v>1404</v>
      </c>
      <c r="L356" s="598">
        <v>117.81</v>
      </c>
      <c r="Q356" t="s">
        <v>1343</v>
      </c>
      <c r="R356">
        <v>289.01974000000001</v>
      </c>
    </row>
    <row r="357" spans="1:18">
      <c r="A357" t="s">
        <v>992</v>
      </c>
      <c r="B357" t="s">
        <v>1206</v>
      </c>
      <c r="C357" t="s">
        <v>994</v>
      </c>
      <c r="D357">
        <v>1445.8500000000001</v>
      </c>
      <c r="E357" s="128">
        <v>36526</v>
      </c>
      <c r="F357" s="128">
        <v>47483</v>
      </c>
      <c r="G3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1445.8500000000001</v>
      </c>
      <c r="H357" s="128" t="str">
        <f t="shared" ca="1" si="5"/>
        <v>YES</v>
      </c>
      <c r="K357" s="130" t="s">
        <v>1405</v>
      </c>
      <c r="L357" s="598">
        <v>151.5</v>
      </c>
      <c r="Q357" t="s">
        <v>1344</v>
      </c>
      <c r="R357">
        <v>363.99045999999998</v>
      </c>
    </row>
    <row r="358" spans="1:18">
      <c r="A358" t="s">
        <v>992</v>
      </c>
      <c r="B358" t="s">
        <v>1207</v>
      </c>
      <c r="C358" t="s">
        <v>994</v>
      </c>
      <c r="D358">
        <v>116.99999999999999</v>
      </c>
      <c r="E358" s="128">
        <v>36526</v>
      </c>
      <c r="F358" s="128">
        <v>43657</v>
      </c>
      <c r="G3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116.99999999999999</v>
      </c>
      <c r="H358" s="128" t="str">
        <f t="shared" ca="1" si="5"/>
        <v>NO</v>
      </c>
      <c r="K358" s="130" t="s">
        <v>1406</v>
      </c>
      <c r="L358" s="598">
        <v>148</v>
      </c>
      <c r="Q358" t="s">
        <v>1345</v>
      </c>
      <c r="R358">
        <v>238.24072999999999</v>
      </c>
    </row>
    <row r="359" spans="1:18">
      <c r="A359" t="s">
        <v>992</v>
      </c>
      <c r="B359" t="s">
        <v>1207</v>
      </c>
      <c r="C359" t="s">
        <v>994</v>
      </c>
      <c r="D359">
        <v>130.80000000000001</v>
      </c>
      <c r="E359" s="128">
        <v>43658</v>
      </c>
      <c r="F359" s="128">
        <v>47483</v>
      </c>
      <c r="G3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130.80000000000001</v>
      </c>
      <c r="H359" s="128" t="str">
        <f t="shared" ca="1" si="5"/>
        <v>YES</v>
      </c>
      <c r="K359" s="130" t="s">
        <v>1407</v>
      </c>
      <c r="L359" s="598">
        <v>750</v>
      </c>
      <c r="Q359" t="s">
        <v>1346</v>
      </c>
      <c r="R359">
        <v>378.87268</v>
      </c>
    </row>
    <row r="360" spans="1:18">
      <c r="A360" t="s">
        <v>992</v>
      </c>
      <c r="B360" t="s">
        <v>1208</v>
      </c>
      <c r="C360" t="s">
        <v>994</v>
      </c>
      <c r="D360">
        <v>552</v>
      </c>
      <c r="E360" s="128">
        <v>36526</v>
      </c>
      <c r="F360" s="128">
        <v>47483</v>
      </c>
      <c r="G3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552</v>
      </c>
      <c r="H360" s="128" t="str">
        <f t="shared" ca="1" si="5"/>
        <v>YES</v>
      </c>
      <c r="K360" s="130" t="s">
        <v>1409</v>
      </c>
      <c r="L360" s="598">
        <v>610</v>
      </c>
      <c r="Q360" t="s">
        <v>1347</v>
      </c>
      <c r="R360">
        <v>369.19</v>
      </c>
    </row>
    <row r="361" spans="1:18">
      <c r="A361" t="s">
        <v>992</v>
      </c>
      <c r="B361" t="s">
        <v>1209</v>
      </c>
      <c r="C361" t="s">
        <v>994</v>
      </c>
      <c r="D361">
        <v>552</v>
      </c>
      <c r="E361" s="128">
        <v>36526</v>
      </c>
      <c r="F361" s="128">
        <v>47483</v>
      </c>
      <c r="G3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552</v>
      </c>
      <c r="H361" s="128" t="str">
        <f t="shared" ca="1" si="5"/>
        <v>YES</v>
      </c>
      <c r="K361" s="130" t="s">
        <v>1410</v>
      </c>
      <c r="L361" s="598">
        <v>102</v>
      </c>
      <c r="Q361" t="s">
        <v>1348</v>
      </c>
      <c r="R361">
        <v>287.60000000000002</v>
      </c>
    </row>
    <row r="362" spans="1:18">
      <c r="A362" t="s">
        <v>992</v>
      </c>
      <c r="B362" t="s">
        <v>1210</v>
      </c>
      <c r="C362" t="s">
        <v>994</v>
      </c>
      <c r="D362">
        <v>182</v>
      </c>
      <c r="E362" s="128">
        <v>36526</v>
      </c>
      <c r="F362" s="128">
        <v>47483</v>
      </c>
      <c r="G3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182</v>
      </c>
      <c r="H362" s="128" t="str">
        <f t="shared" ca="1" si="5"/>
        <v>YES</v>
      </c>
      <c r="K362" s="130" t="s">
        <v>1412</v>
      </c>
      <c r="L362" s="598">
        <v>553</v>
      </c>
      <c r="Q362" t="s">
        <v>1349</v>
      </c>
      <c r="R362">
        <v>336.09498000000002</v>
      </c>
    </row>
    <row r="363" spans="1:18">
      <c r="A363" t="s">
        <v>992</v>
      </c>
      <c r="B363" t="s">
        <v>1211</v>
      </c>
      <c r="C363" t="s">
        <v>994</v>
      </c>
      <c r="D363">
        <v>150</v>
      </c>
      <c r="E363" s="128">
        <v>36526</v>
      </c>
      <c r="F363" s="128">
        <v>43646</v>
      </c>
      <c r="G3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363" s="128" t="str">
        <f t="shared" ca="1" si="5"/>
        <v>NO</v>
      </c>
      <c r="K363" s="130" t="s">
        <v>1413</v>
      </c>
      <c r="L363" s="598">
        <v>158.1</v>
      </c>
      <c r="Q363" t="s">
        <v>1350</v>
      </c>
      <c r="R363">
        <v>306.04642999999999</v>
      </c>
    </row>
    <row r="364" spans="1:18">
      <c r="A364" t="s">
        <v>992</v>
      </c>
      <c r="B364" t="s">
        <v>1211</v>
      </c>
      <c r="C364" t="s">
        <v>994</v>
      </c>
      <c r="D364">
        <v>186</v>
      </c>
      <c r="E364" s="128">
        <v>43647</v>
      </c>
      <c r="F364" s="128">
        <v>47483</v>
      </c>
      <c r="G3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186</v>
      </c>
      <c r="H364" s="128" t="str">
        <f t="shared" ca="1" si="5"/>
        <v>YES</v>
      </c>
      <c r="K364" s="130" t="s">
        <v>1414</v>
      </c>
      <c r="L364" s="598">
        <v>220</v>
      </c>
      <c r="Q364" t="s">
        <v>845</v>
      </c>
      <c r="R364">
        <v>303.46992999999998</v>
      </c>
    </row>
    <row r="365" spans="1:18">
      <c r="A365" t="s">
        <v>992</v>
      </c>
      <c r="B365" t="s">
        <v>1212</v>
      </c>
      <c r="C365" t="s">
        <v>994</v>
      </c>
      <c r="D365">
        <v>402.99999999999994</v>
      </c>
      <c r="E365" s="128">
        <v>36526</v>
      </c>
      <c r="F365" s="128">
        <v>47483</v>
      </c>
      <c r="G3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402.99999999999994</v>
      </c>
      <c r="H365" s="128" t="str">
        <f t="shared" ca="1" si="5"/>
        <v>YES</v>
      </c>
      <c r="K365" s="130" t="s">
        <v>1415</v>
      </c>
      <c r="L365" s="598">
        <v>200</v>
      </c>
      <c r="Q365" t="s">
        <v>1351</v>
      </c>
      <c r="R365">
        <v>74.932580000000002</v>
      </c>
    </row>
    <row r="366" spans="1:18">
      <c r="A366" t="s">
        <v>992</v>
      </c>
      <c r="B366" t="s">
        <v>245</v>
      </c>
      <c r="C366" t="s">
        <v>1085</v>
      </c>
      <c r="D366">
        <v>400</v>
      </c>
      <c r="E366" s="128">
        <v>36526</v>
      </c>
      <c r="F366" s="128">
        <v>47483</v>
      </c>
      <c r="G3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352</v>
      </c>
      <c r="H366" s="128" t="str">
        <f t="shared" ca="1" si="5"/>
        <v>YES</v>
      </c>
      <c r="K366" s="130" t="s">
        <v>1417</v>
      </c>
      <c r="L366" s="598">
        <v>175.7</v>
      </c>
      <c r="Q366" t="s">
        <v>1408</v>
      </c>
      <c r="R366">
        <v>150.26659000000001</v>
      </c>
    </row>
    <row r="367" spans="1:18">
      <c r="A367" t="s">
        <v>992</v>
      </c>
      <c r="B367" t="s">
        <v>245</v>
      </c>
      <c r="C367" t="s">
        <v>1085</v>
      </c>
      <c r="D367">
        <v>359</v>
      </c>
      <c r="E367" s="128">
        <v>36526</v>
      </c>
      <c r="F367" s="128">
        <v>47483</v>
      </c>
      <c r="G3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315.92</v>
      </c>
      <c r="H367" s="128" t="str">
        <f t="shared" ca="1" si="5"/>
        <v>YES</v>
      </c>
      <c r="K367" s="130" t="s">
        <v>1419</v>
      </c>
      <c r="L367" s="598">
        <v>170</v>
      </c>
      <c r="Q367" t="s">
        <v>841</v>
      </c>
      <c r="R367">
        <v>548.46776</v>
      </c>
    </row>
    <row r="368" spans="1:18">
      <c r="A368" t="s">
        <v>992</v>
      </c>
      <c r="B368" t="s">
        <v>245</v>
      </c>
      <c r="C368" t="s">
        <v>994</v>
      </c>
      <c r="D368">
        <v>358.59999999999997</v>
      </c>
      <c r="E368" s="128">
        <v>36526</v>
      </c>
      <c r="F368" s="128">
        <v>42735</v>
      </c>
      <c r="G3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358.59999999999997</v>
      </c>
      <c r="H368" s="128" t="str">
        <f t="shared" ca="1" si="5"/>
        <v>NO</v>
      </c>
      <c r="K368" s="130" t="s">
        <v>1421</v>
      </c>
      <c r="L368" s="598">
        <v>131.23999999999998</v>
      </c>
      <c r="Q368" t="s">
        <v>1411</v>
      </c>
      <c r="R368">
        <v>93.536590000000004</v>
      </c>
    </row>
    <row r="369" spans="1:18">
      <c r="A369" t="s">
        <v>992</v>
      </c>
      <c r="B369" t="s">
        <v>245</v>
      </c>
      <c r="C369" t="s">
        <v>994</v>
      </c>
      <c r="D369">
        <v>347</v>
      </c>
      <c r="E369" s="128">
        <v>42736</v>
      </c>
      <c r="F369" s="128">
        <v>47483</v>
      </c>
      <c r="G3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347</v>
      </c>
      <c r="H369" s="128" t="str">
        <f t="shared" ca="1" si="5"/>
        <v>YES</v>
      </c>
      <c r="K369" s="130" t="s">
        <v>1423</v>
      </c>
      <c r="L369" s="598">
        <v>395.25</v>
      </c>
      <c r="Q369" t="s">
        <v>1118</v>
      </c>
      <c r="R369">
        <v>286.13074999999998</v>
      </c>
    </row>
    <row r="370" spans="1:18">
      <c r="A370" t="s">
        <v>992</v>
      </c>
      <c r="B370" t="s">
        <v>246</v>
      </c>
      <c r="C370" t="s">
        <v>1085</v>
      </c>
      <c r="D370">
        <v>364</v>
      </c>
      <c r="E370" s="128">
        <v>36526</v>
      </c>
      <c r="F370" s="128">
        <v>47483</v>
      </c>
      <c r="G3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320.32</v>
      </c>
      <c r="H370" s="128" t="str">
        <f t="shared" ca="1" si="5"/>
        <v>YES</v>
      </c>
      <c r="K370" s="130" t="s">
        <v>1424</v>
      </c>
      <c r="L370" s="598">
        <v>137.5</v>
      </c>
      <c r="Q370" t="s">
        <v>853</v>
      </c>
      <c r="R370">
        <v>560.28428000000008</v>
      </c>
    </row>
    <row r="371" spans="1:18">
      <c r="A371" t="s">
        <v>992</v>
      </c>
      <c r="B371" t="s">
        <v>246</v>
      </c>
      <c r="C371" t="s">
        <v>1085</v>
      </c>
      <c r="D371">
        <v>329</v>
      </c>
      <c r="E371" s="128">
        <v>36526</v>
      </c>
      <c r="F371" s="128">
        <v>47483</v>
      </c>
      <c r="G3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289.52</v>
      </c>
      <c r="H371" s="128" t="str">
        <f t="shared" ca="1" si="5"/>
        <v>YES</v>
      </c>
      <c r="K371" s="130" t="s">
        <v>1426</v>
      </c>
      <c r="L371" s="598">
        <v>124.87</v>
      </c>
      <c r="Q371" t="s">
        <v>1352</v>
      </c>
      <c r="R371">
        <v>63.547669999999997</v>
      </c>
    </row>
    <row r="372" spans="1:18">
      <c r="A372" t="s">
        <v>992</v>
      </c>
      <c r="B372" t="s">
        <v>246</v>
      </c>
      <c r="C372" t="s">
        <v>994</v>
      </c>
      <c r="D372">
        <v>275</v>
      </c>
      <c r="E372" s="128">
        <v>42736</v>
      </c>
      <c r="F372" s="128">
        <v>43657</v>
      </c>
      <c r="G3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275</v>
      </c>
      <c r="H372" s="128" t="str">
        <f t="shared" ca="1" si="5"/>
        <v>NO</v>
      </c>
      <c r="K372" s="130" t="s">
        <v>1428</v>
      </c>
      <c r="L372" s="598">
        <v>86.7</v>
      </c>
      <c r="Q372" t="s">
        <v>1416</v>
      </c>
      <c r="R372">
        <v>166.20000000000002</v>
      </c>
    </row>
    <row r="373" spans="1:18">
      <c r="A373" t="s">
        <v>992</v>
      </c>
      <c r="B373" t="s">
        <v>246</v>
      </c>
      <c r="C373" t="s">
        <v>994</v>
      </c>
      <c r="D373">
        <v>297.5</v>
      </c>
      <c r="E373" s="128">
        <v>43658</v>
      </c>
      <c r="F373" s="128">
        <v>47483</v>
      </c>
      <c r="G3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297.5</v>
      </c>
      <c r="H373" s="128" t="str">
        <f t="shared" ca="1" si="5"/>
        <v>YES</v>
      </c>
      <c r="K373" s="130" t="s">
        <v>1430</v>
      </c>
      <c r="L373" s="598">
        <v>210.18</v>
      </c>
      <c r="Q373" t="s">
        <v>1418</v>
      </c>
      <c r="R373">
        <v>166.20000000000002</v>
      </c>
    </row>
    <row r="374" spans="1:18">
      <c r="A374" t="s">
        <v>992</v>
      </c>
      <c r="B374" t="s">
        <v>1213</v>
      </c>
      <c r="C374" t="s">
        <v>994</v>
      </c>
      <c r="D374">
        <v>351</v>
      </c>
      <c r="E374" s="128">
        <v>36526</v>
      </c>
      <c r="F374" s="128">
        <v>42735</v>
      </c>
      <c r="G3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351</v>
      </c>
      <c r="H374" s="128" t="str">
        <f t="shared" ca="1" si="5"/>
        <v>NO</v>
      </c>
      <c r="K374" s="130" t="s">
        <v>1432</v>
      </c>
      <c r="L374" s="598">
        <v>149.22999999999999</v>
      </c>
      <c r="Q374" t="s">
        <v>1420</v>
      </c>
      <c r="R374">
        <v>4018.0055900000002</v>
      </c>
    </row>
    <row r="375" spans="1:18">
      <c r="A375" t="s">
        <v>992</v>
      </c>
      <c r="B375" t="s">
        <v>1213</v>
      </c>
      <c r="C375" t="s">
        <v>994</v>
      </c>
      <c r="D375">
        <v>345</v>
      </c>
      <c r="E375" s="128">
        <v>42736</v>
      </c>
      <c r="F375" s="128">
        <v>47483</v>
      </c>
      <c r="G3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345</v>
      </c>
      <c r="H375" s="128" t="str">
        <f t="shared" ca="1" si="5"/>
        <v>YES</v>
      </c>
      <c r="K375" s="130" t="s">
        <v>1434</v>
      </c>
      <c r="L375" s="598">
        <v>185</v>
      </c>
      <c r="Q375" t="s">
        <v>1422</v>
      </c>
      <c r="R375">
        <v>150.70000000000002</v>
      </c>
    </row>
    <row r="376" spans="1:18">
      <c r="A376" t="s">
        <v>992</v>
      </c>
      <c r="B376" t="s">
        <v>1214</v>
      </c>
      <c r="C376" t="s">
        <v>994</v>
      </c>
      <c r="D376">
        <v>339.24</v>
      </c>
      <c r="E376" s="128">
        <v>36526</v>
      </c>
      <c r="F376" s="128">
        <v>47483</v>
      </c>
      <c r="G3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339.24</v>
      </c>
      <c r="H376" s="128" t="str">
        <f t="shared" ca="1" si="5"/>
        <v>YES</v>
      </c>
      <c r="K376" s="130" t="s">
        <v>1436</v>
      </c>
      <c r="L376" s="598">
        <v>249.99999999999997</v>
      </c>
      <c r="Q376" t="s">
        <v>837</v>
      </c>
      <c r="R376">
        <v>390.84752000000003</v>
      </c>
    </row>
    <row r="377" spans="1:18">
      <c r="A377" t="s">
        <v>992</v>
      </c>
      <c r="B377" t="s">
        <v>1215</v>
      </c>
      <c r="C377" t="s">
        <v>994</v>
      </c>
      <c r="D377">
        <v>51</v>
      </c>
      <c r="E377" s="128">
        <v>36526</v>
      </c>
      <c r="F377" s="128">
        <v>47483</v>
      </c>
      <c r="G3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</v>
      </c>
      <c r="H377" s="128" t="str">
        <f t="shared" ca="1" si="5"/>
        <v>YES</v>
      </c>
      <c r="K377" s="130" t="s">
        <v>1438</v>
      </c>
      <c r="L377" s="598">
        <v>161</v>
      </c>
      <c r="Q377" t="s">
        <v>1425</v>
      </c>
      <c r="R377">
        <v>320.48248999999998</v>
      </c>
    </row>
    <row r="378" spans="1:18">
      <c r="A378" t="s">
        <v>992</v>
      </c>
      <c r="B378" t="s">
        <v>1215</v>
      </c>
      <c r="C378" t="s">
        <v>994</v>
      </c>
      <c r="D378">
        <v>94</v>
      </c>
      <c r="E378" s="128">
        <v>43735</v>
      </c>
      <c r="F378" s="128">
        <v>43830</v>
      </c>
      <c r="G3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94</v>
      </c>
      <c r="H378" s="128" t="str">
        <f t="shared" ca="1" si="5"/>
        <v>NO</v>
      </c>
      <c r="K378" s="130" t="s">
        <v>1440</v>
      </c>
      <c r="L378" s="598">
        <v>550</v>
      </c>
      <c r="Q378" t="s">
        <v>1427</v>
      </c>
      <c r="R378">
        <v>107.5552</v>
      </c>
    </row>
    <row r="379" spans="1:18">
      <c r="A379" t="s">
        <v>992</v>
      </c>
      <c r="B379" t="s">
        <v>1215</v>
      </c>
      <c r="C379" t="s">
        <v>994</v>
      </c>
      <c r="D379">
        <v>129.9</v>
      </c>
      <c r="E379" s="128">
        <v>43831</v>
      </c>
      <c r="F379" s="128">
        <v>45084</v>
      </c>
      <c r="G3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129.9</v>
      </c>
      <c r="H379" s="128" t="str">
        <f t="shared" ca="1" si="5"/>
        <v>NO</v>
      </c>
      <c r="K379" s="130" t="s">
        <v>1442</v>
      </c>
      <c r="L379" s="598">
        <v>550</v>
      </c>
      <c r="Q379" t="s">
        <v>1429</v>
      </c>
      <c r="R379">
        <v>116.61515</v>
      </c>
    </row>
    <row r="380" spans="1:18">
      <c r="A380" t="s">
        <v>992</v>
      </c>
      <c r="B380" t="s">
        <v>247</v>
      </c>
      <c r="C380" t="s">
        <v>994</v>
      </c>
      <c r="D380">
        <v>214.6</v>
      </c>
      <c r="E380" s="128">
        <v>36526</v>
      </c>
      <c r="F380" s="128">
        <v>36891</v>
      </c>
      <c r="G3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214.6</v>
      </c>
      <c r="H380" s="128" t="str">
        <f t="shared" ca="1" si="5"/>
        <v>NO</v>
      </c>
      <c r="K380" s="130" t="s">
        <v>1444</v>
      </c>
      <c r="L380" s="598">
        <v>136</v>
      </c>
      <c r="Q380" t="s">
        <v>1431</v>
      </c>
      <c r="R380">
        <v>120</v>
      </c>
    </row>
    <row r="381" spans="1:18">
      <c r="A381" t="s">
        <v>992</v>
      </c>
      <c r="B381" t="s">
        <v>1215</v>
      </c>
      <c r="C381" t="s">
        <v>994</v>
      </c>
      <c r="D381">
        <v>150</v>
      </c>
      <c r="E381" s="128">
        <v>45085</v>
      </c>
      <c r="F381" s="128">
        <v>54789</v>
      </c>
      <c r="G3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381" s="128" t="str">
        <f t="shared" ca="1" si="5"/>
        <v>YES</v>
      </c>
      <c r="K381" s="130" t="s">
        <v>1446</v>
      </c>
      <c r="L381" s="598">
        <v>139.32000000000002</v>
      </c>
      <c r="Q381" t="s">
        <v>1433</v>
      </c>
      <c r="R381">
        <v>109.72972</v>
      </c>
    </row>
    <row r="382" spans="1:18">
      <c r="A382" t="s">
        <v>992</v>
      </c>
      <c r="B382" t="s">
        <v>1216</v>
      </c>
      <c r="C382" t="s">
        <v>994</v>
      </c>
      <c r="D382">
        <v>679</v>
      </c>
      <c r="E382" s="128">
        <v>36526</v>
      </c>
      <c r="F382" s="128">
        <v>47483</v>
      </c>
      <c r="G3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679</v>
      </c>
      <c r="H382" s="128" t="str">
        <f t="shared" ca="1" si="5"/>
        <v>YES</v>
      </c>
      <c r="K382" s="130" t="s">
        <v>1449</v>
      </c>
      <c r="L382" s="598">
        <v>111.00000000000001</v>
      </c>
      <c r="Q382" t="s">
        <v>1435</v>
      </c>
      <c r="R382">
        <v>281.5351</v>
      </c>
    </row>
    <row r="383" spans="1:18">
      <c r="A383" t="s">
        <v>992</v>
      </c>
      <c r="B383" t="s">
        <v>1216</v>
      </c>
      <c r="C383" t="s">
        <v>994</v>
      </c>
      <c r="D383">
        <v>633</v>
      </c>
      <c r="E383" s="128">
        <v>36526</v>
      </c>
      <c r="F383" s="128">
        <v>47483</v>
      </c>
      <c r="G3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633</v>
      </c>
      <c r="H383" s="128" t="str">
        <f t="shared" ca="1" si="5"/>
        <v>YES</v>
      </c>
      <c r="K383" s="130" t="s">
        <v>1450</v>
      </c>
      <c r="L383" s="598">
        <v>164</v>
      </c>
      <c r="Q383" t="s">
        <v>1437</v>
      </c>
      <c r="R383">
        <v>396.76510000000002</v>
      </c>
    </row>
    <row r="384" spans="1:18">
      <c r="A384" t="s">
        <v>992</v>
      </c>
      <c r="B384" t="s">
        <v>1217</v>
      </c>
      <c r="C384" t="s">
        <v>994</v>
      </c>
      <c r="D384">
        <v>679</v>
      </c>
      <c r="E384" s="128">
        <v>36526</v>
      </c>
      <c r="F384" s="128">
        <v>47483</v>
      </c>
      <c r="G3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679</v>
      </c>
      <c r="H384" s="128" t="str">
        <f t="shared" ca="1" si="5"/>
        <v>YES</v>
      </c>
      <c r="K384" s="130" t="s">
        <v>1451</v>
      </c>
      <c r="L384" s="598">
        <v>143</v>
      </c>
      <c r="Q384" t="s">
        <v>1439</v>
      </c>
      <c r="R384">
        <v>698.37152000000003</v>
      </c>
    </row>
    <row r="385" spans="1:18">
      <c r="A385" t="s">
        <v>992</v>
      </c>
      <c r="B385" t="s">
        <v>1217</v>
      </c>
      <c r="C385" t="s">
        <v>994</v>
      </c>
      <c r="D385">
        <v>633</v>
      </c>
      <c r="E385" s="128">
        <v>36526</v>
      </c>
      <c r="F385" s="128">
        <v>47483</v>
      </c>
      <c r="G3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633</v>
      </c>
      <c r="H385" s="128" t="str">
        <f t="shared" ca="1" si="5"/>
        <v>YES</v>
      </c>
      <c r="K385" s="130" t="s">
        <v>892</v>
      </c>
      <c r="L385" s="598">
        <v>189</v>
      </c>
      <c r="Q385" t="s">
        <v>1441</v>
      </c>
      <c r="R385">
        <v>147.47997000000001</v>
      </c>
    </row>
    <row r="386" spans="1:18">
      <c r="A386" t="s">
        <v>992</v>
      </c>
      <c r="B386" t="s">
        <v>248</v>
      </c>
      <c r="C386" t="s">
        <v>994</v>
      </c>
      <c r="D386">
        <v>410</v>
      </c>
      <c r="E386" s="128">
        <v>36526</v>
      </c>
      <c r="F386" s="128">
        <v>43408</v>
      </c>
      <c r="G3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410</v>
      </c>
      <c r="H386" s="128" t="str">
        <f t="shared" ref="H386:H449" ca="1" si="6">IF(OR(F386=0,F386&gt;TODAY()),"YES","NO")</f>
        <v>NO</v>
      </c>
      <c r="K386" s="130" t="s">
        <v>1453</v>
      </c>
      <c r="L386" s="598">
        <v>366.73</v>
      </c>
      <c r="Q386" t="s">
        <v>1443</v>
      </c>
      <c r="R386">
        <v>100.92000000000002</v>
      </c>
    </row>
    <row r="387" spans="1:18">
      <c r="A387" t="s">
        <v>992</v>
      </c>
      <c r="B387" t="s">
        <v>248</v>
      </c>
      <c r="C387" t="s">
        <v>994</v>
      </c>
      <c r="D387">
        <v>397.00000000000006</v>
      </c>
      <c r="E387" s="128">
        <v>43409</v>
      </c>
      <c r="F387" s="128">
        <v>47483</v>
      </c>
      <c r="G3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397.00000000000006</v>
      </c>
      <c r="H387" s="128" t="str">
        <f t="shared" ca="1" si="6"/>
        <v>YES</v>
      </c>
      <c r="K387" s="130" t="s">
        <v>1455</v>
      </c>
      <c r="L387" s="598">
        <v>310</v>
      </c>
      <c r="Q387" t="s">
        <v>1445</v>
      </c>
      <c r="R387">
        <v>110.27058</v>
      </c>
    </row>
    <row r="388" spans="1:18">
      <c r="A388" t="s">
        <v>992</v>
      </c>
      <c r="B388" t="s">
        <v>1218</v>
      </c>
      <c r="C388" t="s">
        <v>994</v>
      </c>
      <c r="D388">
        <v>131</v>
      </c>
      <c r="E388" s="128">
        <v>36526</v>
      </c>
      <c r="F388" s="128">
        <v>44797</v>
      </c>
      <c r="G3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</v>
      </c>
      <c r="H388" s="128" t="str">
        <f t="shared" ca="1" si="6"/>
        <v>NO</v>
      </c>
      <c r="K388" s="130" t="s">
        <v>1457</v>
      </c>
      <c r="L388" s="598">
        <v>120</v>
      </c>
      <c r="Q388" t="s">
        <v>1447</v>
      </c>
      <c r="R388">
        <v>176.02383</v>
      </c>
    </row>
    <row r="389" spans="1:18">
      <c r="A389" t="s">
        <v>992</v>
      </c>
      <c r="B389" t="s">
        <v>1218</v>
      </c>
      <c r="C389" t="s">
        <v>994</v>
      </c>
      <c r="D389">
        <v>141.47999999999999</v>
      </c>
      <c r="E389" s="128">
        <v>44798</v>
      </c>
      <c r="F389" s="128">
        <v>45468</v>
      </c>
      <c r="G3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141.47999999999999</v>
      </c>
      <c r="H389" s="128" t="str">
        <f t="shared" ca="1" si="6"/>
        <v>NO</v>
      </c>
      <c r="K389" s="130" t="s">
        <v>1458</v>
      </c>
      <c r="L389" s="598">
        <v>160.93</v>
      </c>
      <c r="Q389" t="s">
        <v>1098</v>
      </c>
      <c r="R389">
        <v>78.662300000000002</v>
      </c>
    </row>
    <row r="390" spans="1:18">
      <c r="A390" t="s">
        <v>992</v>
      </c>
      <c r="B390" t="s">
        <v>1219</v>
      </c>
      <c r="C390" t="s">
        <v>1448</v>
      </c>
      <c r="D390">
        <v>151</v>
      </c>
      <c r="E390" s="128">
        <v>36526</v>
      </c>
      <c r="F390" s="128">
        <v>44797</v>
      </c>
      <c r="G3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151</v>
      </c>
      <c r="H390" s="128" t="str">
        <f t="shared" ca="1" si="6"/>
        <v>NO</v>
      </c>
      <c r="K390" s="130" t="s">
        <v>1459</v>
      </c>
      <c r="L390" s="598">
        <v>399.6</v>
      </c>
      <c r="Q390" t="s">
        <v>1064</v>
      </c>
      <c r="R390">
        <v>275.07156000000003</v>
      </c>
    </row>
    <row r="391" spans="1:18">
      <c r="A391" t="s">
        <v>992</v>
      </c>
      <c r="B391" t="s">
        <v>1218</v>
      </c>
      <c r="C391" t="s">
        <v>994</v>
      </c>
      <c r="D391">
        <v>190.79999999999998</v>
      </c>
      <c r="E391" s="128">
        <v>45469</v>
      </c>
      <c r="F391" s="128">
        <v>47483</v>
      </c>
      <c r="G3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190.79999999999998</v>
      </c>
      <c r="H391" s="128" t="str">
        <f t="shared" ca="1" si="6"/>
        <v>YES</v>
      </c>
      <c r="K391" s="130" t="s">
        <v>1460</v>
      </c>
      <c r="L391" s="598">
        <v>290</v>
      </c>
      <c r="Q391" t="s">
        <v>1452</v>
      </c>
      <c r="R391">
        <v>156.22301999999999</v>
      </c>
    </row>
    <row r="392" spans="1:18">
      <c r="A392" t="s">
        <v>992</v>
      </c>
      <c r="B392" t="s">
        <v>1219</v>
      </c>
      <c r="C392" t="s">
        <v>994</v>
      </c>
      <c r="D392">
        <v>163.07999999999998</v>
      </c>
      <c r="E392" s="128">
        <v>44798</v>
      </c>
      <c r="F392" s="128">
        <v>47483</v>
      </c>
      <c r="G3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163.07999999999998</v>
      </c>
      <c r="H392" s="128" t="str">
        <f t="shared" ca="1" si="6"/>
        <v>YES</v>
      </c>
      <c r="K392" s="130" t="s">
        <v>1461</v>
      </c>
      <c r="L392" s="598">
        <v>530</v>
      </c>
      <c r="Q392" t="s">
        <v>1321</v>
      </c>
      <c r="R392">
        <v>318.28413999999998</v>
      </c>
    </row>
    <row r="393" spans="1:18">
      <c r="A393" t="s">
        <v>992</v>
      </c>
      <c r="B393" t="s">
        <v>1218</v>
      </c>
      <c r="C393" t="s">
        <v>994</v>
      </c>
      <c r="D393">
        <v>149.5</v>
      </c>
      <c r="E393" s="128">
        <v>45469</v>
      </c>
      <c r="F393" s="128">
        <v>47483</v>
      </c>
      <c r="G3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149.5</v>
      </c>
      <c r="H393" s="128" t="str">
        <f t="shared" ca="1" si="6"/>
        <v>YES</v>
      </c>
      <c r="K393" s="130" t="s">
        <v>1463</v>
      </c>
      <c r="L393" s="598">
        <v>225</v>
      </c>
      <c r="Q393" t="s">
        <v>1454</v>
      </c>
      <c r="R393">
        <v>584.86</v>
      </c>
    </row>
    <row r="394" spans="1:18">
      <c r="A394" t="s">
        <v>992</v>
      </c>
      <c r="B394" t="s">
        <v>1220</v>
      </c>
      <c r="C394" t="s">
        <v>994</v>
      </c>
      <c r="D394">
        <v>590</v>
      </c>
      <c r="E394" s="128">
        <v>36526</v>
      </c>
      <c r="F394" s="128">
        <v>47483</v>
      </c>
      <c r="G3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590</v>
      </c>
      <c r="H394" s="128" t="str">
        <f t="shared" ca="1" si="6"/>
        <v>YES</v>
      </c>
      <c r="K394" s="130" t="s">
        <v>1465</v>
      </c>
      <c r="L394" s="598">
        <v>150</v>
      </c>
      <c r="Q394" t="s">
        <v>1456</v>
      </c>
      <c r="R394">
        <v>804.80000000000007</v>
      </c>
    </row>
    <row r="395" spans="1:18">
      <c r="A395" t="s">
        <v>992</v>
      </c>
      <c r="B395" t="s">
        <v>1221</v>
      </c>
      <c r="C395" t="s">
        <v>994</v>
      </c>
      <c r="D395">
        <v>277</v>
      </c>
      <c r="E395" s="128">
        <v>36526</v>
      </c>
      <c r="F395" s="128">
        <v>47483</v>
      </c>
      <c r="G3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277</v>
      </c>
      <c r="H395" s="128" t="str">
        <f t="shared" ca="1" si="6"/>
        <v>YES</v>
      </c>
      <c r="K395" s="130" t="s">
        <v>1467</v>
      </c>
      <c r="L395" s="598">
        <v>200</v>
      </c>
      <c r="Q395" t="s">
        <v>1043</v>
      </c>
      <c r="R395">
        <v>154.06521000000001</v>
      </c>
    </row>
    <row r="396" spans="1:18">
      <c r="A396" t="s">
        <v>992</v>
      </c>
      <c r="B396" t="s">
        <v>1222</v>
      </c>
      <c r="C396" t="s">
        <v>994</v>
      </c>
      <c r="D396">
        <v>262</v>
      </c>
      <c r="E396" s="128">
        <v>36526</v>
      </c>
      <c r="F396" s="128">
        <v>47483</v>
      </c>
      <c r="G3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262</v>
      </c>
      <c r="H396" s="128" t="str">
        <f t="shared" ca="1" si="6"/>
        <v>YES</v>
      </c>
      <c r="K396" s="130" t="s">
        <v>1468</v>
      </c>
      <c r="L396" s="598">
        <v>200</v>
      </c>
      <c r="Q396" t="s">
        <v>1040</v>
      </c>
      <c r="R396">
        <v>127.39834999999999</v>
      </c>
    </row>
    <row r="397" spans="1:18">
      <c r="A397" t="s">
        <v>992</v>
      </c>
      <c r="B397" t="s">
        <v>1223</v>
      </c>
      <c r="C397" t="s">
        <v>994</v>
      </c>
      <c r="D397">
        <v>100.99999999999999</v>
      </c>
      <c r="E397" s="128">
        <v>36526</v>
      </c>
      <c r="F397" s="128">
        <v>43646</v>
      </c>
      <c r="G3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100.99999999999999</v>
      </c>
      <c r="H397" s="128" t="str">
        <f t="shared" ca="1" si="6"/>
        <v>NO</v>
      </c>
      <c r="K397" s="130" t="s">
        <v>1469</v>
      </c>
      <c r="L397" s="598">
        <v>309</v>
      </c>
      <c r="Q397" t="s">
        <v>1037</v>
      </c>
      <c r="R397">
        <v>131.52659</v>
      </c>
    </row>
    <row r="398" spans="1:18">
      <c r="A398" t="s">
        <v>992</v>
      </c>
      <c r="B398" t="s">
        <v>1223</v>
      </c>
      <c r="C398" t="s">
        <v>994</v>
      </c>
      <c r="D398">
        <v>134</v>
      </c>
      <c r="E398" s="128">
        <v>43647</v>
      </c>
      <c r="F398" s="128">
        <v>44834</v>
      </c>
      <c r="G3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</v>
      </c>
      <c r="H398" s="128" t="str">
        <f t="shared" ca="1" si="6"/>
        <v>NO</v>
      </c>
      <c r="K398" s="130" t="s">
        <v>1471</v>
      </c>
      <c r="L398" s="598">
        <v>141.66666666666666</v>
      </c>
      <c r="Q398" t="s">
        <v>1035</v>
      </c>
      <c r="R398">
        <v>82.421719999999993</v>
      </c>
    </row>
    <row r="399" spans="1:18">
      <c r="A399" t="s">
        <v>992</v>
      </c>
      <c r="B399" t="s">
        <v>1223</v>
      </c>
      <c r="C399" t="s">
        <v>994</v>
      </c>
      <c r="D399">
        <v>140.70000000000002</v>
      </c>
      <c r="E399" s="128">
        <v>44835</v>
      </c>
      <c r="F399" s="128">
        <v>45016</v>
      </c>
      <c r="G3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140.70000000000002</v>
      </c>
      <c r="H399" s="128" t="str">
        <f t="shared" ca="1" si="6"/>
        <v>NO</v>
      </c>
      <c r="K399" s="130" t="s">
        <v>1472</v>
      </c>
      <c r="L399" s="598">
        <v>309</v>
      </c>
      <c r="Q399" t="s">
        <v>1462</v>
      </c>
      <c r="R399">
        <v>197.96789999999999</v>
      </c>
    </row>
    <row r="400" spans="1:18">
      <c r="A400" t="s">
        <v>992</v>
      </c>
      <c r="B400" t="s">
        <v>1224</v>
      </c>
      <c r="C400" t="s">
        <v>994</v>
      </c>
      <c r="D400">
        <v>108.99999999999999</v>
      </c>
      <c r="E400" s="128">
        <v>36526</v>
      </c>
      <c r="F400" s="128">
        <v>43646</v>
      </c>
      <c r="G4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108.99999999999999</v>
      </c>
      <c r="H400" s="128" t="str">
        <f t="shared" ca="1" si="6"/>
        <v>NO</v>
      </c>
      <c r="K400" s="130" t="s">
        <v>1473</v>
      </c>
      <c r="L400" s="598">
        <v>569.07999999999993</v>
      </c>
      <c r="Q400" t="s">
        <v>1464</v>
      </c>
      <c r="R400">
        <v>230.65</v>
      </c>
    </row>
    <row r="401" spans="1:18">
      <c r="A401" t="s">
        <v>992</v>
      </c>
      <c r="B401" t="s">
        <v>1224</v>
      </c>
      <c r="C401" t="s">
        <v>994</v>
      </c>
      <c r="D401">
        <v>145</v>
      </c>
      <c r="E401" s="128">
        <v>43647</v>
      </c>
      <c r="F401" s="128">
        <v>44834</v>
      </c>
      <c r="G4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145</v>
      </c>
      <c r="H401" s="128" t="str">
        <f t="shared" ca="1" si="6"/>
        <v>NO</v>
      </c>
      <c r="K401" s="130" t="s">
        <v>1474</v>
      </c>
      <c r="L401" s="598">
        <v>75.5</v>
      </c>
      <c r="Q401" t="s">
        <v>1466</v>
      </c>
      <c r="R401">
        <v>169.67502999999999</v>
      </c>
    </row>
    <row r="402" spans="1:18">
      <c r="A402" t="s">
        <v>992</v>
      </c>
      <c r="B402" t="s">
        <v>1224</v>
      </c>
      <c r="C402" t="s">
        <v>994</v>
      </c>
      <c r="D402">
        <v>152.25</v>
      </c>
      <c r="E402" s="128">
        <v>44835</v>
      </c>
      <c r="F402" s="128">
        <v>45016</v>
      </c>
      <c r="G4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152.25</v>
      </c>
      <c r="H402" s="128" t="str">
        <f t="shared" ca="1" si="6"/>
        <v>NO</v>
      </c>
      <c r="K402" s="130" t="s">
        <v>1475</v>
      </c>
      <c r="L402" s="598">
        <v>326</v>
      </c>
      <c r="Q402" t="s">
        <v>1353</v>
      </c>
      <c r="R402">
        <v>113.36917999999999</v>
      </c>
    </row>
    <row r="403" spans="1:18">
      <c r="A403" t="s">
        <v>992</v>
      </c>
      <c r="B403" t="s">
        <v>1225</v>
      </c>
      <c r="C403" t="s">
        <v>994</v>
      </c>
      <c r="D403">
        <v>535.5</v>
      </c>
      <c r="E403" s="128">
        <v>36526</v>
      </c>
      <c r="F403" s="128">
        <v>47483</v>
      </c>
      <c r="G4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535.5</v>
      </c>
      <c r="H403" s="128" t="str">
        <f t="shared" ca="1" si="6"/>
        <v>YES</v>
      </c>
      <c r="K403" s="130" t="s">
        <v>1476</v>
      </c>
      <c r="L403" s="598">
        <v>795</v>
      </c>
      <c r="Q403" t="s">
        <v>1354</v>
      </c>
      <c r="R403">
        <v>119.64746</v>
      </c>
    </row>
    <row r="404" spans="1:18">
      <c r="A404" t="s">
        <v>992</v>
      </c>
      <c r="B404" t="s">
        <v>1279</v>
      </c>
      <c r="C404" t="s">
        <v>994</v>
      </c>
      <c r="D404">
        <v>454</v>
      </c>
      <c r="E404" s="128">
        <v>36526</v>
      </c>
      <c r="F404" s="128">
        <v>43100</v>
      </c>
      <c r="G4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454</v>
      </c>
      <c r="H404" s="128" t="str">
        <f t="shared" ca="1" si="6"/>
        <v>NO</v>
      </c>
      <c r="K404" s="130" t="s">
        <v>1477</v>
      </c>
      <c r="L404" s="598">
        <v>326</v>
      </c>
      <c r="Q404" t="s">
        <v>1470</v>
      </c>
      <c r="R404">
        <v>442.3</v>
      </c>
    </row>
    <row r="405" spans="1:18">
      <c r="A405" t="s">
        <v>992</v>
      </c>
      <c r="B405" t="s">
        <v>1279</v>
      </c>
      <c r="C405" t="s">
        <v>994</v>
      </c>
      <c r="D405">
        <v>435.8</v>
      </c>
      <c r="E405" s="128">
        <v>43101</v>
      </c>
      <c r="F405" s="128">
        <v>43465</v>
      </c>
      <c r="G4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435.8</v>
      </c>
      <c r="H405" s="128" t="str">
        <f t="shared" ca="1" si="6"/>
        <v>NO</v>
      </c>
      <c r="K405" s="130" t="s">
        <v>1478</v>
      </c>
      <c r="L405" s="598">
        <v>61.2</v>
      </c>
      <c r="Q405" t="s">
        <v>936</v>
      </c>
      <c r="R405">
        <v>387.06614999999999</v>
      </c>
    </row>
    <row r="406" spans="1:18">
      <c r="A406" t="s">
        <v>992</v>
      </c>
      <c r="B406" t="s">
        <v>1279</v>
      </c>
      <c r="C406" t="s">
        <v>994</v>
      </c>
      <c r="D406">
        <v>429.26</v>
      </c>
      <c r="E406" s="128">
        <v>43466</v>
      </c>
      <c r="F406" s="128">
        <v>45016</v>
      </c>
      <c r="G4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429.26</v>
      </c>
      <c r="H406" s="128" t="str">
        <f t="shared" ca="1" si="6"/>
        <v>NO</v>
      </c>
      <c r="K406" s="130" t="s">
        <v>1479</v>
      </c>
      <c r="L406" s="598">
        <v>561</v>
      </c>
      <c r="Q406" t="s">
        <v>1355</v>
      </c>
      <c r="R406">
        <v>296.82837999999998</v>
      </c>
    </row>
    <row r="407" spans="1:18">
      <c r="A407" t="s">
        <v>992</v>
      </c>
      <c r="B407" t="s">
        <v>1226</v>
      </c>
      <c r="C407" t="s">
        <v>994</v>
      </c>
      <c r="D407">
        <v>375</v>
      </c>
      <c r="E407" s="128">
        <v>36526</v>
      </c>
      <c r="F407" s="128">
        <v>43100</v>
      </c>
      <c r="G4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375</v>
      </c>
      <c r="H407" s="128" t="str">
        <f t="shared" ca="1" si="6"/>
        <v>NO</v>
      </c>
      <c r="K407" s="130" t="s">
        <v>1480</v>
      </c>
      <c r="L407" s="598">
        <v>188</v>
      </c>
      <c r="Q407" t="s">
        <v>1356</v>
      </c>
      <c r="R407">
        <v>338.42302999999998</v>
      </c>
    </row>
    <row r="408" spans="1:18">
      <c r="A408" t="s">
        <v>992</v>
      </c>
      <c r="B408" t="s">
        <v>1279</v>
      </c>
      <c r="C408" t="s">
        <v>994</v>
      </c>
      <c r="D408">
        <v>420.7</v>
      </c>
      <c r="E408" s="128">
        <v>45017</v>
      </c>
      <c r="F408" s="128">
        <v>45291</v>
      </c>
      <c r="G4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420.7</v>
      </c>
      <c r="H408" s="128" t="str">
        <f t="shared" ca="1" si="6"/>
        <v>NO</v>
      </c>
      <c r="K408" s="130" t="s">
        <v>1481</v>
      </c>
      <c r="L408" s="598">
        <v>217.99999999999997</v>
      </c>
      <c r="Q408" t="s">
        <v>1357</v>
      </c>
      <c r="R408">
        <v>196.11648</v>
      </c>
    </row>
    <row r="409" spans="1:18">
      <c r="A409" t="s">
        <v>992</v>
      </c>
      <c r="B409" t="s">
        <v>1226</v>
      </c>
      <c r="C409" t="s">
        <v>994</v>
      </c>
      <c r="D409">
        <v>360</v>
      </c>
      <c r="E409" s="128">
        <v>43101</v>
      </c>
      <c r="F409" s="128">
        <v>43465</v>
      </c>
      <c r="G4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360</v>
      </c>
      <c r="H409" s="128" t="str">
        <f t="shared" ca="1" si="6"/>
        <v>NO</v>
      </c>
      <c r="K409" s="130" t="s">
        <v>1482</v>
      </c>
      <c r="L409" s="598">
        <v>233</v>
      </c>
      <c r="Q409" t="s">
        <v>1358</v>
      </c>
      <c r="R409">
        <v>158.10896</v>
      </c>
    </row>
    <row r="410" spans="1:18">
      <c r="A410" t="s">
        <v>992</v>
      </c>
      <c r="B410" t="s">
        <v>1226</v>
      </c>
      <c r="C410" t="s">
        <v>994</v>
      </c>
      <c r="D410">
        <v>354.59999999999997</v>
      </c>
      <c r="E410" s="128">
        <v>43466</v>
      </c>
      <c r="F410" s="128">
        <v>47483</v>
      </c>
      <c r="G4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354.59999999999997</v>
      </c>
      <c r="H410" s="128" t="str">
        <f t="shared" ca="1" si="6"/>
        <v>YES</v>
      </c>
      <c r="K410" s="130" t="s">
        <v>1483</v>
      </c>
      <c r="L410" s="598">
        <v>258</v>
      </c>
      <c r="Q410" t="s">
        <v>1359</v>
      </c>
      <c r="R410">
        <v>157.83674999999999</v>
      </c>
    </row>
    <row r="411" spans="1:18">
      <c r="A411" t="s">
        <v>992</v>
      </c>
      <c r="B411" t="s">
        <v>1227</v>
      </c>
      <c r="C411" t="s">
        <v>994</v>
      </c>
      <c r="D411">
        <v>79</v>
      </c>
      <c r="E411" s="128">
        <v>36526</v>
      </c>
      <c r="F411" s="128">
        <v>43646</v>
      </c>
      <c r="G4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79</v>
      </c>
      <c r="H411" s="128" t="str">
        <f t="shared" ca="1" si="6"/>
        <v>NO</v>
      </c>
      <c r="K411" s="130" t="s">
        <v>1484</v>
      </c>
      <c r="L411" s="598">
        <v>363</v>
      </c>
      <c r="Q411" t="s">
        <v>881</v>
      </c>
      <c r="R411">
        <v>147.22732999999999</v>
      </c>
    </row>
    <row r="412" spans="1:18">
      <c r="A412" t="s">
        <v>992</v>
      </c>
      <c r="B412" t="s">
        <v>1227</v>
      </c>
      <c r="C412" t="s">
        <v>994</v>
      </c>
      <c r="D412">
        <v>104.99999999999999</v>
      </c>
      <c r="E412" s="128">
        <v>43647</v>
      </c>
      <c r="F412" s="128">
        <v>47483</v>
      </c>
      <c r="G4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104.99999999999999</v>
      </c>
      <c r="H412" s="128" t="str">
        <f t="shared" ca="1" si="6"/>
        <v>YES</v>
      </c>
      <c r="K412" s="130" t="s">
        <v>1486</v>
      </c>
      <c r="L412" s="598">
        <v>367</v>
      </c>
      <c r="Q412" t="s">
        <v>905</v>
      </c>
      <c r="R412">
        <v>151.58224999999999</v>
      </c>
    </row>
    <row r="413" spans="1:18">
      <c r="A413" t="s">
        <v>992</v>
      </c>
      <c r="B413" t="s">
        <v>1228</v>
      </c>
      <c r="C413" t="s">
        <v>994</v>
      </c>
      <c r="D413">
        <v>499.99999999999994</v>
      </c>
      <c r="E413" s="128">
        <v>36526</v>
      </c>
      <c r="F413" s="128">
        <v>47483</v>
      </c>
      <c r="G4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499.99999999999994</v>
      </c>
      <c r="H413" s="128" t="str">
        <f t="shared" ca="1" si="6"/>
        <v>YES</v>
      </c>
      <c r="K413" s="130" t="s">
        <v>1488</v>
      </c>
      <c r="L413" s="598">
        <v>375</v>
      </c>
      <c r="Q413" t="s">
        <v>1360</v>
      </c>
      <c r="R413">
        <v>306.57189</v>
      </c>
    </row>
    <row r="414" spans="1:18">
      <c r="A414" t="s">
        <v>992</v>
      </c>
      <c r="B414" t="s">
        <v>1229</v>
      </c>
      <c r="C414" t="s">
        <v>994</v>
      </c>
      <c r="D414">
        <v>195</v>
      </c>
      <c r="E414" s="128">
        <v>36526</v>
      </c>
      <c r="F414" s="128">
        <v>43100</v>
      </c>
      <c r="G4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</v>
      </c>
      <c r="H414" s="128" t="str">
        <f t="shared" ca="1" si="6"/>
        <v>NO</v>
      </c>
      <c r="K414" s="130" t="s">
        <v>1490</v>
      </c>
      <c r="L414" s="598">
        <v>4556</v>
      </c>
      <c r="Q414" t="s">
        <v>940</v>
      </c>
      <c r="R414">
        <v>497.89280999999994</v>
      </c>
    </row>
    <row r="415" spans="1:18">
      <c r="A415" t="s">
        <v>992</v>
      </c>
      <c r="B415" t="s">
        <v>1229</v>
      </c>
      <c r="C415" t="s">
        <v>994</v>
      </c>
      <c r="D415">
        <v>187.2</v>
      </c>
      <c r="E415" s="128">
        <v>43101</v>
      </c>
      <c r="F415" s="128">
        <v>43465</v>
      </c>
      <c r="G4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187.2</v>
      </c>
      <c r="H415" s="128" t="str">
        <f t="shared" ca="1" si="6"/>
        <v>NO</v>
      </c>
      <c r="K415" s="130" t="s">
        <v>1492</v>
      </c>
      <c r="L415" s="598">
        <v>6086</v>
      </c>
      <c r="Q415" t="s">
        <v>883</v>
      </c>
      <c r="R415">
        <v>326.49362000000002</v>
      </c>
    </row>
    <row r="416" spans="1:18">
      <c r="A416" t="s">
        <v>992</v>
      </c>
      <c r="B416" t="s">
        <v>1229</v>
      </c>
      <c r="C416" t="s">
        <v>994</v>
      </c>
      <c r="D416">
        <v>184.39000000000001</v>
      </c>
      <c r="E416" s="128">
        <v>43482</v>
      </c>
      <c r="F416" s="128">
        <v>47483</v>
      </c>
      <c r="G4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184.39000000000001</v>
      </c>
      <c r="H416" s="128" t="str">
        <f t="shared" ca="1" si="6"/>
        <v>YES</v>
      </c>
      <c r="K416" s="130" t="s">
        <v>1493</v>
      </c>
      <c r="L416" s="598">
        <v>170</v>
      </c>
      <c r="Q416" t="s">
        <v>1361</v>
      </c>
      <c r="R416">
        <v>225.23381000000001</v>
      </c>
    </row>
    <row r="417" spans="1:18">
      <c r="A417" t="s">
        <v>992</v>
      </c>
      <c r="B417" t="s">
        <v>252</v>
      </c>
      <c r="C417" t="s">
        <v>994</v>
      </c>
      <c r="D417">
        <v>1429</v>
      </c>
      <c r="E417" s="128">
        <v>36526</v>
      </c>
      <c r="F417" s="128">
        <v>43100</v>
      </c>
      <c r="G4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1429</v>
      </c>
      <c r="H417" s="128" t="str">
        <f t="shared" ca="1" si="6"/>
        <v>NO</v>
      </c>
      <c r="K417" s="130" t="s">
        <v>1495</v>
      </c>
      <c r="L417" s="598">
        <v>458.99999999999994</v>
      </c>
      <c r="Q417" t="s">
        <v>1362</v>
      </c>
      <c r="R417">
        <v>145.08734000000001</v>
      </c>
    </row>
    <row r="418" spans="1:18">
      <c r="A418" t="s">
        <v>992</v>
      </c>
      <c r="B418" t="s">
        <v>252</v>
      </c>
      <c r="C418" t="s">
        <v>994</v>
      </c>
      <c r="D418">
        <v>1344</v>
      </c>
      <c r="E418" s="128">
        <v>43101</v>
      </c>
      <c r="F418" s="128">
        <v>44196</v>
      </c>
      <c r="G4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1344</v>
      </c>
      <c r="H418" s="128" t="str">
        <f t="shared" ca="1" si="6"/>
        <v>NO</v>
      </c>
      <c r="K418" s="130" t="s">
        <v>1497</v>
      </c>
      <c r="L418" s="598">
        <v>203.5</v>
      </c>
      <c r="Q418" t="s">
        <v>1485</v>
      </c>
      <c r="R418">
        <v>173.53766000000002</v>
      </c>
    </row>
    <row r="419" spans="1:18">
      <c r="A419" t="s">
        <v>992</v>
      </c>
      <c r="B419" t="s">
        <v>252</v>
      </c>
      <c r="C419" t="s">
        <v>994</v>
      </c>
      <c r="D419">
        <v>1316.5</v>
      </c>
      <c r="E419" s="128">
        <v>44197</v>
      </c>
      <c r="F419" s="128">
        <v>47483</v>
      </c>
      <c r="G4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1316.5</v>
      </c>
      <c r="H419" s="128" t="str">
        <f t="shared" ca="1" si="6"/>
        <v>YES</v>
      </c>
      <c r="K419" s="130" t="s">
        <v>1498</v>
      </c>
      <c r="L419" s="598">
        <v>286.64999999999998</v>
      </c>
      <c r="Q419" t="s">
        <v>1487</v>
      </c>
      <c r="R419">
        <v>199.76</v>
      </c>
    </row>
    <row r="420" spans="1:18">
      <c r="A420" t="s">
        <v>992</v>
      </c>
      <c r="B420" t="s">
        <v>1230</v>
      </c>
      <c r="C420" t="s">
        <v>994</v>
      </c>
      <c r="D420">
        <v>225</v>
      </c>
      <c r="E420" s="128">
        <v>36526</v>
      </c>
      <c r="F420" s="128">
        <v>47483</v>
      </c>
      <c r="G4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</v>
      </c>
      <c r="H420" s="128" t="str">
        <f t="shared" ca="1" si="6"/>
        <v>YES</v>
      </c>
      <c r="K420" s="130" t="s">
        <v>1499</v>
      </c>
      <c r="L420" s="598">
        <v>255</v>
      </c>
      <c r="Q420" t="s">
        <v>1489</v>
      </c>
      <c r="R420">
        <v>240.27284</v>
      </c>
    </row>
    <row r="421" spans="1:18">
      <c r="A421" t="s">
        <v>992</v>
      </c>
      <c r="B421" t="s">
        <v>253</v>
      </c>
      <c r="C421" t="s">
        <v>994</v>
      </c>
      <c r="D421">
        <v>857.95</v>
      </c>
      <c r="E421" s="128">
        <v>42736</v>
      </c>
      <c r="F421" s="128">
        <v>42916</v>
      </c>
      <c r="G4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857.95</v>
      </c>
      <c r="H421" s="128" t="str">
        <f t="shared" ca="1" si="6"/>
        <v>NO</v>
      </c>
      <c r="K421" s="130" t="s">
        <v>1501</v>
      </c>
      <c r="L421" s="598">
        <v>2269.5</v>
      </c>
      <c r="Q421" t="s">
        <v>1491</v>
      </c>
      <c r="R421">
        <v>170.78856999999999</v>
      </c>
    </row>
    <row r="422" spans="1:18">
      <c r="A422" t="s">
        <v>992</v>
      </c>
      <c r="B422" t="s">
        <v>253</v>
      </c>
      <c r="C422" t="s">
        <v>994</v>
      </c>
      <c r="D422">
        <v>887.95</v>
      </c>
      <c r="E422" s="128">
        <v>42917</v>
      </c>
      <c r="F422" s="128">
        <v>45160</v>
      </c>
      <c r="G4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887.95</v>
      </c>
      <c r="H422" s="128" t="str">
        <f t="shared" ca="1" si="6"/>
        <v>NO</v>
      </c>
      <c r="K422" s="130" t="s">
        <v>1503</v>
      </c>
      <c r="L422" s="598">
        <v>474</v>
      </c>
      <c r="Q422" t="s">
        <v>879</v>
      </c>
      <c r="R422">
        <v>177.11975000000001</v>
      </c>
    </row>
    <row r="423" spans="1:18">
      <c r="A423" t="s">
        <v>992</v>
      </c>
      <c r="B423" t="s">
        <v>1231</v>
      </c>
      <c r="C423" t="s">
        <v>994</v>
      </c>
      <c r="D423">
        <v>299</v>
      </c>
      <c r="E423" s="128">
        <v>36526</v>
      </c>
      <c r="F423" s="128">
        <v>47483</v>
      </c>
      <c r="G4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299</v>
      </c>
      <c r="H423" s="128" t="str">
        <f t="shared" ca="1" si="6"/>
        <v>YES</v>
      </c>
      <c r="K423" s="130" t="s">
        <v>1504</v>
      </c>
      <c r="L423" s="598">
        <v>285</v>
      </c>
      <c r="Q423" t="s">
        <v>1363</v>
      </c>
      <c r="R423">
        <v>65.402299999999997</v>
      </c>
    </row>
    <row r="424" spans="1:18">
      <c r="A424" t="s">
        <v>992</v>
      </c>
      <c r="B424" t="s">
        <v>253</v>
      </c>
      <c r="C424" t="s">
        <v>994</v>
      </c>
      <c r="D424">
        <v>976.50000000000011</v>
      </c>
      <c r="E424" s="128">
        <v>45161</v>
      </c>
      <c r="F424" s="128">
        <v>54789</v>
      </c>
      <c r="G4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976.50000000000011</v>
      </c>
      <c r="H424" s="128" t="str">
        <f t="shared" ca="1" si="6"/>
        <v>YES</v>
      </c>
      <c r="K424" s="130" t="s">
        <v>1505</v>
      </c>
      <c r="L424" s="598">
        <v>727.01</v>
      </c>
      <c r="Q424" t="s">
        <v>1496</v>
      </c>
      <c r="R424">
        <v>167.03514999999999</v>
      </c>
    </row>
    <row r="425" spans="1:18">
      <c r="A425" t="s">
        <v>992</v>
      </c>
      <c r="B425" t="s">
        <v>1494</v>
      </c>
      <c r="C425" t="s">
        <v>994</v>
      </c>
      <c r="D425">
        <v>710</v>
      </c>
      <c r="E425" s="128">
        <v>45170</v>
      </c>
      <c r="F425" s="128">
        <v>47483</v>
      </c>
      <c r="G4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710</v>
      </c>
      <c r="H425" s="128" t="str">
        <f t="shared" ca="1" si="6"/>
        <v>YES</v>
      </c>
      <c r="K425" s="130" t="s">
        <v>1506</v>
      </c>
      <c r="L425" s="598">
        <v>496</v>
      </c>
      <c r="Q425" t="s">
        <v>1365</v>
      </c>
      <c r="R425">
        <v>222.94333</v>
      </c>
    </row>
    <row r="426" spans="1:18">
      <c r="A426" t="s">
        <v>992</v>
      </c>
      <c r="B426" t="s">
        <v>1232</v>
      </c>
      <c r="C426" t="s">
        <v>994</v>
      </c>
      <c r="D426">
        <v>1245</v>
      </c>
      <c r="E426" s="128">
        <v>43101</v>
      </c>
      <c r="F426" s="128">
        <v>43279</v>
      </c>
      <c r="G4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1245</v>
      </c>
      <c r="H426" s="128" t="str">
        <f t="shared" ca="1" si="6"/>
        <v>NO</v>
      </c>
      <c r="K426" s="130" t="s">
        <v>809</v>
      </c>
      <c r="L426" s="598">
        <v>340</v>
      </c>
      <c r="Q426" t="s">
        <v>1366</v>
      </c>
      <c r="R426">
        <v>251.32618000000002</v>
      </c>
    </row>
    <row r="427" spans="1:18">
      <c r="A427" t="s">
        <v>992</v>
      </c>
      <c r="B427" t="s">
        <v>1232</v>
      </c>
      <c r="C427" t="s">
        <v>994</v>
      </c>
      <c r="D427">
        <v>1195.2</v>
      </c>
      <c r="E427" s="128">
        <v>43280</v>
      </c>
      <c r="F427" s="128">
        <v>43465</v>
      </c>
      <c r="G4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1195.2</v>
      </c>
      <c r="H427" s="128" t="str">
        <f t="shared" ca="1" si="6"/>
        <v>NO</v>
      </c>
      <c r="K427" s="130" t="s">
        <v>1507</v>
      </c>
      <c r="L427" s="598">
        <v>2125</v>
      </c>
      <c r="Q427" t="s">
        <v>1500</v>
      </c>
      <c r="R427">
        <v>168</v>
      </c>
    </row>
    <row r="428" spans="1:18">
      <c r="A428" t="s">
        <v>992</v>
      </c>
      <c r="B428" t="s">
        <v>1232</v>
      </c>
      <c r="C428" t="s">
        <v>994</v>
      </c>
      <c r="D428">
        <v>1171</v>
      </c>
      <c r="E428" s="128">
        <v>43466</v>
      </c>
      <c r="F428" s="128">
        <v>44196</v>
      </c>
      <c r="G4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1171</v>
      </c>
      <c r="H428" s="128" t="str">
        <f t="shared" ca="1" si="6"/>
        <v>NO</v>
      </c>
      <c r="K428" s="130" t="s">
        <v>1508</v>
      </c>
      <c r="L428" s="598">
        <v>382.5</v>
      </c>
      <c r="Q428" t="s">
        <v>1502</v>
      </c>
      <c r="R428">
        <v>0</v>
      </c>
    </row>
    <row r="429" spans="1:18">
      <c r="A429" t="s">
        <v>992</v>
      </c>
      <c r="B429" t="s">
        <v>1232</v>
      </c>
      <c r="C429" t="s">
        <v>994</v>
      </c>
      <c r="D429">
        <v>1057.4000000000001</v>
      </c>
      <c r="E429" s="128">
        <v>44197</v>
      </c>
      <c r="F429" s="128">
        <v>44469</v>
      </c>
      <c r="G4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1057.4000000000001</v>
      </c>
      <c r="H429" s="128" t="str">
        <f t="shared" ca="1" si="6"/>
        <v>NO</v>
      </c>
      <c r="K429" s="130" t="s">
        <v>1509</v>
      </c>
      <c r="L429" s="598">
        <v>723.31999999999994</v>
      </c>
      <c r="Q429" t="s">
        <v>1367</v>
      </c>
      <c r="R429">
        <v>75.891810000000007</v>
      </c>
    </row>
    <row r="430" spans="1:18">
      <c r="A430" t="s">
        <v>992</v>
      </c>
      <c r="B430" t="s">
        <v>1232</v>
      </c>
      <c r="C430" t="s">
        <v>994</v>
      </c>
      <c r="D430">
        <v>994</v>
      </c>
      <c r="E430" s="128">
        <v>44469</v>
      </c>
      <c r="F430" s="128">
        <v>45657</v>
      </c>
      <c r="G4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994</v>
      </c>
      <c r="H430" s="128" t="str">
        <f t="shared" ca="1" si="6"/>
        <v>NO</v>
      </c>
      <c r="K430" s="130" t="s">
        <v>1510</v>
      </c>
      <c r="L430" s="598">
        <v>1159.57</v>
      </c>
      <c r="Q430" t="s">
        <v>1368</v>
      </c>
      <c r="R430">
        <v>83.780299999999997</v>
      </c>
    </row>
    <row r="431" spans="1:18">
      <c r="A431" t="s">
        <v>992</v>
      </c>
      <c r="B431" t="s">
        <v>909</v>
      </c>
      <c r="C431" t="s">
        <v>994</v>
      </c>
      <c r="D431">
        <v>159</v>
      </c>
      <c r="E431" s="128">
        <v>36526</v>
      </c>
      <c r="F431" s="128">
        <v>45090</v>
      </c>
      <c r="G4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159</v>
      </c>
      <c r="H431" s="128" t="str">
        <f t="shared" ca="1" si="6"/>
        <v>NO</v>
      </c>
      <c r="K431" s="130" t="s">
        <v>1511</v>
      </c>
      <c r="L431" s="598">
        <v>969.00000000000011</v>
      </c>
      <c r="Q431" t="s">
        <v>1369</v>
      </c>
      <c r="R431">
        <v>81.810770000000005</v>
      </c>
    </row>
    <row r="432" spans="1:18">
      <c r="A432" t="s">
        <v>992</v>
      </c>
      <c r="B432" t="s">
        <v>1233</v>
      </c>
      <c r="C432" t="s">
        <v>994</v>
      </c>
      <c r="D432">
        <v>350</v>
      </c>
      <c r="E432" s="128">
        <v>36526</v>
      </c>
      <c r="F432" s="128">
        <v>43215</v>
      </c>
      <c r="G4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432" s="128" t="str">
        <f t="shared" ca="1" si="6"/>
        <v>NO</v>
      </c>
      <c r="K432" s="130" t="s">
        <v>1512</v>
      </c>
      <c r="L432" s="598">
        <v>535.5</v>
      </c>
      <c r="Q432" t="s">
        <v>1370</v>
      </c>
      <c r="R432">
        <v>65.293689999999998</v>
      </c>
    </row>
    <row r="433" spans="1:18">
      <c r="A433" t="s">
        <v>992</v>
      </c>
      <c r="B433" t="s">
        <v>909</v>
      </c>
      <c r="C433" t="s">
        <v>994</v>
      </c>
      <c r="D433">
        <v>190.00000000000003</v>
      </c>
      <c r="E433" s="128">
        <v>45091</v>
      </c>
      <c r="F433" s="128">
        <v>54789</v>
      </c>
      <c r="G4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190.00000000000003</v>
      </c>
      <c r="H433" s="128" t="str">
        <f t="shared" ca="1" si="6"/>
        <v>YES</v>
      </c>
      <c r="K433" s="130" t="s">
        <v>1513</v>
      </c>
      <c r="L433" s="598">
        <v>527</v>
      </c>
      <c r="Q433" t="s">
        <v>1371</v>
      </c>
      <c r="R433">
        <v>83.241960000000006</v>
      </c>
    </row>
    <row r="434" spans="1:18">
      <c r="A434" t="s">
        <v>992</v>
      </c>
      <c r="B434" t="s">
        <v>1233</v>
      </c>
      <c r="C434" t="s">
        <v>994</v>
      </c>
      <c r="D434">
        <v>304</v>
      </c>
      <c r="E434" s="128">
        <v>43216</v>
      </c>
      <c r="F434" s="128">
        <v>44834</v>
      </c>
      <c r="G4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304</v>
      </c>
      <c r="H434" s="128" t="str">
        <f t="shared" ca="1" si="6"/>
        <v>NO</v>
      </c>
      <c r="K434" s="130" t="s">
        <v>1514</v>
      </c>
      <c r="L434" s="598">
        <v>501.5</v>
      </c>
      <c r="Q434" t="s">
        <v>1373</v>
      </c>
      <c r="R434">
        <v>102.4003</v>
      </c>
    </row>
    <row r="435" spans="1:18">
      <c r="A435" t="s">
        <v>992</v>
      </c>
      <c r="B435" t="s">
        <v>1233</v>
      </c>
      <c r="C435" t="s">
        <v>994</v>
      </c>
      <c r="D435">
        <v>319.2</v>
      </c>
      <c r="E435" s="128">
        <v>44835</v>
      </c>
      <c r="F435" s="128">
        <v>44926</v>
      </c>
      <c r="G4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319.2</v>
      </c>
      <c r="H435" s="128" t="str">
        <f t="shared" ca="1" si="6"/>
        <v>NO</v>
      </c>
      <c r="K435" s="130" t="s">
        <v>1515</v>
      </c>
      <c r="L435" s="598">
        <v>705.5</v>
      </c>
      <c r="Q435" t="s">
        <v>1375</v>
      </c>
      <c r="R435">
        <v>176.23310000000001</v>
      </c>
    </row>
    <row r="436" spans="1:18">
      <c r="A436" t="s">
        <v>992</v>
      </c>
      <c r="B436" t="s">
        <v>1233</v>
      </c>
      <c r="C436" t="s">
        <v>994</v>
      </c>
      <c r="D436">
        <v>302.39999999999998</v>
      </c>
      <c r="E436" s="128">
        <v>44927</v>
      </c>
      <c r="F436" s="128">
        <v>45016</v>
      </c>
      <c r="G4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302.39999999999998</v>
      </c>
      <c r="H436" s="128" t="str">
        <f t="shared" ca="1" si="6"/>
        <v>NO</v>
      </c>
      <c r="K436" s="130" t="s">
        <v>1516</v>
      </c>
      <c r="L436" s="598">
        <v>603.5</v>
      </c>
      <c r="Q436" t="s">
        <v>1376</v>
      </c>
      <c r="R436">
        <v>81.623149999999995</v>
      </c>
    </row>
    <row r="437" spans="1:18">
      <c r="A437" t="s">
        <v>992</v>
      </c>
      <c r="B437" t="s">
        <v>1234</v>
      </c>
      <c r="C437" t="s">
        <v>994</v>
      </c>
      <c r="D437">
        <v>83</v>
      </c>
      <c r="E437" s="128">
        <v>36526</v>
      </c>
      <c r="F437" s="128">
        <v>47483</v>
      </c>
      <c r="G4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</v>
      </c>
      <c r="H437" s="128" t="str">
        <f t="shared" ca="1" si="6"/>
        <v>YES</v>
      </c>
      <c r="K437" s="130" t="s">
        <v>1517</v>
      </c>
      <c r="L437" s="598">
        <v>501.5</v>
      </c>
      <c r="Q437" t="s">
        <v>1377</v>
      </c>
      <c r="R437">
        <v>89.763149999999996</v>
      </c>
    </row>
    <row r="438" spans="1:18">
      <c r="A438" t="s">
        <v>992</v>
      </c>
      <c r="B438" t="s">
        <v>1233</v>
      </c>
      <c r="C438" t="s">
        <v>994</v>
      </c>
      <c r="D438">
        <v>291.75</v>
      </c>
      <c r="E438" s="128">
        <v>45017</v>
      </c>
      <c r="F438" s="128">
        <v>45657</v>
      </c>
      <c r="G4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291.75</v>
      </c>
      <c r="H438" s="128" t="str">
        <f t="shared" ca="1" si="6"/>
        <v>NO</v>
      </c>
      <c r="K438" s="130" t="s">
        <v>1519</v>
      </c>
      <c r="L438" s="598">
        <v>536.35</v>
      </c>
      <c r="Q438" t="s">
        <v>1378</v>
      </c>
      <c r="R438">
        <v>113.87369</v>
      </c>
    </row>
    <row r="439" spans="1:18">
      <c r="A439" t="s">
        <v>992</v>
      </c>
      <c r="B439" t="s">
        <v>1236</v>
      </c>
      <c r="C439" t="s">
        <v>994</v>
      </c>
      <c r="D439">
        <v>189</v>
      </c>
      <c r="E439" s="128">
        <v>43101</v>
      </c>
      <c r="F439" s="128">
        <v>43314</v>
      </c>
      <c r="G4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</v>
      </c>
      <c r="H439" s="128" t="str">
        <f t="shared" ca="1" si="6"/>
        <v>NO</v>
      </c>
      <c r="K439" s="130" t="s">
        <v>1521</v>
      </c>
      <c r="L439" s="598">
        <v>3338.2000000000003</v>
      </c>
      <c r="Q439" t="s">
        <v>1379</v>
      </c>
      <c r="R439">
        <v>107.67310000000001</v>
      </c>
    </row>
    <row r="440" spans="1:18">
      <c r="A440" t="s">
        <v>992</v>
      </c>
      <c r="B440" t="s">
        <v>1236</v>
      </c>
      <c r="C440" t="s">
        <v>994</v>
      </c>
      <c r="D440">
        <v>206.00000000000003</v>
      </c>
      <c r="E440" s="128">
        <v>43315</v>
      </c>
      <c r="F440" s="128">
        <v>43465</v>
      </c>
      <c r="G4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206.00000000000003</v>
      </c>
      <c r="H440" s="128" t="str">
        <f t="shared" ca="1" si="6"/>
        <v>NO</v>
      </c>
      <c r="K440" s="130" t="s">
        <v>1522</v>
      </c>
      <c r="L440" s="598">
        <v>1010</v>
      </c>
      <c r="Q440" t="s">
        <v>1380</v>
      </c>
      <c r="R440">
        <v>77.304590000000005</v>
      </c>
    </row>
    <row r="441" spans="1:18">
      <c r="A441" t="s">
        <v>992</v>
      </c>
      <c r="B441" t="s">
        <v>1236</v>
      </c>
      <c r="C441" t="s">
        <v>994</v>
      </c>
      <c r="D441">
        <v>182</v>
      </c>
      <c r="E441" s="128">
        <v>43315</v>
      </c>
      <c r="F441" s="128">
        <v>43465</v>
      </c>
      <c r="G4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182</v>
      </c>
      <c r="H441" s="128" t="str">
        <f t="shared" ca="1" si="6"/>
        <v>NO</v>
      </c>
      <c r="K441" s="130" t="s">
        <v>1523</v>
      </c>
      <c r="L441" s="598">
        <v>570</v>
      </c>
      <c r="Q441" t="s">
        <v>1381</v>
      </c>
      <c r="R441">
        <v>86.600300000000004</v>
      </c>
    </row>
    <row r="442" spans="1:18">
      <c r="A442" t="s">
        <v>992</v>
      </c>
      <c r="B442" t="s">
        <v>1236</v>
      </c>
      <c r="C442" t="s">
        <v>994</v>
      </c>
      <c r="D442">
        <v>202.91000000000003</v>
      </c>
      <c r="E442" s="128">
        <v>43482</v>
      </c>
      <c r="F442" s="128">
        <v>43830</v>
      </c>
      <c r="G4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202.91000000000003</v>
      </c>
      <c r="H442" s="128" t="str">
        <f t="shared" ca="1" si="6"/>
        <v>NO</v>
      </c>
      <c r="K442" s="130" t="s">
        <v>1524</v>
      </c>
      <c r="L442" s="598">
        <v>917.99999999999989</v>
      </c>
      <c r="Q442" t="s">
        <v>1382</v>
      </c>
      <c r="R442">
        <v>145.88199</v>
      </c>
    </row>
    <row r="443" spans="1:18">
      <c r="A443" t="s">
        <v>992</v>
      </c>
      <c r="B443" t="s">
        <v>1236</v>
      </c>
      <c r="C443" t="s">
        <v>994</v>
      </c>
      <c r="D443">
        <v>173.9</v>
      </c>
      <c r="E443" s="128">
        <v>43482</v>
      </c>
      <c r="F443" s="128">
        <v>43830</v>
      </c>
      <c r="G4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173.9</v>
      </c>
      <c r="H443" s="128" t="str">
        <f t="shared" ca="1" si="6"/>
        <v>NO</v>
      </c>
      <c r="K443" s="130" t="s">
        <v>1525</v>
      </c>
      <c r="L443" s="598">
        <v>367.06000000000006</v>
      </c>
      <c r="Q443" t="s">
        <v>1383</v>
      </c>
      <c r="R443">
        <v>132.7903</v>
      </c>
    </row>
    <row r="444" spans="1:18">
      <c r="A444" t="s">
        <v>992</v>
      </c>
      <c r="B444" t="s">
        <v>1236</v>
      </c>
      <c r="C444" t="s">
        <v>994</v>
      </c>
      <c r="D444">
        <v>199.85999999999999</v>
      </c>
      <c r="E444" s="128">
        <v>43831</v>
      </c>
      <c r="F444" s="128">
        <v>44196</v>
      </c>
      <c r="G4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199.85999999999999</v>
      </c>
      <c r="H444" s="128" t="str">
        <f t="shared" ca="1" si="6"/>
        <v>NO</v>
      </c>
      <c r="K444" s="130" t="s">
        <v>1526</v>
      </c>
      <c r="L444" s="598">
        <v>3362.8399999999997</v>
      </c>
      <c r="Q444" t="s">
        <v>1518</v>
      </c>
      <c r="R444">
        <v>124.50961</v>
      </c>
    </row>
    <row r="445" spans="1:18">
      <c r="A445" t="s">
        <v>992</v>
      </c>
      <c r="B445" t="s">
        <v>1236</v>
      </c>
      <c r="C445" t="s">
        <v>994</v>
      </c>
      <c r="D445">
        <v>169.6</v>
      </c>
      <c r="E445" s="128">
        <v>43831</v>
      </c>
      <c r="F445" s="128">
        <v>44196</v>
      </c>
      <c r="G4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169.6</v>
      </c>
      <c r="H445" s="128" t="str">
        <f t="shared" ca="1" si="6"/>
        <v>NO</v>
      </c>
      <c r="K445" s="130" t="s">
        <v>1527</v>
      </c>
      <c r="L445" s="598">
        <v>267.75</v>
      </c>
      <c r="Q445" t="s">
        <v>1520</v>
      </c>
      <c r="R445">
        <v>125.35459</v>
      </c>
    </row>
    <row r="446" spans="1:18">
      <c r="A446" t="s">
        <v>992</v>
      </c>
      <c r="B446" t="s">
        <v>1236</v>
      </c>
      <c r="C446" t="s">
        <v>994</v>
      </c>
      <c r="D446">
        <v>196.87</v>
      </c>
      <c r="E446" s="128">
        <v>44197</v>
      </c>
      <c r="F446" s="128">
        <v>44561</v>
      </c>
      <c r="G4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196.87</v>
      </c>
      <c r="H446" s="128" t="str">
        <f t="shared" ca="1" si="6"/>
        <v>NO</v>
      </c>
      <c r="K446" s="130" t="s">
        <v>1528</v>
      </c>
      <c r="L446" s="598">
        <v>1011.395</v>
      </c>
      <c r="Q446" t="s">
        <v>1384</v>
      </c>
      <c r="R446">
        <v>182.91285999999999</v>
      </c>
    </row>
    <row r="447" spans="1:18">
      <c r="A447" t="s">
        <v>992</v>
      </c>
      <c r="B447" t="s">
        <v>1236</v>
      </c>
      <c r="C447" t="s">
        <v>994</v>
      </c>
      <c r="D447">
        <v>165.5</v>
      </c>
      <c r="E447" s="128">
        <v>44197</v>
      </c>
      <c r="F447" s="128">
        <v>44561</v>
      </c>
      <c r="G4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165.5</v>
      </c>
      <c r="H447" s="128" t="str">
        <f t="shared" ca="1" si="6"/>
        <v>NO</v>
      </c>
      <c r="K447" s="130" t="s">
        <v>1529</v>
      </c>
      <c r="L447" s="598">
        <v>1554.7600000000002</v>
      </c>
      <c r="Q447" t="s">
        <v>1385</v>
      </c>
      <c r="R447">
        <v>178.3203</v>
      </c>
    </row>
    <row r="448" spans="1:18">
      <c r="A448" t="s">
        <v>992</v>
      </c>
      <c r="B448" t="s">
        <v>1236</v>
      </c>
      <c r="C448" t="s">
        <v>994</v>
      </c>
      <c r="D448">
        <v>193.92</v>
      </c>
      <c r="E448" s="128">
        <v>44562</v>
      </c>
      <c r="F448" s="128">
        <v>47483</v>
      </c>
      <c r="G4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193.92</v>
      </c>
      <c r="H448" s="128" t="str">
        <f t="shared" ca="1" si="6"/>
        <v>YES</v>
      </c>
      <c r="K448" s="130" t="s">
        <v>256</v>
      </c>
      <c r="L448" s="598">
        <v>707.91</v>
      </c>
      <c r="Q448" t="s">
        <v>1386</v>
      </c>
      <c r="R448">
        <v>68.680909999999997</v>
      </c>
    </row>
    <row r="449" spans="1:18">
      <c r="A449" t="s">
        <v>992</v>
      </c>
      <c r="B449" t="s">
        <v>1236</v>
      </c>
      <c r="C449" t="s">
        <v>994</v>
      </c>
      <c r="D449">
        <v>161.5</v>
      </c>
      <c r="E449" s="128">
        <v>44562</v>
      </c>
      <c r="F449" s="128">
        <v>47483</v>
      </c>
      <c r="G4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161.5</v>
      </c>
      <c r="H449" s="128" t="str">
        <f t="shared" ca="1" si="6"/>
        <v>YES</v>
      </c>
      <c r="K449" s="130" t="s">
        <v>1530</v>
      </c>
      <c r="L449" s="598">
        <v>1378.6999999999998</v>
      </c>
      <c r="Q449" t="s">
        <v>1387</v>
      </c>
      <c r="R449">
        <v>77.29965</v>
      </c>
    </row>
    <row r="450" spans="1:18">
      <c r="A450" t="s">
        <v>992</v>
      </c>
      <c r="B450" t="s">
        <v>1237</v>
      </c>
      <c r="C450" t="s">
        <v>994</v>
      </c>
      <c r="D450">
        <v>195</v>
      </c>
      <c r="E450" s="128">
        <v>43101</v>
      </c>
      <c r="F450" s="128">
        <v>43465</v>
      </c>
      <c r="G4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</v>
      </c>
      <c r="H450" s="128" t="str">
        <f t="shared" ref="H450:H513" ca="1" si="7">IF(OR(F450=0,F450&gt;TODAY()),"YES","NO")</f>
        <v>NO</v>
      </c>
      <c r="K450" s="130" t="s">
        <v>805</v>
      </c>
      <c r="L450" s="598">
        <v>792.19999999999993</v>
      </c>
      <c r="Q450" t="s">
        <v>1388</v>
      </c>
      <c r="R450">
        <v>88.070520000000002</v>
      </c>
    </row>
    <row r="451" spans="1:18">
      <c r="A451" t="s">
        <v>992</v>
      </c>
      <c r="B451" t="s">
        <v>1237</v>
      </c>
      <c r="C451" t="s">
        <v>994</v>
      </c>
      <c r="D451">
        <v>190.00000000000003</v>
      </c>
      <c r="E451" s="128">
        <v>43466</v>
      </c>
      <c r="F451" s="128">
        <v>43830</v>
      </c>
      <c r="G4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190.00000000000003</v>
      </c>
      <c r="H451" s="128" t="str">
        <f t="shared" ca="1" si="7"/>
        <v>NO</v>
      </c>
      <c r="K451" s="130" t="s">
        <v>1531</v>
      </c>
      <c r="L451" s="598">
        <v>1312</v>
      </c>
      <c r="Q451" t="s">
        <v>1389</v>
      </c>
      <c r="R451">
        <v>145.8647</v>
      </c>
    </row>
    <row r="452" spans="1:18">
      <c r="A452" t="s">
        <v>992</v>
      </c>
      <c r="B452" t="s">
        <v>1237</v>
      </c>
      <c r="C452" t="s">
        <v>994</v>
      </c>
      <c r="D452">
        <v>185</v>
      </c>
      <c r="E452" s="128">
        <v>43831</v>
      </c>
      <c r="F452" s="128">
        <v>44196</v>
      </c>
      <c r="G4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185</v>
      </c>
      <c r="H452" s="128" t="str">
        <f t="shared" ca="1" si="7"/>
        <v>NO</v>
      </c>
      <c r="K452" s="130" t="s">
        <v>1533</v>
      </c>
      <c r="L452" s="598">
        <v>1071</v>
      </c>
      <c r="Q452" t="s">
        <v>1390</v>
      </c>
      <c r="R452">
        <v>1389.3537099999999</v>
      </c>
    </row>
    <row r="453" spans="1:18">
      <c r="A453" t="s">
        <v>992</v>
      </c>
      <c r="B453" t="s">
        <v>1237</v>
      </c>
      <c r="C453" t="s">
        <v>994</v>
      </c>
      <c r="D453">
        <v>178</v>
      </c>
      <c r="E453" s="128">
        <v>44197</v>
      </c>
      <c r="F453" s="128">
        <v>44561</v>
      </c>
      <c r="G4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178</v>
      </c>
      <c r="H453" s="128" t="str">
        <f t="shared" ca="1" si="7"/>
        <v>NO</v>
      </c>
      <c r="K453" s="130" t="s">
        <v>1534</v>
      </c>
      <c r="L453" s="598">
        <v>1552.95</v>
      </c>
      <c r="Q453" t="s">
        <v>1391</v>
      </c>
      <c r="R453">
        <v>58.710300000000004</v>
      </c>
    </row>
    <row r="454" spans="1:18">
      <c r="A454" t="s">
        <v>992</v>
      </c>
      <c r="B454" t="s">
        <v>1237</v>
      </c>
      <c r="C454" t="s">
        <v>994</v>
      </c>
      <c r="D454">
        <v>173</v>
      </c>
      <c r="E454" s="128">
        <v>44562</v>
      </c>
      <c r="F454" s="128">
        <v>47483</v>
      </c>
      <c r="G4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173</v>
      </c>
      <c r="H454" s="128" t="str">
        <f t="shared" ca="1" si="7"/>
        <v>YES</v>
      </c>
      <c r="K454" s="130" t="s">
        <v>1535</v>
      </c>
      <c r="L454" s="598">
        <v>1657.5</v>
      </c>
      <c r="Q454" t="s">
        <v>1392</v>
      </c>
      <c r="R454">
        <v>374.21128999999996</v>
      </c>
    </row>
    <row r="455" spans="1:18">
      <c r="A455" t="s">
        <v>992</v>
      </c>
      <c r="B455" t="s">
        <v>1238</v>
      </c>
      <c r="C455" t="s">
        <v>994</v>
      </c>
      <c r="D455">
        <v>195</v>
      </c>
      <c r="E455" s="128">
        <v>43101</v>
      </c>
      <c r="F455" s="128">
        <v>43465</v>
      </c>
      <c r="G4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</v>
      </c>
      <c r="H455" s="128" t="str">
        <f t="shared" ca="1" si="7"/>
        <v>NO</v>
      </c>
      <c r="K455" s="130" t="s">
        <v>1536</v>
      </c>
      <c r="L455" s="598">
        <v>2180</v>
      </c>
      <c r="Q455" t="s">
        <v>1393</v>
      </c>
      <c r="R455">
        <v>660.23784000000001</v>
      </c>
    </row>
    <row r="456" spans="1:18">
      <c r="A456" t="s">
        <v>992</v>
      </c>
      <c r="B456" t="s">
        <v>1238</v>
      </c>
      <c r="C456" t="s">
        <v>994</v>
      </c>
      <c r="D456">
        <v>190.00000000000003</v>
      </c>
      <c r="E456" s="128">
        <v>43466</v>
      </c>
      <c r="F456" s="128">
        <v>43830</v>
      </c>
      <c r="G4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190.00000000000003</v>
      </c>
      <c r="H456" s="128" t="str">
        <f t="shared" ca="1" si="7"/>
        <v>NO</v>
      </c>
      <c r="K456" s="130" t="s">
        <v>1537</v>
      </c>
      <c r="L456" s="598">
        <v>1141</v>
      </c>
      <c r="Q456" t="s">
        <v>1394</v>
      </c>
      <c r="R456">
        <v>1118.00784</v>
      </c>
    </row>
    <row r="457" spans="1:18">
      <c r="A457" t="s">
        <v>992</v>
      </c>
      <c r="B457" t="s">
        <v>1238</v>
      </c>
      <c r="C457" t="s">
        <v>994</v>
      </c>
      <c r="D457">
        <v>185.9</v>
      </c>
      <c r="E457" s="128">
        <v>43831</v>
      </c>
      <c r="F457" s="128">
        <v>44196</v>
      </c>
      <c r="G4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185.9</v>
      </c>
      <c r="H457" s="128" t="str">
        <f t="shared" ca="1" si="7"/>
        <v>NO</v>
      </c>
      <c r="K457" s="130" t="s">
        <v>1538</v>
      </c>
      <c r="L457" s="598">
        <v>1326</v>
      </c>
      <c r="Q457" t="s">
        <v>1395</v>
      </c>
      <c r="R457">
        <v>142.54459</v>
      </c>
    </row>
    <row r="458" spans="1:18">
      <c r="A458" t="s">
        <v>992</v>
      </c>
      <c r="B458" t="s">
        <v>1238</v>
      </c>
      <c r="C458" t="s">
        <v>994</v>
      </c>
      <c r="D458">
        <v>178</v>
      </c>
      <c r="E458" s="128">
        <v>44197</v>
      </c>
      <c r="F458" s="128">
        <v>44561</v>
      </c>
      <c r="G4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178</v>
      </c>
      <c r="H458" s="128" t="str">
        <f t="shared" ca="1" si="7"/>
        <v>NO</v>
      </c>
      <c r="K458" s="130" t="s">
        <v>1539</v>
      </c>
      <c r="L458" s="598">
        <v>1014.7</v>
      </c>
      <c r="Q458" t="s">
        <v>1532</v>
      </c>
      <c r="R458">
        <v>60.166590000000006</v>
      </c>
    </row>
    <row r="459" spans="1:18">
      <c r="A459" t="s">
        <v>992</v>
      </c>
      <c r="B459" t="s">
        <v>1238</v>
      </c>
      <c r="C459" t="s">
        <v>994</v>
      </c>
      <c r="D459">
        <v>173</v>
      </c>
      <c r="E459" s="128">
        <v>44562</v>
      </c>
      <c r="F459" s="128">
        <v>47483</v>
      </c>
      <c r="G4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173</v>
      </c>
      <c r="H459" s="128" t="str">
        <f t="shared" ca="1" si="7"/>
        <v>YES</v>
      </c>
      <c r="K459" s="130" t="s">
        <v>1540</v>
      </c>
      <c r="L459" s="598">
        <v>706.35</v>
      </c>
      <c r="Q459" t="s">
        <v>1396</v>
      </c>
      <c r="R459">
        <v>74.470690000000005</v>
      </c>
    </row>
    <row r="460" spans="1:18">
      <c r="A460" t="s">
        <v>992</v>
      </c>
      <c r="B460" t="s">
        <v>1239</v>
      </c>
      <c r="C460" t="s">
        <v>994</v>
      </c>
      <c r="D460">
        <v>357</v>
      </c>
      <c r="E460" s="128">
        <v>43101</v>
      </c>
      <c r="F460" s="128">
        <v>43465</v>
      </c>
      <c r="G4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357</v>
      </c>
      <c r="H460" s="128" t="str">
        <f t="shared" ca="1" si="7"/>
        <v>NO</v>
      </c>
      <c r="K460" s="130" t="s">
        <v>1541</v>
      </c>
      <c r="L460" s="598">
        <v>1153.71</v>
      </c>
      <c r="Q460" t="s">
        <v>1397</v>
      </c>
      <c r="R460">
        <v>845.92358999999999</v>
      </c>
    </row>
    <row r="461" spans="1:18">
      <c r="A461" t="s">
        <v>992</v>
      </c>
      <c r="B461" t="s">
        <v>1239</v>
      </c>
      <c r="C461" t="s">
        <v>994</v>
      </c>
      <c r="D461">
        <v>348</v>
      </c>
      <c r="E461" s="128">
        <v>43466</v>
      </c>
      <c r="F461" s="128">
        <v>43830</v>
      </c>
      <c r="G4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348</v>
      </c>
      <c r="H461" s="128" t="str">
        <f t="shared" ca="1" si="7"/>
        <v>NO</v>
      </c>
      <c r="K461" s="130" t="s">
        <v>1542</v>
      </c>
      <c r="L461" s="598">
        <v>1450</v>
      </c>
      <c r="Q461" t="s">
        <v>1398</v>
      </c>
      <c r="R461">
        <v>349.86458999999996</v>
      </c>
    </row>
    <row r="462" spans="1:18">
      <c r="A462" t="s">
        <v>992</v>
      </c>
      <c r="B462" t="s">
        <v>1239</v>
      </c>
      <c r="C462" t="s">
        <v>994</v>
      </c>
      <c r="D462">
        <v>340</v>
      </c>
      <c r="E462" s="128">
        <v>43831</v>
      </c>
      <c r="F462" s="128">
        <v>44196</v>
      </c>
      <c r="G4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340</v>
      </c>
      <c r="H462" s="128" t="str">
        <f t="shared" ca="1" si="7"/>
        <v>NO</v>
      </c>
      <c r="K462" s="130" t="s">
        <v>1543</v>
      </c>
      <c r="L462" s="598">
        <v>283.2</v>
      </c>
      <c r="Q462" t="s">
        <v>1399</v>
      </c>
      <c r="R462">
        <v>45.460679999999996</v>
      </c>
    </row>
    <row r="463" spans="1:18">
      <c r="A463" t="s">
        <v>992</v>
      </c>
      <c r="B463" t="s">
        <v>1239</v>
      </c>
      <c r="C463" t="s">
        <v>994</v>
      </c>
      <c r="D463">
        <v>332</v>
      </c>
      <c r="E463" s="128">
        <v>44197</v>
      </c>
      <c r="F463" s="128">
        <v>44561</v>
      </c>
      <c r="G4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332</v>
      </c>
      <c r="H463" s="128" t="str">
        <f t="shared" ca="1" si="7"/>
        <v>NO</v>
      </c>
      <c r="K463" s="130" t="s">
        <v>1544</v>
      </c>
      <c r="L463" s="598">
        <v>702</v>
      </c>
      <c r="Q463" t="s">
        <v>1400</v>
      </c>
      <c r="R463">
        <v>72.063220000000001</v>
      </c>
    </row>
    <row r="464" spans="1:18">
      <c r="A464" t="s">
        <v>992</v>
      </c>
      <c r="B464" t="s">
        <v>1239</v>
      </c>
      <c r="C464" t="s">
        <v>994</v>
      </c>
      <c r="D464">
        <v>324</v>
      </c>
      <c r="E464" s="128">
        <v>44562</v>
      </c>
      <c r="F464" s="128">
        <v>47483</v>
      </c>
      <c r="G4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324</v>
      </c>
      <c r="H464" s="128" t="str">
        <f t="shared" ca="1" si="7"/>
        <v>YES</v>
      </c>
      <c r="K464" s="130" t="s">
        <v>1545</v>
      </c>
      <c r="L464" s="598">
        <v>721.1160000000001</v>
      </c>
      <c r="Q464" t="s">
        <v>1401</v>
      </c>
      <c r="R464">
        <v>226.99310000000003</v>
      </c>
    </row>
    <row r="465" spans="1:18">
      <c r="A465" t="s">
        <v>992</v>
      </c>
      <c r="B465" t="s">
        <v>1240</v>
      </c>
      <c r="C465" t="s">
        <v>994</v>
      </c>
      <c r="D465">
        <v>323.5</v>
      </c>
      <c r="E465" s="128">
        <v>36526</v>
      </c>
      <c r="F465" s="128">
        <v>45291</v>
      </c>
      <c r="G4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323.5</v>
      </c>
      <c r="H465" s="128" t="str">
        <f t="shared" ca="1" si="7"/>
        <v>NO</v>
      </c>
      <c r="K465" s="130" t="s">
        <v>258</v>
      </c>
      <c r="L465" s="598">
        <v>1227.5</v>
      </c>
      <c r="Q465" t="s">
        <v>1402</v>
      </c>
      <c r="R465">
        <v>100.50869</v>
      </c>
    </row>
    <row r="466" spans="1:18">
      <c r="A466" t="s">
        <v>992</v>
      </c>
      <c r="B466" t="s">
        <v>1241</v>
      </c>
      <c r="C466" t="s">
        <v>994</v>
      </c>
      <c r="D466">
        <v>150</v>
      </c>
      <c r="E466" s="128">
        <v>36526</v>
      </c>
      <c r="F466" s="128">
        <v>47483</v>
      </c>
      <c r="G4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466" s="128" t="str">
        <f t="shared" ca="1" si="7"/>
        <v>YES</v>
      </c>
      <c r="K466" s="130" t="s">
        <v>1546</v>
      </c>
      <c r="L466" s="598">
        <v>884.8</v>
      </c>
      <c r="Q466" t="s">
        <v>1403</v>
      </c>
      <c r="R466">
        <v>190.37690999999998</v>
      </c>
    </row>
    <row r="467" spans="1:18">
      <c r="A467" t="s">
        <v>992</v>
      </c>
      <c r="B467" t="s">
        <v>1240</v>
      </c>
      <c r="C467" t="s">
        <v>994</v>
      </c>
      <c r="D467">
        <v>294.10000000000002</v>
      </c>
      <c r="E467" s="128">
        <v>45292</v>
      </c>
      <c r="F467" s="128">
        <v>47482</v>
      </c>
      <c r="G4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294.10000000000002</v>
      </c>
      <c r="H467" s="128" t="str">
        <f t="shared" ca="1" si="7"/>
        <v>YES</v>
      </c>
      <c r="K467" s="130" t="s">
        <v>1547</v>
      </c>
      <c r="L467" s="598">
        <v>1121</v>
      </c>
      <c r="Q467" t="s">
        <v>1404</v>
      </c>
      <c r="R467">
        <v>109.57868999999999</v>
      </c>
    </row>
    <row r="468" spans="1:18">
      <c r="A468" t="s">
        <v>992</v>
      </c>
      <c r="B468" t="s">
        <v>1242</v>
      </c>
      <c r="C468" t="s">
        <v>994</v>
      </c>
      <c r="D468">
        <v>225</v>
      </c>
      <c r="E468" s="128">
        <v>36526</v>
      </c>
      <c r="F468" s="128">
        <v>44175</v>
      </c>
      <c r="G4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</v>
      </c>
      <c r="H468" s="128" t="str">
        <f t="shared" ca="1" si="7"/>
        <v>NO</v>
      </c>
      <c r="K468" s="130" t="s">
        <v>1548</v>
      </c>
      <c r="L468" s="598">
        <v>10000</v>
      </c>
      <c r="Q468" t="s">
        <v>1405</v>
      </c>
      <c r="R468">
        <v>180.45748</v>
      </c>
    </row>
    <row r="469" spans="1:18">
      <c r="A469" t="s">
        <v>992</v>
      </c>
      <c r="B469" t="s">
        <v>1242</v>
      </c>
      <c r="C469" t="s">
        <v>994</v>
      </c>
      <c r="D469">
        <v>300</v>
      </c>
      <c r="E469" s="128">
        <v>44176</v>
      </c>
      <c r="F469" s="128">
        <v>47483</v>
      </c>
      <c r="G4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300</v>
      </c>
      <c r="H469" s="128" t="str">
        <f t="shared" ca="1" si="7"/>
        <v>YES</v>
      </c>
      <c r="K469" s="130" t="s">
        <v>1549</v>
      </c>
      <c r="L469" s="598">
        <v>627.70000000000005</v>
      </c>
      <c r="Q469" t="s">
        <v>1406</v>
      </c>
      <c r="R469">
        <v>100.60160999999999</v>
      </c>
    </row>
    <row r="470" spans="1:18">
      <c r="A470" t="s">
        <v>992</v>
      </c>
      <c r="B470" t="s">
        <v>1243</v>
      </c>
      <c r="C470" t="s">
        <v>994</v>
      </c>
      <c r="D470">
        <v>88</v>
      </c>
      <c r="E470" s="128">
        <v>36526</v>
      </c>
      <c r="F470" s="128">
        <v>47483</v>
      </c>
      <c r="G4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</v>
      </c>
      <c r="H470" s="128" t="str">
        <f t="shared" ca="1" si="7"/>
        <v>YES</v>
      </c>
      <c r="K470" s="130" t="s">
        <v>1550</v>
      </c>
      <c r="L470" s="598">
        <v>965.99999999999989</v>
      </c>
      <c r="Q470" t="s">
        <v>1407</v>
      </c>
      <c r="R470">
        <v>232.42509999999999</v>
      </c>
    </row>
    <row r="471" spans="1:18">
      <c r="A471" t="s">
        <v>992</v>
      </c>
      <c r="B471" t="s">
        <v>1244</v>
      </c>
      <c r="C471" t="s">
        <v>994</v>
      </c>
      <c r="D471">
        <v>132</v>
      </c>
      <c r="E471" s="128">
        <v>36526</v>
      </c>
      <c r="F471" s="128">
        <v>47483</v>
      </c>
      <c r="G4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132</v>
      </c>
      <c r="H471" s="128" t="str">
        <f t="shared" ca="1" si="7"/>
        <v>YES</v>
      </c>
      <c r="K471" s="130" t="s">
        <v>1551</v>
      </c>
      <c r="L471" s="598">
        <v>255</v>
      </c>
      <c r="Q471" t="s">
        <v>1409</v>
      </c>
      <c r="R471">
        <v>213.83510000000001</v>
      </c>
    </row>
    <row r="472" spans="1:18">
      <c r="A472" t="s">
        <v>992</v>
      </c>
      <c r="B472" t="s">
        <v>1245</v>
      </c>
      <c r="C472" t="s">
        <v>994</v>
      </c>
      <c r="D472">
        <v>221</v>
      </c>
      <c r="E472" s="128">
        <v>36526</v>
      </c>
      <c r="F472" s="128">
        <v>47483</v>
      </c>
      <c r="G4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221</v>
      </c>
      <c r="H472" s="128" t="str">
        <f t="shared" ca="1" si="7"/>
        <v>YES</v>
      </c>
      <c r="K472" s="130" t="s">
        <v>1552</v>
      </c>
      <c r="L472" s="598">
        <v>350</v>
      </c>
      <c r="Q472" t="s">
        <v>1410</v>
      </c>
      <c r="R472">
        <v>108.5223</v>
      </c>
    </row>
    <row r="473" spans="1:18">
      <c r="A473" t="s">
        <v>992</v>
      </c>
      <c r="B473" t="s">
        <v>1246</v>
      </c>
      <c r="C473" t="s">
        <v>994</v>
      </c>
      <c r="D473">
        <v>541</v>
      </c>
      <c r="E473" s="128">
        <v>36526</v>
      </c>
      <c r="F473" s="128">
        <v>43100</v>
      </c>
      <c r="G4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541</v>
      </c>
      <c r="H473" s="128" t="str">
        <f t="shared" ca="1" si="7"/>
        <v>NO</v>
      </c>
      <c r="K473" s="130" t="s">
        <v>259</v>
      </c>
      <c r="L473" s="598">
        <v>310</v>
      </c>
      <c r="Q473" t="s">
        <v>1412</v>
      </c>
      <c r="R473">
        <v>440.45871999999997</v>
      </c>
    </row>
    <row r="474" spans="1:18">
      <c r="A474" t="s">
        <v>992</v>
      </c>
      <c r="B474" t="s">
        <v>1246</v>
      </c>
      <c r="C474" t="s">
        <v>994</v>
      </c>
      <c r="D474">
        <v>571.30000000000007</v>
      </c>
      <c r="E474" s="128">
        <v>43101</v>
      </c>
      <c r="F474" s="128">
        <v>43465</v>
      </c>
      <c r="G4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571.30000000000007</v>
      </c>
      <c r="H474" s="128" t="str">
        <f t="shared" ca="1" si="7"/>
        <v>NO</v>
      </c>
      <c r="K474" s="130" t="s">
        <v>1553</v>
      </c>
      <c r="L474" s="598">
        <v>908.25000000000011</v>
      </c>
      <c r="Q474" t="s">
        <v>1413</v>
      </c>
      <c r="R474">
        <v>113.85433999999999</v>
      </c>
    </row>
    <row r="475" spans="1:18">
      <c r="A475" t="s">
        <v>992</v>
      </c>
      <c r="B475" t="s">
        <v>1246</v>
      </c>
      <c r="C475" t="s">
        <v>994</v>
      </c>
      <c r="D475">
        <v>559.9</v>
      </c>
      <c r="E475" s="128">
        <v>43831</v>
      </c>
      <c r="F475" s="128">
        <v>44196</v>
      </c>
      <c r="G4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559.9</v>
      </c>
      <c r="H475" s="128" t="str">
        <f t="shared" ca="1" si="7"/>
        <v>NO</v>
      </c>
      <c r="K475" s="130" t="s">
        <v>1554</v>
      </c>
      <c r="L475" s="598">
        <v>621.59999999999991</v>
      </c>
      <c r="Q475" t="s">
        <v>1414</v>
      </c>
      <c r="R475">
        <v>115.66794999999999</v>
      </c>
    </row>
    <row r="476" spans="1:18">
      <c r="A476" t="s">
        <v>992</v>
      </c>
      <c r="B476" t="s">
        <v>1246</v>
      </c>
      <c r="C476" t="s">
        <v>994</v>
      </c>
      <c r="D476">
        <v>543.1</v>
      </c>
      <c r="E476" s="128">
        <v>44197</v>
      </c>
      <c r="F476" s="128">
        <v>44561</v>
      </c>
      <c r="G4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543.1</v>
      </c>
      <c r="H476" s="128" t="str">
        <f t="shared" ca="1" si="7"/>
        <v>NO</v>
      </c>
      <c r="K476" s="130" t="s">
        <v>1555</v>
      </c>
      <c r="L476" s="598">
        <v>1801</v>
      </c>
      <c r="Q476" t="s">
        <v>1415</v>
      </c>
      <c r="R476">
        <v>148.43555999999998</v>
      </c>
    </row>
    <row r="477" spans="1:18">
      <c r="A477" t="s">
        <v>992</v>
      </c>
      <c r="B477" t="s">
        <v>1246</v>
      </c>
      <c r="C477" t="s">
        <v>994</v>
      </c>
      <c r="D477">
        <v>537.6</v>
      </c>
      <c r="E477" s="128">
        <v>44562</v>
      </c>
      <c r="F477" s="128">
        <v>44834</v>
      </c>
      <c r="G4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537.6</v>
      </c>
      <c r="H477" s="128" t="str">
        <f t="shared" ca="1" si="7"/>
        <v>NO</v>
      </c>
      <c r="K477" s="130" t="s">
        <v>1556</v>
      </c>
      <c r="L477" s="598">
        <v>1079</v>
      </c>
      <c r="Q477" t="s">
        <v>1417</v>
      </c>
      <c r="R477">
        <v>57.801810000000003</v>
      </c>
    </row>
    <row r="478" spans="1:18">
      <c r="A478" t="s">
        <v>992</v>
      </c>
      <c r="B478" t="s">
        <v>1246</v>
      </c>
      <c r="C478" t="s">
        <v>994</v>
      </c>
      <c r="D478">
        <v>564.48</v>
      </c>
      <c r="E478" s="128">
        <v>44835</v>
      </c>
      <c r="F478" s="128">
        <v>45016</v>
      </c>
      <c r="G4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564.48</v>
      </c>
      <c r="H478" s="128" t="str">
        <f t="shared" ca="1" si="7"/>
        <v>NO</v>
      </c>
      <c r="K478" s="130" t="s">
        <v>1557</v>
      </c>
      <c r="L478" s="598">
        <v>1620.0000000000002</v>
      </c>
      <c r="Q478" t="s">
        <v>1419</v>
      </c>
      <c r="R478">
        <v>75.765450000000001</v>
      </c>
    </row>
    <row r="479" spans="1:18">
      <c r="A479" t="s">
        <v>992</v>
      </c>
      <c r="B479" t="s">
        <v>1247</v>
      </c>
      <c r="C479" t="s">
        <v>994</v>
      </c>
      <c r="D479">
        <v>541</v>
      </c>
      <c r="E479" s="128">
        <v>36526</v>
      </c>
      <c r="F479" s="128">
        <v>43100</v>
      </c>
      <c r="G4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541</v>
      </c>
      <c r="H479" s="128" t="str">
        <f t="shared" ca="1" si="7"/>
        <v>NO</v>
      </c>
      <c r="K479" s="130" t="s">
        <v>1558</v>
      </c>
      <c r="L479" s="598">
        <v>843</v>
      </c>
      <c r="Q479" t="s">
        <v>1421</v>
      </c>
      <c r="R479">
        <v>69.636859999999999</v>
      </c>
    </row>
    <row r="480" spans="1:18">
      <c r="A480" t="s">
        <v>992</v>
      </c>
      <c r="B480" t="s">
        <v>1247</v>
      </c>
      <c r="C480" t="s">
        <v>994</v>
      </c>
      <c r="D480">
        <v>571.30000000000007</v>
      </c>
      <c r="E480" s="128">
        <v>43101</v>
      </c>
      <c r="F480" s="128">
        <v>43465</v>
      </c>
      <c r="G4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571.30000000000007</v>
      </c>
      <c r="H480" s="128" t="str">
        <f t="shared" ca="1" si="7"/>
        <v>NO</v>
      </c>
      <c r="K480" s="130" t="s">
        <v>1559</v>
      </c>
      <c r="L480" s="598">
        <v>4731</v>
      </c>
      <c r="Q480" t="s">
        <v>1423</v>
      </c>
      <c r="R480">
        <v>222.91318000000001</v>
      </c>
    </row>
    <row r="481" spans="1:18">
      <c r="A481" t="s">
        <v>992</v>
      </c>
      <c r="B481" t="s">
        <v>1247</v>
      </c>
      <c r="C481" t="s">
        <v>994</v>
      </c>
      <c r="D481">
        <v>559.9</v>
      </c>
      <c r="E481" s="128">
        <v>43831</v>
      </c>
      <c r="F481" s="128">
        <v>44196</v>
      </c>
      <c r="G4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559.9</v>
      </c>
      <c r="H481" s="128" t="str">
        <f t="shared" ca="1" si="7"/>
        <v>NO</v>
      </c>
      <c r="K481" s="130" t="s">
        <v>1560</v>
      </c>
      <c r="L481" s="598">
        <v>1252.6666666666667</v>
      </c>
      <c r="Q481" t="s">
        <v>1424</v>
      </c>
      <c r="R481">
        <v>113.97359000000002</v>
      </c>
    </row>
    <row r="482" spans="1:18">
      <c r="A482" t="s">
        <v>992</v>
      </c>
      <c r="B482" t="s">
        <v>1247</v>
      </c>
      <c r="C482" t="s">
        <v>994</v>
      </c>
      <c r="D482">
        <v>543.1</v>
      </c>
      <c r="E482" s="128">
        <v>44197</v>
      </c>
      <c r="F482" s="128">
        <v>44561</v>
      </c>
      <c r="G4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543.1</v>
      </c>
      <c r="H482" s="128" t="str">
        <f t="shared" ca="1" si="7"/>
        <v>NO</v>
      </c>
      <c r="K482" s="130" t="s">
        <v>260</v>
      </c>
      <c r="L482" s="598">
        <v>1867.5</v>
      </c>
      <c r="Q482" t="s">
        <v>1426</v>
      </c>
      <c r="R482">
        <v>154.24395999999999</v>
      </c>
    </row>
    <row r="483" spans="1:18">
      <c r="A483" t="s">
        <v>992</v>
      </c>
      <c r="B483" t="s">
        <v>1247</v>
      </c>
      <c r="C483" t="s">
        <v>994</v>
      </c>
      <c r="D483">
        <v>537.6</v>
      </c>
      <c r="E483" s="128">
        <v>44562</v>
      </c>
      <c r="F483" s="128">
        <v>44834</v>
      </c>
      <c r="G4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537.6</v>
      </c>
      <c r="H483" s="128" t="str">
        <f t="shared" ca="1" si="7"/>
        <v>NO</v>
      </c>
      <c r="K483" s="130" t="s">
        <v>1091</v>
      </c>
      <c r="L483" s="598">
        <v>1940.0000000000002</v>
      </c>
      <c r="Q483" t="s">
        <v>1428</v>
      </c>
      <c r="R483">
        <v>55.402299999999997</v>
      </c>
    </row>
    <row r="484" spans="1:18">
      <c r="A484" t="s">
        <v>992</v>
      </c>
      <c r="B484" t="s">
        <v>1247</v>
      </c>
      <c r="C484" t="s">
        <v>994</v>
      </c>
      <c r="D484">
        <v>564.48</v>
      </c>
      <c r="E484" s="128">
        <v>44835</v>
      </c>
      <c r="F484" s="128">
        <v>45016</v>
      </c>
      <c r="G4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564.48</v>
      </c>
      <c r="H484" s="128" t="str">
        <f t="shared" ca="1" si="7"/>
        <v>NO</v>
      </c>
      <c r="K484" s="130" t="s">
        <v>1561</v>
      </c>
      <c r="L484" s="598">
        <v>1600</v>
      </c>
      <c r="Q484" t="s">
        <v>1430</v>
      </c>
      <c r="R484">
        <v>140.85509999999999</v>
      </c>
    </row>
    <row r="485" spans="1:18">
      <c r="A485" t="s">
        <v>992</v>
      </c>
      <c r="B485" t="s">
        <v>254</v>
      </c>
      <c r="C485" t="s">
        <v>994</v>
      </c>
      <c r="D485">
        <v>360</v>
      </c>
      <c r="E485" s="128">
        <v>44197</v>
      </c>
      <c r="F485" s="128">
        <v>47483</v>
      </c>
      <c r="G4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360</v>
      </c>
      <c r="H485" s="128" t="str">
        <f t="shared" ca="1" si="7"/>
        <v>YES</v>
      </c>
      <c r="K485" s="130" t="s">
        <v>1562</v>
      </c>
      <c r="L485" s="598">
        <v>1229</v>
      </c>
      <c r="Q485" t="s">
        <v>1432</v>
      </c>
      <c r="R485">
        <v>114.92229999999999</v>
      </c>
    </row>
    <row r="486" spans="1:18">
      <c r="A486" t="s">
        <v>992</v>
      </c>
      <c r="B486" t="s">
        <v>254</v>
      </c>
      <c r="C486" t="s">
        <v>994</v>
      </c>
      <c r="D486">
        <v>415</v>
      </c>
      <c r="E486" s="128">
        <v>42736</v>
      </c>
      <c r="F486" s="128">
        <v>43100</v>
      </c>
      <c r="G4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415</v>
      </c>
      <c r="H486" s="128" t="str">
        <f t="shared" ca="1" si="7"/>
        <v>NO</v>
      </c>
      <c r="K486" s="130" t="s">
        <v>1563</v>
      </c>
      <c r="L486" s="598">
        <v>1890</v>
      </c>
      <c r="Q486" t="s">
        <v>1434</v>
      </c>
      <c r="R486">
        <v>74.6267</v>
      </c>
    </row>
    <row r="487" spans="1:18">
      <c r="A487" t="s">
        <v>992</v>
      </c>
      <c r="B487" t="s">
        <v>254</v>
      </c>
      <c r="C487" t="s">
        <v>994</v>
      </c>
      <c r="D487">
        <v>402.99999999999994</v>
      </c>
      <c r="E487" s="128">
        <v>43101</v>
      </c>
      <c r="F487" s="128">
        <v>43465</v>
      </c>
      <c r="G4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402.99999999999994</v>
      </c>
      <c r="H487" s="128" t="str">
        <f t="shared" ca="1" si="7"/>
        <v>NO</v>
      </c>
      <c r="K487" s="130" t="s">
        <v>1564</v>
      </c>
      <c r="L487" s="598">
        <v>1690.9999999999998</v>
      </c>
      <c r="Q487" t="s">
        <v>1436</v>
      </c>
      <c r="R487">
        <v>118.2423</v>
      </c>
    </row>
    <row r="488" spans="1:18">
      <c r="A488" t="s">
        <v>992</v>
      </c>
      <c r="B488" t="s">
        <v>254</v>
      </c>
      <c r="C488" t="s">
        <v>994</v>
      </c>
      <c r="D488">
        <v>382</v>
      </c>
      <c r="E488" s="128">
        <v>43466</v>
      </c>
      <c r="F488" s="128">
        <v>43657</v>
      </c>
      <c r="G4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382</v>
      </c>
      <c r="H488" s="128" t="str">
        <f t="shared" ca="1" si="7"/>
        <v>NO</v>
      </c>
      <c r="K488" s="130" t="s">
        <v>1565</v>
      </c>
      <c r="L488" s="598">
        <v>1118.3333333333333</v>
      </c>
      <c r="Q488" t="s">
        <v>1438</v>
      </c>
      <c r="R488">
        <v>86.908609999999996</v>
      </c>
    </row>
    <row r="489" spans="1:18">
      <c r="A489" t="s">
        <v>992</v>
      </c>
      <c r="B489" t="s">
        <v>254</v>
      </c>
      <c r="C489" t="s">
        <v>994</v>
      </c>
      <c r="D489">
        <v>396.59999999999997</v>
      </c>
      <c r="E489" s="128">
        <v>43658</v>
      </c>
      <c r="F489" s="128">
        <v>43830</v>
      </c>
      <c r="G4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396.59999999999997</v>
      </c>
      <c r="H489" s="128" t="str">
        <f t="shared" ca="1" si="7"/>
        <v>NO</v>
      </c>
      <c r="K489" s="130" t="s">
        <v>1566</v>
      </c>
      <c r="L489" s="598">
        <v>1031.25</v>
      </c>
      <c r="Q489" t="s">
        <v>1440</v>
      </c>
      <c r="R489">
        <v>462.00757999999996</v>
      </c>
    </row>
    <row r="490" spans="1:18">
      <c r="A490" t="s">
        <v>992</v>
      </c>
      <c r="B490" t="s">
        <v>254</v>
      </c>
      <c r="C490" t="s">
        <v>994</v>
      </c>
      <c r="D490">
        <v>380.00000000000006</v>
      </c>
      <c r="E490" s="128">
        <v>43831</v>
      </c>
      <c r="F490" s="128">
        <v>44926</v>
      </c>
      <c r="G4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490" s="128" t="str">
        <f t="shared" ca="1" si="7"/>
        <v>NO</v>
      </c>
      <c r="K490" s="130" t="s">
        <v>1567</v>
      </c>
      <c r="L490" s="598">
        <v>1308</v>
      </c>
      <c r="Q490" t="s">
        <v>1442</v>
      </c>
      <c r="R490">
        <v>468.76335999999998</v>
      </c>
    </row>
    <row r="491" spans="1:18">
      <c r="A491" t="s">
        <v>992</v>
      </c>
      <c r="B491" t="s">
        <v>254</v>
      </c>
      <c r="C491" t="s">
        <v>994</v>
      </c>
      <c r="D491">
        <v>362.7</v>
      </c>
      <c r="E491" s="128">
        <v>44927</v>
      </c>
      <c r="F491" s="128">
        <v>47483</v>
      </c>
      <c r="G4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362.7</v>
      </c>
      <c r="H491" s="128" t="str">
        <f t="shared" ca="1" si="7"/>
        <v>YES</v>
      </c>
      <c r="K491" s="130" t="s">
        <v>1568</v>
      </c>
      <c r="L491" s="598">
        <v>836.5</v>
      </c>
      <c r="Q491" t="s">
        <v>1444</v>
      </c>
      <c r="R491">
        <v>77.685220000000001</v>
      </c>
    </row>
    <row r="492" spans="1:18">
      <c r="A492" t="s">
        <v>992</v>
      </c>
      <c r="B492" t="s">
        <v>1248</v>
      </c>
      <c r="C492" t="s">
        <v>994</v>
      </c>
      <c r="D492">
        <v>263</v>
      </c>
      <c r="E492" s="128">
        <v>44197</v>
      </c>
      <c r="F492" s="128">
        <v>47483</v>
      </c>
      <c r="G4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263</v>
      </c>
      <c r="H492" s="128" t="str">
        <f t="shared" ca="1" si="7"/>
        <v>YES</v>
      </c>
      <c r="K492" s="130" t="s">
        <v>1569</v>
      </c>
      <c r="L492" s="598">
        <v>1110</v>
      </c>
      <c r="Q492" t="s">
        <v>1446</v>
      </c>
      <c r="R492">
        <v>120.07230000000001</v>
      </c>
    </row>
    <row r="493" spans="1:18">
      <c r="A493" t="s">
        <v>992</v>
      </c>
      <c r="B493" t="s">
        <v>1248</v>
      </c>
      <c r="C493" t="s">
        <v>994</v>
      </c>
      <c r="D493">
        <v>294</v>
      </c>
      <c r="E493" s="128">
        <v>36526</v>
      </c>
      <c r="F493" s="128">
        <v>43465</v>
      </c>
      <c r="G4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294</v>
      </c>
      <c r="H493" s="128" t="str">
        <f t="shared" ca="1" si="7"/>
        <v>NO</v>
      </c>
      <c r="K493" s="130" t="s">
        <v>1570</v>
      </c>
      <c r="L493" s="598">
        <v>823.33333333333337</v>
      </c>
      <c r="Q493" t="s">
        <v>1449</v>
      </c>
      <c r="R493">
        <v>56.465220000000002</v>
      </c>
    </row>
    <row r="494" spans="1:18">
      <c r="A494" t="s">
        <v>992</v>
      </c>
      <c r="B494" t="s">
        <v>1248</v>
      </c>
      <c r="C494" t="s">
        <v>994</v>
      </c>
      <c r="D494">
        <v>276.14999999999998</v>
      </c>
      <c r="E494" s="128">
        <v>44835</v>
      </c>
      <c r="F494" s="128">
        <v>45016</v>
      </c>
      <c r="G4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276.14999999999998</v>
      </c>
      <c r="H494" s="128" t="str">
        <f t="shared" ca="1" si="7"/>
        <v>NO</v>
      </c>
      <c r="K494" s="130" t="s">
        <v>1572</v>
      </c>
      <c r="L494" s="598">
        <v>1578</v>
      </c>
      <c r="Q494" t="s">
        <v>1450</v>
      </c>
      <c r="R494">
        <v>123.84026</v>
      </c>
    </row>
    <row r="495" spans="1:18">
      <c r="A495" t="s">
        <v>992</v>
      </c>
      <c r="B495" t="s">
        <v>1249</v>
      </c>
      <c r="C495" t="s">
        <v>994</v>
      </c>
      <c r="D495">
        <v>638</v>
      </c>
      <c r="E495" s="128">
        <v>36526</v>
      </c>
      <c r="F495" s="128">
        <v>43100</v>
      </c>
      <c r="G4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638</v>
      </c>
      <c r="H495" s="128" t="str">
        <f t="shared" ca="1" si="7"/>
        <v>NO</v>
      </c>
      <c r="K495" s="130" t="s">
        <v>867</v>
      </c>
      <c r="L495" s="598">
        <v>347</v>
      </c>
      <c r="Q495" t="s">
        <v>1451</v>
      </c>
      <c r="R495">
        <v>73.362299999999991</v>
      </c>
    </row>
    <row r="496" spans="1:18">
      <c r="A496" t="s">
        <v>992</v>
      </c>
      <c r="B496" t="s">
        <v>1249</v>
      </c>
      <c r="C496" t="s">
        <v>994</v>
      </c>
      <c r="D496">
        <v>618.90000000000009</v>
      </c>
      <c r="E496" s="128">
        <v>43101</v>
      </c>
      <c r="F496" s="128">
        <v>43465</v>
      </c>
      <c r="G4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618.90000000000009</v>
      </c>
      <c r="H496" s="128" t="str">
        <f t="shared" ca="1" si="7"/>
        <v>NO</v>
      </c>
      <c r="K496" s="130" t="s">
        <v>1573</v>
      </c>
      <c r="L496" s="598">
        <v>283</v>
      </c>
      <c r="Q496" t="s">
        <v>892</v>
      </c>
      <c r="R496">
        <v>64.373660000000001</v>
      </c>
    </row>
    <row r="497" spans="1:18">
      <c r="A497" t="s">
        <v>992</v>
      </c>
      <c r="B497" t="s">
        <v>1249</v>
      </c>
      <c r="C497" t="s">
        <v>994</v>
      </c>
      <c r="D497">
        <v>597</v>
      </c>
      <c r="E497" s="128">
        <v>43466</v>
      </c>
      <c r="F497" s="128">
        <v>43830</v>
      </c>
      <c r="G4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597</v>
      </c>
      <c r="H497" s="128" t="str">
        <f t="shared" ca="1" si="7"/>
        <v>NO</v>
      </c>
      <c r="K497" s="130" t="s">
        <v>1574</v>
      </c>
      <c r="L497" s="598">
        <v>394.99999999999994</v>
      </c>
      <c r="Q497" t="s">
        <v>1453</v>
      </c>
      <c r="R497">
        <v>360.06558999999999</v>
      </c>
    </row>
    <row r="498" spans="1:18">
      <c r="A498" t="s">
        <v>992</v>
      </c>
      <c r="B498" t="s">
        <v>1249</v>
      </c>
      <c r="C498" t="s">
        <v>994</v>
      </c>
      <c r="D498">
        <v>585.1</v>
      </c>
      <c r="E498" s="128">
        <v>43831</v>
      </c>
      <c r="F498" s="128">
        <v>44196</v>
      </c>
      <c r="G4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585.1</v>
      </c>
      <c r="H498" s="128" t="str">
        <f t="shared" ca="1" si="7"/>
        <v>NO</v>
      </c>
      <c r="K498" s="130" t="s">
        <v>1576</v>
      </c>
      <c r="L498" s="598">
        <v>761.5</v>
      </c>
      <c r="Q498" t="s">
        <v>1455</v>
      </c>
      <c r="R498">
        <v>250.75229999999999</v>
      </c>
    </row>
    <row r="499" spans="1:18">
      <c r="A499" t="s">
        <v>992</v>
      </c>
      <c r="B499" t="s">
        <v>1249</v>
      </c>
      <c r="C499" t="s">
        <v>994</v>
      </c>
      <c r="D499">
        <v>567.5</v>
      </c>
      <c r="E499" s="128">
        <v>44197</v>
      </c>
      <c r="F499" s="128">
        <v>44561</v>
      </c>
      <c r="G4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567.5</v>
      </c>
      <c r="H499" s="128" t="str">
        <f t="shared" ca="1" si="7"/>
        <v>NO</v>
      </c>
      <c r="K499" s="130" t="s">
        <v>907</v>
      </c>
      <c r="L499" s="598">
        <v>497.97</v>
      </c>
      <c r="Q499" t="s">
        <v>1457</v>
      </c>
      <c r="R499">
        <v>69.205640000000002</v>
      </c>
    </row>
    <row r="500" spans="1:18">
      <c r="A500" t="s">
        <v>992</v>
      </c>
      <c r="B500" t="s">
        <v>1249</v>
      </c>
      <c r="C500" t="s">
        <v>994</v>
      </c>
      <c r="D500">
        <v>561.80000000000007</v>
      </c>
      <c r="E500" s="128">
        <v>44562</v>
      </c>
      <c r="F500" s="128">
        <v>44834</v>
      </c>
      <c r="G5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561.80000000000007</v>
      </c>
      <c r="H500" s="128" t="str">
        <f t="shared" ca="1" si="7"/>
        <v>NO</v>
      </c>
      <c r="K500" s="130" t="s">
        <v>1577</v>
      </c>
      <c r="L500" s="598">
        <v>1085</v>
      </c>
      <c r="Q500" t="s">
        <v>1571</v>
      </c>
      <c r="R500">
        <v>158.99412999999998</v>
      </c>
    </row>
    <row r="501" spans="1:18">
      <c r="A501" t="s">
        <v>992</v>
      </c>
      <c r="B501" t="s">
        <v>1249</v>
      </c>
      <c r="C501" t="s">
        <v>994</v>
      </c>
      <c r="D501">
        <v>589.89</v>
      </c>
      <c r="E501" s="128">
        <v>44835</v>
      </c>
      <c r="F501" s="128">
        <v>45016</v>
      </c>
      <c r="G5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589.89</v>
      </c>
      <c r="H501" s="128" t="str">
        <f t="shared" ca="1" si="7"/>
        <v>NO</v>
      </c>
      <c r="K501" s="130" t="s">
        <v>1578</v>
      </c>
      <c r="L501" s="598">
        <v>1436</v>
      </c>
      <c r="Q501" t="s">
        <v>1458</v>
      </c>
      <c r="R501">
        <v>142.87459999999999</v>
      </c>
    </row>
    <row r="502" spans="1:18">
      <c r="A502" t="s">
        <v>992</v>
      </c>
      <c r="B502" t="s">
        <v>1250</v>
      </c>
      <c r="C502" t="s">
        <v>994</v>
      </c>
      <c r="D502">
        <v>682</v>
      </c>
      <c r="E502" s="128">
        <v>36526</v>
      </c>
      <c r="F502" s="128">
        <v>43100</v>
      </c>
      <c r="G5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682</v>
      </c>
      <c r="H502" s="128" t="str">
        <f t="shared" ca="1" si="7"/>
        <v>NO</v>
      </c>
      <c r="K502" s="130" t="s">
        <v>801</v>
      </c>
      <c r="L502" s="598">
        <v>826.19999999999993</v>
      </c>
      <c r="Q502" t="s">
        <v>1459</v>
      </c>
      <c r="R502">
        <v>265.61658999999997</v>
      </c>
    </row>
    <row r="503" spans="1:18">
      <c r="A503" t="s">
        <v>992</v>
      </c>
      <c r="B503" t="s">
        <v>1250</v>
      </c>
      <c r="C503" t="s">
        <v>994</v>
      </c>
      <c r="D503">
        <v>661.5</v>
      </c>
      <c r="E503" s="128">
        <v>43101</v>
      </c>
      <c r="F503" s="128">
        <v>43465</v>
      </c>
      <c r="G5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661.5</v>
      </c>
      <c r="H503" s="128" t="str">
        <f t="shared" ca="1" si="7"/>
        <v>NO</v>
      </c>
      <c r="K503" s="130" t="s">
        <v>1579</v>
      </c>
      <c r="L503" s="598">
        <v>760.00000000000011</v>
      </c>
      <c r="Q503" t="s">
        <v>1460</v>
      </c>
      <c r="R503">
        <v>169.74217999999999</v>
      </c>
    </row>
    <row r="504" spans="1:18">
      <c r="A504" t="s">
        <v>992</v>
      </c>
      <c r="B504" t="s">
        <v>1250</v>
      </c>
      <c r="C504" t="s">
        <v>994</v>
      </c>
      <c r="D504">
        <v>642</v>
      </c>
      <c r="E504" s="128">
        <v>43466</v>
      </c>
      <c r="F504" s="128">
        <v>43830</v>
      </c>
      <c r="G5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642</v>
      </c>
      <c r="H504" s="128" t="str">
        <f t="shared" ca="1" si="7"/>
        <v>NO</v>
      </c>
      <c r="K504" s="130" t="s">
        <v>1580</v>
      </c>
      <c r="L504" s="598">
        <v>747</v>
      </c>
      <c r="Q504" t="s">
        <v>1575</v>
      </c>
      <c r="R504">
        <v>276.66469999999998</v>
      </c>
    </row>
    <row r="505" spans="1:18">
      <c r="A505" t="s">
        <v>992</v>
      </c>
      <c r="B505" t="s">
        <v>1250</v>
      </c>
      <c r="C505" t="s">
        <v>994</v>
      </c>
      <c r="D505">
        <v>629.19999999999993</v>
      </c>
      <c r="E505" s="128">
        <v>43831</v>
      </c>
      <c r="F505" s="128">
        <v>44196</v>
      </c>
      <c r="G5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629.19999999999993</v>
      </c>
      <c r="H505" s="128" t="str">
        <f t="shared" ca="1" si="7"/>
        <v>NO</v>
      </c>
      <c r="K505" s="130" t="s">
        <v>1581</v>
      </c>
      <c r="L505" s="598">
        <v>690</v>
      </c>
      <c r="Q505" t="s">
        <v>1461</v>
      </c>
      <c r="R505">
        <v>318.02690999999999</v>
      </c>
    </row>
    <row r="506" spans="1:18">
      <c r="A506" t="s">
        <v>992</v>
      </c>
      <c r="B506" t="s">
        <v>1250</v>
      </c>
      <c r="C506" t="s">
        <v>994</v>
      </c>
      <c r="D506">
        <v>610.30000000000007</v>
      </c>
      <c r="E506" s="128">
        <v>44197</v>
      </c>
      <c r="F506" s="128">
        <v>44561</v>
      </c>
      <c r="G5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610.30000000000007</v>
      </c>
      <c r="H506" s="128" t="str">
        <f t="shared" ca="1" si="7"/>
        <v>NO</v>
      </c>
      <c r="K506" s="130" t="s">
        <v>1582</v>
      </c>
      <c r="L506" s="598">
        <v>1899.9999999999998</v>
      </c>
      <c r="Q506" t="s">
        <v>1463</v>
      </c>
      <c r="R506">
        <v>116.54219999999999</v>
      </c>
    </row>
    <row r="507" spans="1:18">
      <c r="A507" t="s">
        <v>992</v>
      </c>
      <c r="B507" t="s">
        <v>1250</v>
      </c>
      <c r="C507" t="s">
        <v>994</v>
      </c>
      <c r="D507">
        <v>604.1</v>
      </c>
      <c r="E507" s="128">
        <v>44562</v>
      </c>
      <c r="F507" s="128">
        <v>44834</v>
      </c>
      <c r="G5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604.1</v>
      </c>
      <c r="H507" s="128" t="str">
        <f t="shared" ca="1" si="7"/>
        <v>NO</v>
      </c>
      <c r="K507" s="130" t="s">
        <v>1583</v>
      </c>
      <c r="L507" s="598">
        <v>589.59999999999991</v>
      </c>
      <c r="Q507" t="s">
        <v>1465</v>
      </c>
      <c r="R507">
        <v>103.14551</v>
      </c>
    </row>
    <row r="508" spans="1:18">
      <c r="A508" t="s">
        <v>992</v>
      </c>
      <c r="B508" t="s">
        <v>1250</v>
      </c>
      <c r="C508" t="s">
        <v>994</v>
      </c>
      <c r="D508">
        <v>634.30999999999995</v>
      </c>
      <c r="E508" s="128">
        <v>44835</v>
      </c>
      <c r="F508" s="128">
        <v>45016</v>
      </c>
      <c r="G5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634.30999999999995</v>
      </c>
      <c r="H508" s="128" t="str">
        <f t="shared" ca="1" si="7"/>
        <v>NO</v>
      </c>
      <c r="K508" s="130" t="s">
        <v>1584</v>
      </c>
      <c r="L508" s="598">
        <v>1560</v>
      </c>
      <c r="Q508" t="s">
        <v>1467</v>
      </c>
      <c r="R508">
        <v>140.02417</v>
      </c>
    </row>
    <row r="509" spans="1:18">
      <c r="A509" t="s">
        <v>992</v>
      </c>
      <c r="B509" t="s">
        <v>1251</v>
      </c>
      <c r="C509" t="s">
        <v>994</v>
      </c>
      <c r="D509">
        <v>161</v>
      </c>
      <c r="E509" s="128">
        <v>36526</v>
      </c>
      <c r="F509" s="128">
        <v>47483</v>
      </c>
      <c r="G5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161</v>
      </c>
      <c r="H509" s="128" t="str">
        <f t="shared" ca="1" si="7"/>
        <v>YES</v>
      </c>
      <c r="K509" s="130" t="s">
        <v>1585</v>
      </c>
      <c r="L509" s="598">
        <v>894</v>
      </c>
      <c r="Q509" t="s">
        <v>1468</v>
      </c>
      <c r="R509">
        <v>119.40082</v>
      </c>
    </row>
    <row r="510" spans="1:18">
      <c r="A510" t="s">
        <v>992</v>
      </c>
      <c r="B510" t="s">
        <v>1252</v>
      </c>
      <c r="C510" t="s">
        <v>994</v>
      </c>
      <c r="D510">
        <v>96</v>
      </c>
      <c r="E510" s="128">
        <v>36526</v>
      </c>
      <c r="F510" s="128">
        <v>45084</v>
      </c>
      <c r="G5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</v>
      </c>
      <c r="H510" s="128" t="str">
        <f t="shared" ca="1" si="7"/>
        <v>NO</v>
      </c>
      <c r="K510" s="130" t="s">
        <v>1586</v>
      </c>
      <c r="L510" s="598">
        <v>715</v>
      </c>
      <c r="Q510" t="s">
        <v>1469</v>
      </c>
      <c r="R510">
        <v>278.48658999999998</v>
      </c>
    </row>
    <row r="511" spans="1:18">
      <c r="A511" t="s">
        <v>992</v>
      </c>
      <c r="B511" t="s">
        <v>1253</v>
      </c>
      <c r="C511" t="s">
        <v>994</v>
      </c>
      <c r="D511">
        <v>530</v>
      </c>
      <c r="E511" s="128">
        <v>36526</v>
      </c>
      <c r="F511" s="128">
        <v>47483</v>
      </c>
      <c r="G5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530</v>
      </c>
      <c r="H511" s="128" t="str">
        <f t="shared" ca="1" si="7"/>
        <v>YES</v>
      </c>
      <c r="K511" s="130" t="s">
        <v>1587</v>
      </c>
      <c r="L511" s="598">
        <v>499</v>
      </c>
      <c r="Q511" t="s">
        <v>1471</v>
      </c>
      <c r="R511">
        <v>146.24315000000001</v>
      </c>
    </row>
    <row r="512" spans="1:18">
      <c r="A512" t="s">
        <v>992</v>
      </c>
      <c r="B512" t="s">
        <v>1252</v>
      </c>
      <c r="C512" t="s">
        <v>994</v>
      </c>
      <c r="D512">
        <v>150</v>
      </c>
      <c r="E512" s="128">
        <v>45085</v>
      </c>
      <c r="F512" s="128">
        <v>54789</v>
      </c>
      <c r="G5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512" s="128" t="str">
        <f t="shared" ca="1" si="7"/>
        <v>YES</v>
      </c>
      <c r="K512" s="130" t="s">
        <v>1588</v>
      </c>
      <c r="L512" s="598">
        <v>1448</v>
      </c>
      <c r="Q512" t="s">
        <v>1472</v>
      </c>
      <c r="R512">
        <v>147.06299999999999</v>
      </c>
    </row>
    <row r="513" spans="1:18">
      <c r="A513" t="s">
        <v>992</v>
      </c>
      <c r="B513" t="s">
        <v>1254</v>
      </c>
      <c r="C513" t="s">
        <v>994</v>
      </c>
      <c r="D513">
        <v>380.00000000000006</v>
      </c>
      <c r="E513" s="128">
        <v>43466</v>
      </c>
      <c r="F513" s="128">
        <v>43830</v>
      </c>
      <c r="G5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513" s="128" t="str">
        <f t="shared" ca="1" si="7"/>
        <v>NO</v>
      </c>
      <c r="K513" s="130" t="s">
        <v>1589</v>
      </c>
      <c r="L513" s="598">
        <v>1536</v>
      </c>
      <c r="Q513" t="s">
        <v>1473</v>
      </c>
      <c r="R513">
        <v>565.02299999999991</v>
      </c>
    </row>
    <row r="514" spans="1:18">
      <c r="A514" t="s">
        <v>992</v>
      </c>
      <c r="B514" t="s">
        <v>1254</v>
      </c>
      <c r="C514" t="s">
        <v>994</v>
      </c>
      <c r="D514">
        <v>372.40000000000003</v>
      </c>
      <c r="E514" s="128">
        <v>43831</v>
      </c>
      <c r="F514" s="128">
        <v>44196</v>
      </c>
      <c r="G5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372.40000000000003</v>
      </c>
      <c r="H514" s="128" t="str">
        <f t="shared" ref="H514:H577" ca="1" si="8">IF(OR(F514=0,F514&gt;TODAY()),"YES","NO")</f>
        <v>NO</v>
      </c>
      <c r="K514" s="130" t="s">
        <v>1590</v>
      </c>
      <c r="L514" s="598">
        <v>1862</v>
      </c>
      <c r="Q514" t="s">
        <v>1474</v>
      </c>
      <c r="R514">
        <v>105.55976000000001</v>
      </c>
    </row>
    <row r="515" spans="1:18">
      <c r="A515" t="s">
        <v>992</v>
      </c>
      <c r="B515" t="s">
        <v>1254</v>
      </c>
      <c r="C515" t="s">
        <v>994</v>
      </c>
      <c r="D515">
        <v>361.20000000000005</v>
      </c>
      <c r="E515" s="128">
        <v>44197</v>
      </c>
      <c r="F515" s="128">
        <v>44834</v>
      </c>
      <c r="G5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361.20000000000005</v>
      </c>
      <c r="H515" s="128" t="str">
        <f t="shared" ca="1" si="8"/>
        <v>NO</v>
      </c>
      <c r="K515" s="130" t="s">
        <v>1591</v>
      </c>
      <c r="L515" s="598">
        <v>1466</v>
      </c>
      <c r="Q515" t="s">
        <v>1475</v>
      </c>
      <c r="R515">
        <v>261.31659000000002</v>
      </c>
    </row>
    <row r="516" spans="1:18">
      <c r="A516" t="s">
        <v>992</v>
      </c>
      <c r="B516" t="s">
        <v>1254</v>
      </c>
      <c r="C516" t="s">
        <v>994</v>
      </c>
      <c r="D516">
        <v>379.26000000000005</v>
      </c>
      <c r="E516" s="128">
        <v>44835</v>
      </c>
      <c r="F516" s="128">
        <v>45016</v>
      </c>
      <c r="G5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379.26000000000005</v>
      </c>
      <c r="H516" s="128" t="str">
        <f t="shared" ca="1" si="8"/>
        <v>NO</v>
      </c>
      <c r="K516" s="130" t="s">
        <v>1592</v>
      </c>
      <c r="L516" s="598">
        <v>1621</v>
      </c>
      <c r="Q516" t="s">
        <v>1476</v>
      </c>
      <c r="R516">
        <v>392.52350999999999</v>
      </c>
    </row>
    <row r="517" spans="1:18">
      <c r="A517" t="s">
        <v>992</v>
      </c>
      <c r="B517" t="s">
        <v>1255</v>
      </c>
      <c r="C517" t="s">
        <v>994</v>
      </c>
      <c r="D517">
        <v>289</v>
      </c>
      <c r="E517" s="128">
        <v>43466</v>
      </c>
      <c r="F517" s="128">
        <v>43830</v>
      </c>
      <c r="G5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289</v>
      </c>
      <c r="H517" s="128" t="str">
        <f t="shared" ca="1" si="8"/>
        <v>NO</v>
      </c>
      <c r="K517" s="130" t="s">
        <v>1593</v>
      </c>
      <c r="L517" s="598">
        <v>1216</v>
      </c>
      <c r="Q517" t="s">
        <v>1477</v>
      </c>
      <c r="R517">
        <v>216.38433999999998</v>
      </c>
    </row>
    <row r="518" spans="1:18">
      <c r="A518" t="s">
        <v>992</v>
      </c>
      <c r="B518" t="s">
        <v>1255</v>
      </c>
      <c r="C518" t="s">
        <v>994</v>
      </c>
      <c r="D518">
        <v>283.2</v>
      </c>
      <c r="E518" s="128">
        <v>43831</v>
      </c>
      <c r="F518" s="128">
        <v>47483</v>
      </c>
      <c r="G5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283.2</v>
      </c>
      <c r="H518" s="128" t="str">
        <f t="shared" ca="1" si="8"/>
        <v>YES</v>
      </c>
      <c r="K518" s="130" t="s">
        <v>1594</v>
      </c>
      <c r="L518" s="598">
        <v>384</v>
      </c>
      <c r="Q518" t="s">
        <v>1478</v>
      </c>
      <c r="R518">
        <v>28.535150000000002</v>
      </c>
    </row>
    <row r="519" spans="1:18">
      <c r="A519" t="s">
        <v>992</v>
      </c>
      <c r="B519" t="s">
        <v>1256</v>
      </c>
      <c r="C519" t="s">
        <v>994</v>
      </c>
      <c r="D519">
        <v>419.99999999999994</v>
      </c>
      <c r="E519" s="128">
        <v>36526</v>
      </c>
      <c r="F519" s="128">
        <v>46023</v>
      </c>
      <c r="G5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419.99999999999994</v>
      </c>
      <c r="H519" s="128" t="str">
        <f t="shared" ca="1" si="8"/>
        <v>YES</v>
      </c>
      <c r="K519" s="130" t="s">
        <v>1595</v>
      </c>
      <c r="L519" s="598">
        <v>365</v>
      </c>
      <c r="Q519" t="s">
        <v>1479</v>
      </c>
      <c r="R519">
        <v>269.18455</v>
      </c>
    </row>
    <row r="520" spans="1:18">
      <c r="A520" t="s">
        <v>992</v>
      </c>
      <c r="B520" t="s">
        <v>1257</v>
      </c>
      <c r="C520" t="s">
        <v>994</v>
      </c>
      <c r="D520">
        <v>134</v>
      </c>
      <c r="E520" s="128">
        <v>36526</v>
      </c>
      <c r="F520" s="128">
        <v>44834</v>
      </c>
      <c r="G5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</v>
      </c>
      <c r="H520" s="128" t="str">
        <f t="shared" ca="1" si="8"/>
        <v>NO</v>
      </c>
      <c r="K520" s="130" t="s">
        <v>1596</v>
      </c>
      <c r="L520" s="598">
        <v>1293.5</v>
      </c>
      <c r="Q520" t="s">
        <v>1480</v>
      </c>
      <c r="R520">
        <v>118.61594999999998</v>
      </c>
    </row>
    <row r="521" spans="1:18">
      <c r="A521" t="s">
        <v>992</v>
      </c>
      <c r="B521" t="s">
        <v>1256</v>
      </c>
      <c r="C521" t="s">
        <v>994</v>
      </c>
      <c r="D521">
        <v>400</v>
      </c>
      <c r="E521" s="128">
        <v>45261</v>
      </c>
      <c r="F521" s="128">
        <v>46023</v>
      </c>
      <c r="G5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400</v>
      </c>
      <c r="H521" s="128" t="str">
        <f t="shared" ca="1" si="8"/>
        <v>YES</v>
      </c>
      <c r="K521" s="130" t="s">
        <v>1598</v>
      </c>
      <c r="L521" s="598">
        <v>1425</v>
      </c>
      <c r="Q521" t="s">
        <v>1481</v>
      </c>
      <c r="R521">
        <v>128.08449999999999</v>
      </c>
    </row>
    <row r="522" spans="1:18">
      <c r="A522" t="s">
        <v>992</v>
      </c>
      <c r="B522" t="s">
        <v>1257</v>
      </c>
      <c r="C522" t="s">
        <v>994</v>
      </c>
      <c r="D522">
        <v>140.70000000000002</v>
      </c>
      <c r="E522" s="128">
        <v>44835</v>
      </c>
      <c r="F522" s="128">
        <v>45016</v>
      </c>
      <c r="G5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140.70000000000002</v>
      </c>
      <c r="H522" s="128" t="str">
        <f t="shared" ca="1" si="8"/>
        <v>NO</v>
      </c>
      <c r="K522" s="130" t="s">
        <v>1599</v>
      </c>
      <c r="L522" s="598">
        <v>1788.5</v>
      </c>
      <c r="Q522" t="s">
        <v>1482</v>
      </c>
      <c r="R522">
        <v>139.15815000000001</v>
      </c>
    </row>
    <row r="523" spans="1:18">
      <c r="A523" t="s">
        <v>992</v>
      </c>
      <c r="B523" t="s">
        <v>1258</v>
      </c>
      <c r="C523" t="s">
        <v>994</v>
      </c>
      <c r="D523">
        <v>323</v>
      </c>
      <c r="E523" s="128">
        <v>36526</v>
      </c>
      <c r="F523" s="128">
        <v>43434</v>
      </c>
      <c r="G5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323</v>
      </c>
      <c r="H523" s="128" t="str">
        <f t="shared" ca="1" si="8"/>
        <v>NO</v>
      </c>
      <c r="K523" s="130" t="s">
        <v>1600</v>
      </c>
      <c r="L523" s="598">
        <v>1196</v>
      </c>
      <c r="Q523" t="s">
        <v>1483</v>
      </c>
      <c r="R523">
        <v>148.53755999999998</v>
      </c>
    </row>
    <row r="524" spans="1:18">
      <c r="A524" t="s">
        <v>992</v>
      </c>
      <c r="B524" t="s">
        <v>1258</v>
      </c>
      <c r="C524" t="s">
        <v>994</v>
      </c>
      <c r="D524">
        <v>317</v>
      </c>
      <c r="E524" s="128">
        <v>43435</v>
      </c>
      <c r="F524" s="128">
        <v>45016</v>
      </c>
      <c r="G5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317</v>
      </c>
      <c r="H524" s="128" t="str">
        <f t="shared" ca="1" si="8"/>
        <v>NO</v>
      </c>
      <c r="K524" s="130" t="s">
        <v>1601</v>
      </c>
      <c r="L524" s="598">
        <v>1208.5</v>
      </c>
      <c r="Q524" t="s">
        <v>1484</v>
      </c>
      <c r="R524">
        <v>219.60759000000002</v>
      </c>
    </row>
    <row r="525" spans="1:18">
      <c r="A525" t="s">
        <v>992</v>
      </c>
      <c r="B525" t="s">
        <v>1259</v>
      </c>
      <c r="C525" t="s">
        <v>994</v>
      </c>
      <c r="D525">
        <v>68</v>
      </c>
      <c r="E525" s="128">
        <v>36526</v>
      </c>
      <c r="F525" s="128">
        <v>47483</v>
      </c>
      <c r="G5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68</v>
      </c>
      <c r="H525" s="128" t="str">
        <f t="shared" ca="1" si="8"/>
        <v>YES</v>
      </c>
      <c r="K525" s="130" t="s">
        <v>1607</v>
      </c>
      <c r="L525" s="598">
        <v>385</v>
      </c>
      <c r="Q525" t="s">
        <v>1486</v>
      </c>
      <c r="R525">
        <v>225.97434999999999</v>
      </c>
    </row>
    <row r="526" spans="1:18">
      <c r="A526" t="s">
        <v>992</v>
      </c>
      <c r="B526" t="s">
        <v>1260</v>
      </c>
      <c r="C526" t="s">
        <v>994</v>
      </c>
      <c r="D526">
        <v>351</v>
      </c>
      <c r="E526" s="128">
        <v>36526</v>
      </c>
      <c r="F526" s="128">
        <v>44834</v>
      </c>
      <c r="G5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351</v>
      </c>
      <c r="H526" s="128" t="str">
        <f t="shared" ca="1" si="8"/>
        <v>NO</v>
      </c>
      <c r="K526" s="130" t="s">
        <v>1608</v>
      </c>
      <c r="L526" s="598">
        <v>453.5</v>
      </c>
      <c r="Q526" t="s">
        <v>1488</v>
      </c>
      <c r="R526">
        <v>199.72564000000003</v>
      </c>
    </row>
    <row r="527" spans="1:18">
      <c r="A527" t="s">
        <v>992</v>
      </c>
      <c r="B527" t="s">
        <v>1260</v>
      </c>
      <c r="C527" t="s">
        <v>994</v>
      </c>
      <c r="D527">
        <v>368.55</v>
      </c>
      <c r="E527" s="128">
        <v>44835</v>
      </c>
      <c r="F527" s="128">
        <v>54789</v>
      </c>
      <c r="G5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368.55</v>
      </c>
      <c r="H527" s="128" t="str">
        <f t="shared" ca="1" si="8"/>
        <v>YES</v>
      </c>
      <c r="K527" s="130" t="s">
        <v>1609</v>
      </c>
      <c r="L527" s="598">
        <v>1620.0000000000002</v>
      </c>
      <c r="Q527" t="s">
        <v>1597</v>
      </c>
      <c r="R527">
        <v>183.55813000000001</v>
      </c>
    </row>
    <row r="528" spans="1:18">
      <c r="A528" t="s">
        <v>992</v>
      </c>
      <c r="B528" t="s">
        <v>1261</v>
      </c>
      <c r="C528" t="s">
        <v>994</v>
      </c>
      <c r="D528">
        <v>474.99999999999994</v>
      </c>
      <c r="E528" s="128">
        <v>36526</v>
      </c>
      <c r="F528" s="128">
        <v>44834</v>
      </c>
      <c r="G5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474.99999999999994</v>
      </c>
      <c r="H528" s="128" t="str">
        <f t="shared" ca="1" si="8"/>
        <v>NO</v>
      </c>
      <c r="K528" s="130" t="s">
        <v>1610</v>
      </c>
      <c r="L528" s="598">
        <v>1420</v>
      </c>
      <c r="Q528" t="s">
        <v>1049</v>
      </c>
      <c r="R528">
        <v>131.5078</v>
      </c>
    </row>
    <row r="529" spans="1:18">
      <c r="A529" t="s">
        <v>992</v>
      </c>
      <c r="B529" t="s">
        <v>1261</v>
      </c>
      <c r="C529" t="s">
        <v>994</v>
      </c>
      <c r="D529">
        <v>498.75</v>
      </c>
      <c r="E529" s="128">
        <v>44835</v>
      </c>
      <c r="F529" s="128">
        <v>45016</v>
      </c>
      <c r="G5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498.75</v>
      </c>
      <c r="H529" s="128" t="str">
        <f t="shared" ca="1" si="8"/>
        <v>NO</v>
      </c>
      <c r="K529" s="130" t="s">
        <v>1611</v>
      </c>
      <c r="L529" s="598">
        <v>934.99999999999989</v>
      </c>
      <c r="Q529" t="s">
        <v>1068</v>
      </c>
      <c r="R529">
        <v>153.24681000000001</v>
      </c>
    </row>
    <row r="530" spans="1:18">
      <c r="A530" t="s">
        <v>992</v>
      </c>
      <c r="B530" t="s">
        <v>1262</v>
      </c>
      <c r="C530" t="s">
        <v>994</v>
      </c>
      <c r="D530">
        <v>228</v>
      </c>
      <c r="E530" s="128">
        <v>36526</v>
      </c>
      <c r="F530" s="128">
        <v>47483</v>
      </c>
      <c r="G5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228</v>
      </c>
      <c r="H530" s="128" t="str">
        <f t="shared" ca="1" si="8"/>
        <v>YES</v>
      </c>
      <c r="K530" s="130" t="s">
        <v>1612</v>
      </c>
      <c r="L530" s="598">
        <v>804</v>
      </c>
      <c r="Q530" t="s">
        <v>1066</v>
      </c>
      <c r="R530">
        <v>112.07000000000001</v>
      </c>
    </row>
    <row r="531" spans="1:18">
      <c r="A531" t="s">
        <v>992</v>
      </c>
      <c r="B531" t="s">
        <v>1264</v>
      </c>
      <c r="C531" t="s">
        <v>994</v>
      </c>
      <c r="D531">
        <v>306</v>
      </c>
      <c r="E531" s="128">
        <v>36526</v>
      </c>
      <c r="F531" s="128">
        <v>44834</v>
      </c>
      <c r="G5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306</v>
      </c>
      <c r="H531" s="128" t="str">
        <f t="shared" ca="1" si="8"/>
        <v>NO</v>
      </c>
      <c r="K531" s="130" t="s">
        <v>1613</v>
      </c>
      <c r="L531" s="598">
        <v>765</v>
      </c>
      <c r="Q531" t="s">
        <v>1602</v>
      </c>
      <c r="R531">
        <v>210.40299999999999</v>
      </c>
    </row>
    <row r="532" spans="1:18">
      <c r="A532" t="s">
        <v>992</v>
      </c>
      <c r="B532" t="s">
        <v>1264</v>
      </c>
      <c r="C532" t="s">
        <v>994</v>
      </c>
      <c r="D532">
        <v>290</v>
      </c>
      <c r="E532" s="128">
        <v>36526</v>
      </c>
      <c r="F532" s="128">
        <v>44834</v>
      </c>
      <c r="G5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290</v>
      </c>
      <c r="H532" s="128" t="str">
        <f t="shared" ca="1" si="8"/>
        <v>NO</v>
      </c>
      <c r="K532" s="130" t="s">
        <v>1614</v>
      </c>
      <c r="L532" s="598">
        <v>593.1</v>
      </c>
      <c r="Q532" t="s">
        <v>1603</v>
      </c>
      <c r="R532">
        <v>87.710000000000008</v>
      </c>
    </row>
    <row r="533" spans="1:18">
      <c r="A533" t="s">
        <v>992</v>
      </c>
      <c r="B533" t="s">
        <v>1264</v>
      </c>
      <c r="C533" t="s">
        <v>994</v>
      </c>
      <c r="D533">
        <v>321.3</v>
      </c>
      <c r="E533" s="128">
        <v>44835</v>
      </c>
      <c r="F533" s="128">
        <v>45016</v>
      </c>
      <c r="G5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321.3</v>
      </c>
      <c r="H533" s="128" t="str">
        <f t="shared" ca="1" si="8"/>
        <v>NO</v>
      </c>
      <c r="K533" s="130" t="s">
        <v>1615</v>
      </c>
      <c r="L533" s="598">
        <v>795</v>
      </c>
      <c r="Q533" t="s">
        <v>1490</v>
      </c>
      <c r="R533">
        <v>3407.1348399999997</v>
      </c>
    </row>
    <row r="534" spans="1:18">
      <c r="A534" t="s">
        <v>992</v>
      </c>
      <c r="B534" t="s">
        <v>1264</v>
      </c>
      <c r="C534" t="s">
        <v>994</v>
      </c>
      <c r="D534">
        <v>304.5</v>
      </c>
      <c r="E534" s="128">
        <v>44835</v>
      </c>
      <c r="F534" s="128">
        <v>45016</v>
      </c>
      <c r="G5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304.5</v>
      </c>
      <c r="H534" s="128" t="str">
        <f t="shared" ca="1" si="8"/>
        <v>NO</v>
      </c>
      <c r="K534" s="130" t="s">
        <v>1617</v>
      </c>
      <c r="L534" s="598">
        <v>894</v>
      </c>
      <c r="Q534" t="s">
        <v>1492</v>
      </c>
      <c r="R534">
        <v>3236.5247400000003</v>
      </c>
    </row>
    <row r="535" spans="1:18">
      <c r="A535" t="s">
        <v>992</v>
      </c>
      <c r="B535" t="s">
        <v>1265</v>
      </c>
      <c r="C535" t="s">
        <v>994</v>
      </c>
      <c r="D535">
        <v>262</v>
      </c>
      <c r="E535" s="128">
        <v>43101</v>
      </c>
      <c r="F535" s="128">
        <v>43465</v>
      </c>
      <c r="G5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262</v>
      </c>
      <c r="H535" s="128" t="str">
        <f t="shared" ca="1" si="8"/>
        <v>NO</v>
      </c>
      <c r="K535" s="130" t="s">
        <v>1618</v>
      </c>
      <c r="L535" s="598">
        <v>2435</v>
      </c>
      <c r="Q535" t="s">
        <v>1493</v>
      </c>
      <c r="R535">
        <v>98.618830000000003</v>
      </c>
    </row>
    <row r="536" spans="1:18">
      <c r="A536" t="s">
        <v>992</v>
      </c>
      <c r="B536" t="s">
        <v>1265</v>
      </c>
      <c r="C536" t="s">
        <v>994</v>
      </c>
      <c r="D536">
        <v>257</v>
      </c>
      <c r="E536" s="128">
        <v>43466</v>
      </c>
      <c r="F536" s="128">
        <v>43830</v>
      </c>
      <c r="G5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257</v>
      </c>
      <c r="H536" s="128" t="str">
        <f t="shared" ca="1" si="8"/>
        <v>NO</v>
      </c>
      <c r="K536" s="130" t="s">
        <v>1620</v>
      </c>
      <c r="L536" s="598">
        <v>860</v>
      </c>
      <c r="Q536" t="s">
        <v>1495</v>
      </c>
      <c r="R536">
        <v>438.10850000000005</v>
      </c>
    </row>
    <row r="537" spans="1:18">
      <c r="A537" t="s">
        <v>992</v>
      </c>
      <c r="B537" t="s">
        <v>1265</v>
      </c>
      <c r="C537" t="s">
        <v>994</v>
      </c>
      <c r="D537">
        <v>263.60000000000002</v>
      </c>
      <c r="E537" s="128">
        <v>43831</v>
      </c>
      <c r="F537" s="128">
        <v>46387</v>
      </c>
      <c r="G5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263.60000000000002</v>
      </c>
      <c r="H537" s="128" t="str">
        <f t="shared" ca="1" si="8"/>
        <v>YES</v>
      </c>
      <c r="K537" s="130" t="s">
        <v>1622</v>
      </c>
      <c r="L537" s="598">
        <v>1061.5</v>
      </c>
      <c r="Q537" t="s">
        <v>1497</v>
      </c>
      <c r="R537">
        <v>125.62315</v>
      </c>
    </row>
    <row r="538" spans="1:18">
      <c r="A538" t="s">
        <v>992</v>
      </c>
      <c r="B538" t="s">
        <v>1266</v>
      </c>
      <c r="C538" t="s">
        <v>994</v>
      </c>
      <c r="D538">
        <v>268</v>
      </c>
      <c r="E538" s="128">
        <v>43101</v>
      </c>
      <c r="F538" s="128">
        <v>43465</v>
      </c>
      <c r="G5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268</v>
      </c>
      <c r="H538" s="128" t="str">
        <f t="shared" ca="1" si="8"/>
        <v>NO</v>
      </c>
      <c r="K538" s="130" t="s">
        <v>813</v>
      </c>
      <c r="L538" s="598">
        <v>1296.3</v>
      </c>
      <c r="Q538" t="s">
        <v>1498</v>
      </c>
      <c r="R538">
        <v>260.33030000000002</v>
      </c>
    </row>
    <row r="539" spans="1:18">
      <c r="A539" t="s">
        <v>992</v>
      </c>
      <c r="B539" t="s">
        <v>1266</v>
      </c>
      <c r="C539" t="s">
        <v>994</v>
      </c>
      <c r="D539">
        <v>262</v>
      </c>
      <c r="E539" s="128">
        <v>43466</v>
      </c>
      <c r="F539" s="128">
        <v>43830</v>
      </c>
      <c r="G5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262</v>
      </c>
      <c r="H539" s="128" t="str">
        <f t="shared" ca="1" si="8"/>
        <v>NO</v>
      </c>
      <c r="K539" s="130" t="s">
        <v>1624</v>
      </c>
      <c r="L539" s="598">
        <v>1001.5</v>
      </c>
      <c r="Q539" t="s">
        <v>1499</v>
      </c>
      <c r="R539">
        <v>127.60039999999999</v>
      </c>
    </row>
    <row r="540" spans="1:18">
      <c r="A540" t="s">
        <v>992</v>
      </c>
      <c r="B540" t="s">
        <v>1266</v>
      </c>
      <c r="C540" t="s">
        <v>994</v>
      </c>
      <c r="D540">
        <v>308.40000000000003</v>
      </c>
      <c r="E540" s="128">
        <v>43831</v>
      </c>
      <c r="F540" s="128">
        <v>47483</v>
      </c>
      <c r="G5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308.40000000000003</v>
      </c>
      <c r="H540" s="128" t="str">
        <f t="shared" ca="1" si="8"/>
        <v>YES</v>
      </c>
      <c r="K540" s="130" t="s">
        <v>1625</v>
      </c>
      <c r="L540" s="598">
        <v>1291.5</v>
      </c>
      <c r="Q540" t="s">
        <v>1501</v>
      </c>
      <c r="R540">
        <v>27.42</v>
      </c>
    </row>
    <row r="541" spans="1:18">
      <c r="A541" t="s">
        <v>992</v>
      </c>
      <c r="B541" t="s">
        <v>1267</v>
      </c>
      <c r="C541" t="s">
        <v>994</v>
      </c>
      <c r="D541">
        <v>316</v>
      </c>
      <c r="E541" s="128">
        <v>36526</v>
      </c>
      <c r="F541" s="128">
        <v>47483</v>
      </c>
      <c r="G5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316</v>
      </c>
      <c r="H541" s="128" t="str">
        <f t="shared" ca="1" si="8"/>
        <v>YES</v>
      </c>
      <c r="K541" s="130" t="s">
        <v>1626</v>
      </c>
      <c r="L541" s="598">
        <v>825</v>
      </c>
      <c r="Q541" t="s">
        <v>1503</v>
      </c>
      <c r="R541">
        <v>330.88229999999999</v>
      </c>
    </row>
    <row r="542" spans="1:18">
      <c r="A542" t="s">
        <v>992</v>
      </c>
      <c r="B542" t="s">
        <v>1268</v>
      </c>
      <c r="C542" t="s">
        <v>994</v>
      </c>
      <c r="D542">
        <v>120</v>
      </c>
      <c r="E542" s="128">
        <v>36526</v>
      </c>
      <c r="F542" s="128">
        <v>43496</v>
      </c>
      <c r="G5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</v>
      </c>
      <c r="H542" s="128" t="str">
        <f t="shared" ca="1" si="8"/>
        <v>NO</v>
      </c>
      <c r="K542" s="130" t="s">
        <v>1627</v>
      </c>
      <c r="L542" s="598">
        <v>2350</v>
      </c>
      <c r="Q542" t="s">
        <v>1504</v>
      </c>
      <c r="R542">
        <v>11.054399999999999</v>
      </c>
    </row>
    <row r="543" spans="1:18">
      <c r="A543" t="s">
        <v>992</v>
      </c>
      <c r="B543" t="s">
        <v>1268</v>
      </c>
      <c r="C543" t="s">
        <v>994</v>
      </c>
      <c r="D543">
        <v>127.00000000000001</v>
      </c>
      <c r="E543" s="128">
        <v>43497</v>
      </c>
      <c r="F543" s="128">
        <v>43646</v>
      </c>
      <c r="G5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127.00000000000001</v>
      </c>
      <c r="H543" s="128" t="str">
        <f t="shared" ca="1" si="8"/>
        <v>NO</v>
      </c>
      <c r="K543" s="130" t="s">
        <v>1628</v>
      </c>
      <c r="L543" s="598">
        <v>2550</v>
      </c>
      <c r="Q543" t="s">
        <v>1505</v>
      </c>
      <c r="R543">
        <v>489.34160999999995</v>
      </c>
    </row>
    <row r="544" spans="1:18">
      <c r="A544" t="s">
        <v>992</v>
      </c>
      <c r="B544" t="s">
        <v>1268</v>
      </c>
      <c r="C544" t="s">
        <v>994</v>
      </c>
      <c r="D544">
        <v>169</v>
      </c>
      <c r="E544" s="128">
        <v>43647</v>
      </c>
      <c r="F544" s="128">
        <v>44834</v>
      </c>
      <c r="G5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</v>
      </c>
      <c r="H544" s="128" t="str">
        <f t="shared" ca="1" si="8"/>
        <v>NO</v>
      </c>
      <c r="K544" s="130" t="s">
        <v>1629</v>
      </c>
      <c r="L544" s="598">
        <v>2250</v>
      </c>
      <c r="Q544" t="s">
        <v>1506</v>
      </c>
      <c r="R544">
        <v>260.745</v>
      </c>
    </row>
    <row r="545" spans="1:18">
      <c r="A545" t="s">
        <v>992</v>
      </c>
      <c r="B545" t="s">
        <v>1268</v>
      </c>
      <c r="C545" t="s">
        <v>994</v>
      </c>
      <c r="D545">
        <v>177.45</v>
      </c>
      <c r="E545" s="128">
        <v>44835</v>
      </c>
      <c r="F545" s="128">
        <v>45016</v>
      </c>
      <c r="G5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177.45</v>
      </c>
      <c r="H545" s="128" t="str">
        <f t="shared" ca="1" si="8"/>
        <v>NO</v>
      </c>
      <c r="K545" s="130" t="s">
        <v>1634</v>
      </c>
      <c r="L545" s="598">
        <v>1800</v>
      </c>
      <c r="Q545" t="s">
        <v>1616</v>
      </c>
      <c r="R545">
        <v>103.35000000000001</v>
      </c>
    </row>
    <row r="546" spans="1:18">
      <c r="A546" t="s">
        <v>992</v>
      </c>
      <c r="B546" t="s">
        <v>1269</v>
      </c>
      <c r="C546" t="s">
        <v>994</v>
      </c>
      <c r="D546">
        <v>120</v>
      </c>
      <c r="E546" s="128">
        <v>36526</v>
      </c>
      <c r="F546" s="128">
        <v>43496</v>
      </c>
      <c r="G5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</v>
      </c>
      <c r="H546" s="128" t="str">
        <f t="shared" ca="1" si="8"/>
        <v>NO</v>
      </c>
      <c r="K546" s="130" t="s">
        <v>1635</v>
      </c>
      <c r="L546" s="598">
        <v>2108</v>
      </c>
      <c r="Q546" t="s">
        <v>1052</v>
      </c>
      <c r="R546">
        <v>244.40052</v>
      </c>
    </row>
    <row r="547" spans="1:18">
      <c r="A547" t="s">
        <v>992</v>
      </c>
      <c r="B547" t="s">
        <v>1269</v>
      </c>
      <c r="C547" t="s">
        <v>994</v>
      </c>
      <c r="D547">
        <v>127.00000000000001</v>
      </c>
      <c r="E547" s="128">
        <v>43497</v>
      </c>
      <c r="F547" s="128">
        <v>43646</v>
      </c>
      <c r="G5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127.00000000000001</v>
      </c>
      <c r="H547" s="128" t="str">
        <f t="shared" ca="1" si="8"/>
        <v>NO</v>
      </c>
      <c r="K547" s="130" t="s">
        <v>1636</v>
      </c>
      <c r="L547" s="598">
        <v>2169.5</v>
      </c>
      <c r="Q547" t="s">
        <v>1619</v>
      </c>
      <c r="R547">
        <v>3560.5254600000003</v>
      </c>
    </row>
    <row r="548" spans="1:18">
      <c r="A548" t="s">
        <v>992</v>
      </c>
      <c r="B548" t="s">
        <v>1269</v>
      </c>
      <c r="C548" t="s">
        <v>994</v>
      </c>
      <c r="D548">
        <v>169</v>
      </c>
      <c r="E548" s="128">
        <v>43647</v>
      </c>
      <c r="F548" s="128">
        <v>44834</v>
      </c>
      <c r="G5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</v>
      </c>
      <c r="H548" s="128" t="str">
        <f t="shared" ca="1" si="8"/>
        <v>NO</v>
      </c>
      <c r="K548" s="130" t="s">
        <v>1637</v>
      </c>
      <c r="L548" s="598">
        <v>714</v>
      </c>
      <c r="Q548" t="s">
        <v>1621</v>
      </c>
      <c r="R548">
        <v>2802.5654599999998</v>
      </c>
    </row>
    <row r="549" spans="1:18">
      <c r="A549" t="s">
        <v>992</v>
      </c>
      <c r="B549" t="s">
        <v>1269</v>
      </c>
      <c r="C549" t="s">
        <v>994</v>
      </c>
      <c r="D549">
        <v>177.45</v>
      </c>
      <c r="E549" s="128">
        <v>44835</v>
      </c>
      <c r="F549" s="128">
        <v>45016</v>
      </c>
      <c r="G5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177.45</v>
      </c>
      <c r="H549" s="128" t="str">
        <f t="shared" ca="1" si="8"/>
        <v>NO</v>
      </c>
      <c r="K549" s="130" t="s">
        <v>1638</v>
      </c>
      <c r="L549" s="598">
        <v>657.5</v>
      </c>
      <c r="Q549" t="s">
        <v>1623</v>
      </c>
      <c r="R549">
        <v>125.62811000000001</v>
      </c>
    </row>
    <row r="550" spans="1:18">
      <c r="A550" t="s">
        <v>992</v>
      </c>
      <c r="B550" t="s">
        <v>1270</v>
      </c>
      <c r="C550" t="s">
        <v>994</v>
      </c>
      <c r="D550">
        <v>329</v>
      </c>
      <c r="E550" s="128">
        <v>36526</v>
      </c>
      <c r="F550" s="128">
        <v>44834</v>
      </c>
      <c r="G5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329</v>
      </c>
      <c r="H550" s="128" t="str">
        <f t="shared" ca="1" si="8"/>
        <v>NO</v>
      </c>
      <c r="K550" s="130" t="s">
        <v>1640</v>
      </c>
      <c r="L550" s="598">
        <v>990</v>
      </c>
      <c r="Q550" t="s">
        <v>809</v>
      </c>
      <c r="R550">
        <v>273.99029999999999</v>
      </c>
    </row>
    <row r="551" spans="1:18">
      <c r="A551" t="s">
        <v>992</v>
      </c>
      <c r="B551" t="s">
        <v>1270</v>
      </c>
      <c r="C551" t="s">
        <v>994</v>
      </c>
      <c r="D551">
        <v>345.45000000000005</v>
      </c>
      <c r="E551" s="128">
        <v>44835</v>
      </c>
      <c r="F551" s="128">
        <v>45016</v>
      </c>
      <c r="G5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345.45000000000005</v>
      </c>
      <c r="H551" s="128" t="str">
        <f t="shared" ca="1" si="8"/>
        <v>NO</v>
      </c>
      <c r="K551" s="130" t="s">
        <v>1641</v>
      </c>
      <c r="L551" s="598">
        <v>1815</v>
      </c>
      <c r="Q551" t="s">
        <v>1507</v>
      </c>
      <c r="R551">
        <v>140.03573</v>
      </c>
    </row>
    <row r="552" spans="1:18">
      <c r="A552" t="s">
        <v>992</v>
      </c>
      <c r="B552" t="s">
        <v>1271</v>
      </c>
      <c r="C552" t="s">
        <v>994</v>
      </c>
      <c r="D552">
        <v>356</v>
      </c>
      <c r="E552" s="128">
        <v>36526</v>
      </c>
      <c r="F552" s="128">
        <v>47483</v>
      </c>
      <c r="G5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356</v>
      </c>
      <c r="H552" s="128" t="str">
        <f t="shared" ca="1" si="8"/>
        <v>YES</v>
      </c>
      <c r="K552" s="130" t="s">
        <v>1642</v>
      </c>
      <c r="L552" s="598">
        <v>573.19999999999993</v>
      </c>
      <c r="Q552" t="s">
        <v>1508</v>
      </c>
      <c r="R552">
        <v>167.85369</v>
      </c>
    </row>
    <row r="553" spans="1:18">
      <c r="A553" t="s">
        <v>992</v>
      </c>
      <c r="B553" t="s">
        <v>1272</v>
      </c>
      <c r="C553" t="s">
        <v>994</v>
      </c>
      <c r="D553">
        <v>496</v>
      </c>
      <c r="E553" s="128">
        <v>36526</v>
      </c>
      <c r="F553" s="128">
        <v>47483</v>
      </c>
      <c r="G5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496</v>
      </c>
      <c r="H553" s="128" t="str">
        <f t="shared" ca="1" si="8"/>
        <v>YES</v>
      </c>
      <c r="K553" s="130" t="s">
        <v>1644</v>
      </c>
      <c r="L553" s="598">
        <v>627.70000000000005</v>
      </c>
      <c r="Q553" t="s">
        <v>1509</v>
      </c>
      <c r="R553">
        <v>416.46459000000004</v>
      </c>
    </row>
    <row r="554" spans="1:18">
      <c r="A554" t="s">
        <v>992</v>
      </c>
      <c r="B554" t="s">
        <v>1273</v>
      </c>
      <c r="C554" t="s">
        <v>994</v>
      </c>
      <c r="D554">
        <v>895</v>
      </c>
      <c r="E554" s="128">
        <v>36526</v>
      </c>
      <c r="F554" s="128">
        <v>44834</v>
      </c>
      <c r="G5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895</v>
      </c>
      <c r="H554" s="128" t="str">
        <f t="shared" ca="1" si="8"/>
        <v>NO</v>
      </c>
      <c r="K554" s="130" t="s">
        <v>1058</v>
      </c>
      <c r="L554" s="598">
        <v>1778.6999999999998</v>
      </c>
      <c r="Q554" t="s">
        <v>1510</v>
      </c>
      <c r="R554">
        <v>794.81212999999991</v>
      </c>
    </row>
    <row r="555" spans="1:18">
      <c r="A555" t="s">
        <v>992</v>
      </c>
      <c r="B555" t="s">
        <v>1273</v>
      </c>
      <c r="C555" t="s">
        <v>994</v>
      </c>
      <c r="D555">
        <v>939.75</v>
      </c>
      <c r="E555" s="128">
        <v>44835</v>
      </c>
      <c r="F555" s="128">
        <v>45016</v>
      </c>
      <c r="G5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939.75</v>
      </c>
      <c r="H555" s="128" t="str">
        <f t="shared" ca="1" si="8"/>
        <v>NO</v>
      </c>
      <c r="K555" s="130" t="s">
        <v>1646</v>
      </c>
      <c r="L555" s="598">
        <v>1442.56</v>
      </c>
      <c r="Q555" t="s">
        <v>1511</v>
      </c>
      <c r="R555">
        <v>434.67563000000001</v>
      </c>
    </row>
    <row r="556" spans="1:18">
      <c r="A556" t="s">
        <v>992</v>
      </c>
      <c r="B556" t="s">
        <v>1274</v>
      </c>
      <c r="C556" t="s">
        <v>994</v>
      </c>
      <c r="D556">
        <v>350</v>
      </c>
      <c r="E556" s="128">
        <v>36526</v>
      </c>
      <c r="F556" s="128">
        <v>44834</v>
      </c>
      <c r="G5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556" s="128" t="str">
        <f t="shared" ca="1" si="8"/>
        <v>NO</v>
      </c>
      <c r="K556" s="130" t="s">
        <v>1647</v>
      </c>
      <c r="L556" s="598">
        <v>221</v>
      </c>
      <c r="Q556" t="s">
        <v>1512</v>
      </c>
      <c r="R556">
        <v>292.06342000000001</v>
      </c>
    </row>
    <row r="557" spans="1:18">
      <c r="A557" t="s">
        <v>992</v>
      </c>
      <c r="B557" t="s">
        <v>1274</v>
      </c>
      <c r="C557" t="s">
        <v>994</v>
      </c>
      <c r="D557">
        <v>367.5</v>
      </c>
      <c r="E557" s="128">
        <v>44835</v>
      </c>
      <c r="F557" s="128">
        <v>45016</v>
      </c>
      <c r="G5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367.5</v>
      </c>
      <c r="H557" s="128" t="str">
        <f t="shared" ca="1" si="8"/>
        <v>NO</v>
      </c>
      <c r="K557" s="130" t="s">
        <v>1648</v>
      </c>
      <c r="L557" s="598">
        <v>136.19999999999999</v>
      </c>
      <c r="Q557" t="s">
        <v>1513</v>
      </c>
      <c r="R557">
        <v>321.59527000000003</v>
      </c>
    </row>
    <row r="558" spans="1:18">
      <c r="A558" t="s">
        <v>992</v>
      </c>
      <c r="B558" t="s">
        <v>1276</v>
      </c>
      <c r="C558" t="s">
        <v>994</v>
      </c>
      <c r="D558">
        <v>458</v>
      </c>
      <c r="E558" s="128">
        <v>36526</v>
      </c>
      <c r="F558" s="128">
        <v>44834</v>
      </c>
      <c r="G5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458</v>
      </c>
      <c r="H558" s="128" t="str">
        <f t="shared" ca="1" si="8"/>
        <v>NO</v>
      </c>
      <c r="K558" s="130" t="s">
        <v>1649</v>
      </c>
      <c r="L558" s="598">
        <v>383.52</v>
      </c>
      <c r="Q558" t="s">
        <v>1514</v>
      </c>
      <c r="R558">
        <v>310.47086000000002</v>
      </c>
    </row>
    <row r="559" spans="1:18">
      <c r="A559" t="s">
        <v>992</v>
      </c>
      <c r="B559" t="s">
        <v>1276</v>
      </c>
      <c r="C559" t="s">
        <v>994</v>
      </c>
      <c r="D559">
        <v>480.9</v>
      </c>
      <c r="E559" s="128">
        <v>44835</v>
      </c>
      <c r="F559" s="128">
        <v>45016</v>
      </c>
      <c r="G5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480.9</v>
      </c>
      <c r="H559" s="128" t="str">
        <f t="shared" ca="1" si="8"/>
        <v>NO</v>
      </c>
      <c r="K559" s="130" t="s">
        <v>1650</v>
      </c>
      <c r="L559" s="598">
        <v>123.00000000000001</v>
      </c>
      <c r="Q559" t="s">
        <v>1515</v>
      </c>
      <c r="R559">
        <v>684.38030000000003</v>
      </c>
    </row>
    <row r="560" spans="1:18">
      <c r="A560" t="s">
        <v>992</v>
      </c>
      <c r="B560" t="s">
        <v>829</v>
      </c>
      <c r="C560" t="s">
        <v>994</v>
      </c>
      <c r="D560">
        <v>254.00000000000003</v>
      </c>
      <c r="E560" s="128">
        <v>36526</v>
      </c>
      <c r="F560" s="128">
        <v>44834</v>
      </c>
      <c r="G5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254.00000000000003</v>
      </c>
      <c r="H560" s="128" t="str">
        <f t="shared" ca="1" si="8"/>
        <v>NO</v>
      </c>
      <c r="K560" s="130" t="s">
        <v>1651</v>
      </c>
      <c r="L560" s="598">
        <v>141.1</v>
      </c>
      <c r="Q560" t="s">
        <v>1516</v>
      </c>
      <c r="R560">
        <v>588.31868999999995</v>
      </c>
    </row>
    <row r="561" spans="1:18">
      <c r="A561" t="s">
        <v>992</v>
      </c>
      <c r="B561" t="s">
        <v>829</v>
      </c>
      <c r="C561" t="s">
        <v>994</v>
      </c>
      <c r="D561">
        <v>266.7</v>
      </c>
      <c r="E561" s="128">
        <v>44835</v>
      </c>
      <c r="F561" s="128">
        <v>45016</v>
      </c>
      <c r="G5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266.7</v>
      </c>
      <c r="H561" s="128" t="str">
        <f t="shared" ca="1" si="8"/>
        <v>NO</v>
      </c>
      <c r="K561" s="130" t="s">
        <v>1652</v>
      </c>
      <c r="L561" s="598">
        <v>81.900000000000006</v>
      </c>
      <c r="Q561" t="s">
        <v>1517</v>
      </c>
      <c r="R561">
        <v>312.37712999999997</v>
      </c>
    </row>
    <row r="562" spans="1:18">
      <c r="A562" t="s">
        <v>992</v>
      </c>
      <c r="B562" t="s">
        <v>1277</v>
      </c>
      <c r="C562" t="s">
        <v>994</v>
      </c>
      <c r="D562">
        <v>159</v>
      </c>
      <c r="E562" s="128">
        <v>36526</v>
      </c>
      <c r="F562" s="128">
        <v>47483</v>
      </c>
      <c r="G5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159</v>
      </c>
      <c r="H562" s="128" t="str">
        <f t="shared" ca="1" si="8"/>
        <v>YES</v>
      </c>
      <c r="K562" s="130" t="s">
        <v>1046</v>
      </c>
      <c r="L562" s="598">
        <v>136.60000000000002</v>
      </c>
      <c r="Q562" t="s">
        <v>1519</v>
      </c>
      <c r="R562">
        <v>357.32029999999997</v>
      </c>
    </row>
    <row r="563" spans="1:18">
      <c r="A563" t="s">
        <v>992</v>
      </c>
      <c r="B563" t="s">
        <v>1278</v>
      </c>
      <c r="C563" t="s">
        <v>994</v>
      </c>
      <c r="D563">
        <v>512</v>
      </c>
      <c r="E563" s="128">
        <v>36526</v>
      </c>
      <c r="F563" s="128">
        <v>44834</v>
      </c>
      <c r="G5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512</v>
      </c>
      <c r="H563" s="128" t="str">
        <f t="shared" ca="1" si="8"/>
        <v>NO</v>
      </c>
      <c r="K563" s="130" t="s">
        <v>1653</v>
      </c>
      <c r="L563" s="598">
        <v>217.17000000000002</v>
      </c>
      <c r="Q563" t="s">
        <v>1521</v>
      </c>
      <c r="R563">
        <v>1884.4822000000001</v>
      </c>
    </row>
    <row r="564" spans="1:18">
      <c r="A564" t="s">
        <v>992</v>
      </c>
      <c r="B564" t="s">
        <v>1278</v>
      </c>
      <c r="C564" t="s">
        <v>1085</v>
      </c>
      <c r="D564">
        <v>600</v>
      </c>
      <c r="E564" s="128">
        <v>36526</v>
      </c>
      <c r="F564" s="128">
        <v>47483</v>
      </c>
      <c r="G5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528</v>
      </c>
      <c r="H564" s="128" t="str">
        <f t="shared" ca="1" si="8"/>
        <v>YES</v>
      </c>
      <c r="K564" s="130" t="s">
        <v>803</v>
      </c>
      <c r="L564" s="598">
        <v>280.5</v>
      </c>
      <c r="Q564" t="s">
        <v>255</v>
      </c>
      <c r="R564">
        <v>278.21073999999999</v>
      </c>
    </row>
    <row r="565" spans="1:18">
      <c r="A565" t="s">
        <v>992</v>
      </c>
      <c r="B565" t="s">
        <v>1278</v>
      </c>
      <c r="C565" t="s">
        <v>994</v>
      </c>
      <c r="D565">
        <v>537.6</v>
      </c>
      <c r="E565" s="128">
        <v>44835</v>
      </c>
      <c r="F565" s="128">
        <v>45016</v>
      </c>
      <c r="G5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537.6</v>
      </c>
      <c r="H565" s="128" t="str">
        <f t="shared" ca="1" si="8"/>
        <v>NO</v>
      </c>
      <c r="K565" s="130" t="s">
        <v>1654</v>
      </c>
      <c r="L565" s="598">
        <v>300</v>
      </c>
      <c r="Q565" t="s">
        <v>1639</v>
      </c>
      <c r="R565">
        <v>458.4</v>
      </c>
    </row>
    <row r="566" spans="1:18">
      <c r="A566" t="s">
        <v>992</v>
      </c>
      <c r="B566" t="s">
        <v>1280</v>
      </c>
      <c r="C566" t="s">
        <v>994</v>
      </c>
      <c r="D566">
        <v>487</v>
      </c>
      <c r="E566" s="128">
        <v>36526</v>
      </c>
      <c r="F566" s="128">
        <v>44834</v>
      </c>
      <c r="G5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487</v>
      </c>
      <c r="H566" s="128" t="str">
        <f t="shared" ca="1" si="8"/>
        <v>NO</v>
      </c>
      <c r="K566" s="130" t="s">
        <v>1655</v>
      </c>
      <c r="L566" s="598">
        <v>121.5</v>
      </c>
      <c r="Q566" t="s">
        <v>1522</v>
      </c>
      <c r="R566">
        <v>854.42576999999994</v>
      </c>
    </row>
    <row r="567" spans="1:18">
      <c r="A567" t="s">
        <v>992</v>
      </c>
      <c r="B567" t="s">
        <v>1280</v>
      </c>
      <c r="C567" t="s">
        <v>1085</v>
      </c>
      <c r="D567">
        <v>571</v>
      </c>
      <c r="E567" s="128">
        <v>36526</v>
      </c>
      <c r="F567" s="128">
        <v>47483</v>
      </c>
      <c r="G5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502.48</v>
      </c>
      <c r="H567" s="128" t="str">
        <f t="shared" ca="1" si="8"/>
        <v>YES</v>
      </c>
      <c r="K567" s="130" t="s">
        <v>1656</v>
      </c>
      <c r="L567" s="598">
        <v>335.20000000000005</v>
      </c>
      <c r="Q567" t="s">
        <v>1032</v>
      </c>
      <c r="R567">
        <v>360.8</v>
      </c>
    </row>
    <row r="568" spans="1:18">
      <c r="A568" t="s">
        <v>992</v>
      </c>
      <c r="B568" t="s">
        <v>1280</v>
      </c>
      <c r="C568" t="s">
        <v>994</v>
      </c>
      <c r="D568">
        <v>511.34999999999997</v>
      </c>
      <c r="E568" s="128">
        <v>44835</v>
      </c>
      <c r="F568" s="128">
        <v>45016</v>
      </c>
      <c r="G5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511.34999999999997</v>
      </c>
      <c r="H568" s="128" t="str">
        <f t="shared" ca="1" si="8"/>
        <v>NO</v>
      </c>
      <c r="K568" s="130" t="s">
        <v>1657</v>
      </c>
      <c r="L568" s="598">
        <v>320.065</v>
      </c>
      <c r="Q568" t="s">
        <v>1523</v>
      </c>
      <c r="R568">
        <v>395.81062999999995</v>
      </c>
    </row>
    <row r="569" spans="1:18">
      <c r="A569" t="s">
        <v>992</v>
      </c>
      <c r="B569" t="s">
        <v>1281</v>
      </c>
      <c r="C569" t="s">
        <v>994</v>
      </c>
      <c r="D569">
        <v>243</v>
      </c>
      <c r="E569" s="128">
        <v>36526</v>
      </c>
      <c r="F569" s="128">
        <v>44834</v>
      </c>
      <c r="G5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243</v>
      </c>
      <c r="H569" s="128" t="str">
        <f t="shared" ca="1" si="8"/>
        <v>NO</v>
      </c>
      <c r="K569" s="130" t="s">
        <v>1658</v>
      </c>
      <c r="L569" s="598">
        <v>161.5</v>
      </c>
      <c r="Q569" t="s">
        <v>1524</v>
      </c>
      <c r="R569">
        <v>927.94882999999993</v>
      </c>
    </row>
    <row r="570" spans="1:18">
      <c r="A570" t="s">
        <v>992</v>
      </c>
      <c r="B570" t="s">
        <v>1281</v>
      </c>
      <c r="C570" t="s">
        <v>994</v>
      </c>
      <c r="D570">
        <v>255.15</v>
      </c>
      <c r="E570" s="128">
        <v>44835</v>
      </c>
      <c r="F570" s="128">
        <v>45016</v>
      </c>
      <c r="G5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255.15</v>
      </c>
      <c r="H570" s="128" t="str">
        <f t="shared" ca="1" si="8"/>
        <v>NO</v>
      </c>
      <c r="K570" s="130" t="s">
        <v>1659</v>
      </c>
      <c r="L570" s="598">
        <v>164.9</v>
      </c>
      <c r="Q570" t="s">
        <v>1525</v>
      </c>
      <c r="R570">
        <v>449.69594000000001</v>
      </c>
    </row>
    <row r="571" spans="1:18">
      <c r="A571" t="s">
        <v>992</v>
      </c>
      <c r="B571" t="s">
        <v>858</v>
      </c>
      <c r="C571" t="s">
        <v>994</v>
      </c>
      <c r="D571">
        <v>230.00000000000003</v>
      </c>
      <c r="E571" s="128">
        <v>36526</v>
      </c>
      <c r="F571" s="128">
        <v>44834</v>
      </c>
      <c r="G5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230.00000000000003</v>
      </c>
      <c r="H571" s="128" t="str">
        <f t="shared" ca="1" si="8"/>
        <v>NO</v>
      </c>
      <c r="K571" s="130" t="s">
        <v>1660</v>
      </c>
      <c r="L571" s="598">
        <v>201</v>
      </c>
      <c r="Q571" t="s">
        <v>1645</v>
      </c>
      <c r="R571">
        <v>535.95663999999999</v>
      </c>
    </row>
    <row r="572" spans="1:18">
      <c r="A572" t="s">
        <v>992</v>
      </c>
      <c r="B572" t="s">
        <v>858</v>
      </c>
      <c r="C572" t="s">
        <v>994</v>
      </c>
      <c r="D572">
        <v>241.49999999999997</v>
      </c>
      <c r="E572" s="128">
        <v>44835</v>
      </c>
      <c r="F572" s="128">
        <v>45016</v>
      </c>
      <c r="G5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241.49999999999997</v>
      </c>
      <c r="H572" s="128" t="str">
        <f t="shared" ca="1" si="8"/>
        <v>NO</v>
      </c>
      <c r="K572" s="130" t="s">
        <v>1661</v>
      </c>
      <c r="L572" s="598">
        <v>154.70000000000002</v>
      </c>
      <c r="Q572" t="s">
        <v>1526</v>
      </c>
      <c r="R572">
        <v>2087.0329999999999</v>
      </c>
    </row>
    <row r="573" spans="1:18">
      <c r="A573" t="s">
        <v>992</v>
      </c>
      <c r="B573" t="s">
        <v>855</v>
      </c>
      <c r="C573" t="s">
        <v>994</v>
      </c>
      <c r="D573">
        <v>170</v>
      </c>
      <c r="E573" s="128">
        <v>36526</v>
      </c>
      <c r="F573" s="128">
        <v>44834</v>
      </c>
      <c r="G5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170</v>
      </c>
      <c r="H573" s="128" t="str">
        <f t="shared" ca="1" si="8"/>
        <v>NO</v>
      </c>
      <c r="K573" s="130" t="s">
        <v>1662</v>
      </c>
      <c r="L573" s="598">
        <v>208.8</v>
      </c>
      <c r="Q573" t="s">
        <v>1527</v>
      </c>
      <c r="R573">
        <v>188.6223</v>
      </c>
    </row>
    <row r="574" spans="1:18">
      <c r="A574" t="s">
        <v>992</v>
      </c>
      <c r="B574" t="s">
        <v>855</v>
      </c>
      <c r="C574" t="s">
        <v>994</v>
      </c>
      <c r="D574">
        <v>178.5</v>
      </c>
      <c r="E574" s="128">
        <v>44835</v>
      </c>
      <c r="F574" s="128">
        <v>45016</v>
      </c>
      <c r="G5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178.5</v>
      </c>
      <c r="H574" s="128" t="str">
        <f t="shared" ca="1" si="8"/>
        <v>NO</v>
      </c>
      <c r="K574" s="130" t="s">
        <v>1663</v>
      </c>
      <c r="L574" s="598">
        <v>300</v>
      </c>
      <c r="Q574" t="s">
        <v>1528</v>
      </c>
      <c r="R574">
        <v>650.8723</v>
      </c>
    </row>
    <row r="575" spans="1:18">
      <c r="A575" t="s">
        <v>992</v>
      </c>
      <c r="B575" t="s">
        <v>1282</v>
      </c>
      <c r="C575" t="s">
        <v>994</v>
      </c>
      <c r="D575">
        <v>248</v>
      </c>
      <c r="E575" s="128">
        <v>36526</v>
      </c>
      <c r="F575" s="128">
        <v>43713</v>
      </c>
      <c r="G5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248</v>
      </c>
      <c r="H575" s="128" t="str">
        <f t="shared" ca="1" si="8"/>
        <v>NO</v>
      </c>
      <c r="K575" s="130" t="s">
        <v>1664</v>
      </c>
      <c r="L575" s="598">
        <v>137.28</v>
      </c>
      <c r="Q575" t="s">
        <v>1529</v>
      </c>
      <c r="R575">
        <v>985.91510000000005</v>
      </c>
    </row>
    <row r="576" spans="1:18">
      <c r="A576" t="s">
        <v>992</v>
      </c>
      <c r="B576" t="s">
        <v>1282</v>
      </c>
      <c r="C576" t="s">
        <v>994</v>
      </c>
      <c r="D576">
        <v>310</v>
      </c>
      <c r="E576" s="128">
        <v>43714</v>
      </c>
      <c r="F576" s="128">
        <v>47483</v>
      </c>
      <c r="G5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310</v>
      </c>
      <c r="H576" s="128" t="str">
        <f t="shared" ca="1" si="8"/>
        <v>YES</v>
      </c>
      <c r="K576" s="130" t="s">
        <v>1665</v>
      </c>
      <c r="L576" s="598">
        <v>64</v>
      </c>
      <c r="Q576" t="s">
        <v>256</v>
      </c>
      <c r="R576">
        <v>576.70942000000002</v>
      </c>
    </row>
    <row r="577" spans="1:18">
      <c r="A577" t="s">
        <v>992</v>
      </c>
      <c r="B577" t="s">
        <v>1283</v>
      </c>
      <c r="C577" t="s">
        <v>994</v>
      </c>
      <c r="D577">
        <v>310</v>
      </c>
      <c r="E577" s="128">
        <v>36526</v>
      </c>
      <c r="F577" s="128">
        <v>47483</v>
      </c>
      <c r="G5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310</v>
      </c>
      <c r="H577" s="128" t="str">
        <f t="shared" ca="1" si="8"/>
        <v>YES</v>
      </c>
      <c r="K577" s="130" t="s">
        <v>1666</v>
      </c>
      <c r="L577" s="598">
        <v>161</v>
      </c>
      <c r="Q577" t="s">
        <v>1530</v>
      </c>
      <c r="R577">
        <v>941.10230000000001</v>
      </c>
    </row>
    <row r="578" spans="1:18">
      <c r="A578" t="s">
        <v>992</v>
      </c>
      <c r="B578" t="s">
        <v>1284</v>
      </c>
      <c r="C578" t="s">
        <v>994</v>
      </c>
      <c r="D578">
        <v>91</v>
      </c>
      <c r="E578" s="128">
        <v>36526</v>
      </c>
      <c r="F578" s="128">
        <v>47483</v>
      </c>
      <c r="G5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</v>
      </c>
      <c r="H578" s="128" t="str">
        <f t="shared" ref="H578:H641" ca="1" si="9">IF(OR(F578=0,F578&gt;TODAY()),"YES","NO")</f>
        <v>YES</v>
      </c>
      <c r="K578" s="130" t="s">
        <v>1667</v>
      </c>
      <c r="L578" s="598">
        <v>180</v>
      </c>
      <c r="Q578" t="s">
        <v>805</v>
      </c>
      <c r="R578">
        <v>489.0523</v>
      </c>
    </row>
    <row r="579" spans="1:18">
      <c r="A579" t="s">
        <v>992</v>
      </c>
      <c r="B579" t="s">
        <v>1284</v>
      </c>
      <c r="C579" t="s">
        <v>994</v>
      </c>
      <c r="D579">
        <v>61</v>
      </c>
      <c r="E579" s="128">
        <v>36526</v>
      </c>
      <c r="F579" s="128">
        <v>47483</v>
      </c>
      <c r="G5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</v>
      </c>
      <c r="H579" s="128" t="str">
        <f t="shared" ca="1" si="9"/>
        <v>YES</v>
      </c>
      <c r="K579" s="130" t="s">
        <v>1668</v>
      </c>
      <c r="L579" s="598">
        <v>268</v>
      </c>
      <c r="Q579" t="s">
        <v>1531</v>
      </c>
      <c r="R579">
        <v>921.6323000000001</v>
      </c>
    </row>
    <row r="580" spans="1:18">
      <c r="A580" t="s">
        <v>992</v>
      </c>
      <c r="B580" t="s">
        <v>1285</v>
      </c>
      <c r="C580" t="s">
        <v>994</v>
      </c>
      <c r="D580">
        <v>279</v>
      </c>
      <c r="E580" s="128">
        <v>36526</v>
      </c>
      <c r="F580" s="128">
        <v>47483</v>
      </c>
      <c r="G5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279</v>
      </c>
      <c r="H580" s="128" t="str">
        <f t="shared" ca="1" si="9"/>
        <v>YES</v>
      </c>
      <c r="K580" s="130" t="s">
        <v>1669</v>
      </c>
      <c r="L580" s="598">
        <v>565</v>
      </c>
      <c r="Q580" t="s">
        <v>1533</v>
      </c>
      <c r="R580">
        <v>685.20230000000004</v>
      </c>
    </row>
    <row r="581" spans="1:18">
      <c r="A581" t="s">
        <v>992</v>
      </c>
      <c r="B581" t="s">
        <v>1286</v>
      </c>
      <c r="C581" t="s">
        <v>994</v>
      </c>
      <c r="D581">
        <v>389.00000000000006</v>
      </c>
      <c r="E581" s="128">
        <v>36526</v>
      </c>
      <c r="F581" s="128">
        <v>47483</v>
      </c>
      <c r="G5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389.00000000000006</v>
      </c>
      <c r="H581" s="128" t="str">
        <f t="shared" ca="1" si="9"/>
        <v>YES</v>
      </c>
      <c r="K581" s="130" t="s">
        <v>1670</v>
      </c>
      <c r="L581" s="598">
        <v>154</v>
      </c>
      <c r="Q581" t="s">
        <v>1534</v>
      </c>
      <c r="R581">
        <v>922.57229999999993</v>
      </c>
    </row>
    <row r="582" spans="1:18">
      <c r="A582" t="s">
        <v>992</v>
      </c>
      <c r="B582" t="s">
        <v>1286</v>
      </c>
      <c r="C582" t="s">
        <v>994</v>
      </c>
      <c r="D582">
        <v>322</v>
      </c>
      <c r="E582" s="128">
        <v>36526</v>
      </c>
      <c r="F582" s="128">
        <v>47483</v>
      </c>
      <c r="G5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322</v>
      </c>
      <c r="H582" s="128" t="str">
        <f t="shared" ca="1" si="9"/>
        <v>YES</v>
      </c>
      <c r="K582" s="130" t="s">
        <v>1671</v>
      </c>
      <c r="L582" s="598">
        <v>169</v>
      </c>
      <c r="Q582" t="s">
        <v>1535</v>
      </c>
      <c r="R582">
        <v>990.63229999999999</v>
      </c>
    </row>
    <row r="583" spans="1:18">
      <c r="A583" t="s">
        <v>992</v>
      </c>
      <c r="B583" t="s">
        <v>1287</v>
      </c>
      <c r="C583" t="s">
        <v>1085</v>
      </c>
      <c r="D583">
        <v>260</v>
      </c>
      <c r="E583" s="128">
        <v>36526</v>
      </c>
      <c r="F583" s="128">
        <v>47483</v>
      </c>
      <c r="G5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228.8</v>
      </c>
      <c r="H583" s="128" t="str">
        <f t="shared" ca="1" si="9"/>
        <v>YES</v>
      </c>
      <c r="K583" s="130" t="s">
        <v>1672</v>
      </c>
      <c r="L583" s="598">
        <v>282</v>
      </c>
      <c r="Q583" t="s">
        <v>1536</v>
      </c>
      <c r="R583">
        <v>1391.6550999999999</v>
      </c>
    </row>
    <row r="584" spans="1:18">
      <c r="A584" t="s">
        <v>992</v>
      </c>
      <c r="B584" t="s">
        <v>1287</v>
      </c>
      <c r="C584" t="s">
        <v>994</v>
      </c>
      <c r="D584">
        <v>188</v>
      </c>
      <c r="E584" s="128">
        <v>36526</v>
      </c>
      <c r="F584" s="128">
        <v>47483</v>
      </c>
      <c r="G5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188</v>
      </c>
      <c r="H584" s="128" t="str">
        <f t="shared" ca="1" si="9"/>
        <v>YES</v>
      </c>
      <c r="K584" s="130" t="s">
        <v>901</v>
      </c>
      <c r="L584" s="598">
        <v>162</v>
      </c>
      <c r="Q584" t="s">
        <v>1537</v>
      </c>
      <c r="R584">
        <v>757.02229999999997</v>
      </c>
    </row>
    <row r="585" spans="1:18">
      <c r="A585" t="s">
        <v>992</v>
      </c>
      <c r="B585" t="s">
        <v>1288</v>
      </c>
      <c r="C585" t="s">
        <v>994</v>
      </c>
      <c r="D585">
        <v>105000</v>
      </c>
      <c r="E585" s="128">
        <v>36526</v>
      </c>
      <c r="F585" s="128">
        <v>47483</v>
      </c>
      <c r="G5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105000</v>
      </c>
      <c r="H585" s="128" t="str">
        <f t="shared" ca="1" si="9"/>
        <v>YES</v>
      </c>
      <c r="K585" s="130" t="s">
        <v>899</v>
      </c>
      <c r="L585" s="598">
        <v>181</v>
      </c>
      <c r="Q585" t="s">
        <v>1538</v>
      </c>
      <c r="R585">
        <v>837.07229999999993</v>
      </c>
    </row>
    <row r="586" spans="1:18">
      <c r="A586" t="s">
        <v>992</v>
      </c>
      <c r="B586" t="s">
        <v>1289</v>
      </c>
      <c r="C586" t="s">
        <v>994</v>
      </c>
      <c r="D586">
        <v>289</v>
      </c>
      <c r="E586" s="128">
        <v>36526</v>
      </c>
      <c r="F586" s="128">
        <v>47483</v>
      </c>
      <c r="G5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289</v>
      </c>
      <c r="H586" s="128" t="str">
        <f t="shared" ca="1" si="9"/>
        <v>YES</v>
      </c>
      <c r="K586" s="130" t="s">
        <v>1673</v>
      </c>
      <c r="L586" s="598">
        <v>550.46</v>
      </c>
      <c r="Q586" t="s">
        <v>1539</v>
      </c>
      <c r="R586">
        <v>603.6123</v>
      </c>
    </row>
    <row r="587" spans="1:18">
      <c r="A587" t="s">
        <v>992</v>
      </c>
      <c r="B587" t="s">
        <v>870</v>
      </c>
      <c r="C587" t="s">
        <v>994</v>
      </c>
      <c r="D587">
        <v>106</v>
      </c>
      <c r="E587" s="128">
        <v>44197</v>
      </c>
      <c r="F587" s="128">
        <v>44561</v>
      </c>
      <c r="G5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</v>
      </c>
      <c r="H587" s="128" t="str">
        <f t="shared" ca="1" si="9"/>
        <v>NO</v>
      </c>
      <c r="K587" s="130" t="s">
        <v>1674</v>
      </c>
      <c r="L587" s="598">
        <v>140.751</v>
      </c>
      <c r="Q587" t="s">
        <v>1540</v>
      </c>
      <c r="R587">
        <v>437.44230000000005</v>
      </c>
    </row>
    <row r="588" spans="1:18">
      <c r="A588" t="s">
        <v>992</v>
      </c>
      <c r="B588" t="s">
        <v>870</v>
      </c>
      <c r="C588" t="s">
        <v>994</v>
      </c>
      <c r="D588">
        <v>104.99999999999999</v>
      </c>
      <c r="E588" s="128">
        <v>44562</v>
      </c>
      <c r="F588" s="128">
        <v>44834</v>
      </c>
      <c r="G5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104.99999999999999</v>
      </c>
      <c r="H588" s="128" t="str">
        <f t="shared" ca="1" si="9"/>
        <v>NO</v>
      </c>
      <c r="K588" s="130" t="s">
        <v>1364</v>
      </c>
      <c r="L588" s="598">
        <v>450</v>
      </c>
      <c r="Q588" t="s">
        <v>1541</v>
      </c>
      <c r="R588">
        <v>467.5403</v>
      </c>
    </row>
    <row r="589" spans="1:18">
      <c r="A589" t="s">
        <v>992</v>
      </c>
      <c r="B589" t="s">
        <v>870</v>
      </c>
      <c r="C589" t="s">
        <v>994</v>
      </c>
      <c r="D589">
        <v>110.25</v>
      </c>
      <c r="E589" s="128">
        <v>44835</v>
      </c>
      <c r="F589" s="128">
        <v>45016</v>
      </c>
      <c r="G5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110.25</v>
      </c>
      <c r="H589" s="128" t="str">
        <f t="shared" ca="1" si="9"/>
        <v>NO</v>
      </c>
      <c r="K589" s="130" t="s">
        <v>1372</v>
      </c>
      <c r="L589" s="598">
        <v>400.97</v>
      </c>
      <c r="Q589" t="s">
        <v>1542</v>
      </c>
      <c r="R589">
        <v>681.01029999999992</v>
      </c>
    </row>
    <row r="590" spans="1:18">
      <c r="A590" t="s">
        <v>992</v>
      </c>
      <c r="B590" t="s">
        <v>1290</v>
      </c>
      <c r="C590" t="s">
        <v>994</v>
      </c>
      <c r="D590">
        <v>110</v>
      </c>
      <c r="E590" s="128">
        <v>36526</v>
      </c>
      <c r="F590" s="128">
        <v>43843</v>
      </c>
      <c r="G5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</v>
      </c>
      <c r="H590" s="128" t="str">
        <f t="shared" ca="1" si="9"/>
        <v>NO</v>
      </c>
      <c r="K590" s="130" t="s">
        <v>1411</v>
      </c>
      <c r="L590" s="598">
        <v>188.5</v>
      </c>
      <c r="Q590" t="s">
        <v>1543</v>
      </c>
      <c r="R590">
        <v>219.3459</v>
      </c>
    </row>
    <row r="591" spans="1:18">
      <c r="A591" t="s">
        <v>992</v>
      </c>
      <c r="B591" t="s">
        <v>1290</v>
      </c>
      <c r="C591" t="s">
        <v>994</v>
      </c>
      <c r="D591">
        <v>130</v>
      </c>
      <c r="E591" s="128">
        <v>43844</v>
      </c>
      <c r="F591" s="128">
        <v>47483</v>
      </c>
      <c r="G5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</v>
      </c>
      <c r="H591" s="128" t="str">
        <f t="shared" ca="1" si="9"/>
        <v>YES</v>
      </c>
      <c r="K591" s="130" t="s">
        <v>853</v>
      </c>
      <c r="L591" s="598">
        <v>884</v>
      </c>
      <c r="Q591" t="s">
        <v>1544</v>
      </c>
      <c r="R591">
        <v>556.28509999999994</v>
      </c>
    </row>
    <row r="592" spans="1:18">
      <c r="A592" t="s">
        <v>992</v>
      </c>
      <c r="B592" t="s">
        <v>1291</v>
      </c>
      <c r="C592" t="s">
        <v>994</v>
      </c>
      <c r="D592">
        <v>155</v>
      </c>
      <c r="E592" s="128">
        <v>36526</v>
      </c>
      <c r="F592" s="128">
        <v>44089</v>
      </c>
      <c r="G5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155</v>
      </c>
      <c r="H592" s="128" t="str">
        <f t="shared" ca="1" si="9"/>
        <v>NO</v>
      </c>
      <c r="K592" s="130" t="s">
        <v>1485</v>
      </c>
      <c r="L592" s="598">
        <v>310</v>
      </c>
      <c r="Q592" t="s">
        <v>1545</v>
      </c>
      <c r="R592">
        <v>596.96035000000006</v>
      </c>
    </row>
    <row r="593" spans="1:18">
      <c r="A593" t="s">
        <v>992</v>
      </c>
      <c r="B593" t="s">
        <v>1291</v>
      </c>
      <c r="C593" t="s">
        <v>994</v>
      </c>
      <c r="D593">
        <v>161.26000000000002</v>
      </c>
      <c r="E593" s="128">
        <v>44090</v>
      </c>
      <c r="F593" s="128">
        <v>47483</v>
      </c>
      <c r="G5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161.26000000000002</v>
      </c>
      <c r="H593" s="128" t="str">
        <f t="shared" ca="1" si="9"/>
        <v>YES</v>
      </c>
      <c r="K593" s="130" t="s">
        <v>1487</v>
      </c>
      <c r="L593" s="598">
        <v>284.5</v>
      </c>
      <c r="Q593" t="s">
        <v>258</v>
      </c>
      <c r="R593">
        <v>1128.28313</v>
      </c>
    </row>
    <row r="594" spans="1:18">
      <c r="A594" t="s">
        <v>992</v>
      </c>
      <c r="B594" t="s">
        <v>1292</v>
      </c>
      <c r="C594" t="s">
        <v>994</v>
      </c>
      <c r="D594">
        <v>190.00000000000003</v>
      </c>
      <c r="E594" s="128">
        <v>36526</v>
      </c>
      <c r="F594" s="128">
        <v>44089</v>
      </c>
      <c r="G5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190.00000000000003</v>
      </c>
      <c r="H594" s="128" t="str">
        <f t="shared" ca="1" si="9"/>
        <v>NO</v>
      </c>
      <c r="K594" s="130" t="s">
        <v>1518</v>
      </c>
      <c r="L594" s="598">
        <v>258.33333333333331</v>
      </c>
      <c r="Q594" t="s">
        <v>1546</v>
      </c>
      <c r="R594">
        <v>781.39982999999995</v>
      </c>
    </row>
    <row r="595" spans="1:18">
      <c r="A595" t="s">
        <v>992</v>
      </c>
      <c r="B595" t="s">
        <v>1292</v>
      </c>
      <c r="C595" t="s">
        <v>994</v>
      </c>
      <c r="D595">
        <v>197.26000000000002</v>
      </c>
      <c r="E595" s="128">
        <v>44090</v>
      </c>
      <c r="F595" s="128">
        <v>47483</v>
      </c>
      <c r="G5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197.26000000000002</v>
      </c>
      <c r="H595" s="128" t="str">
        <f t="shared" ca="1" si="9"/>
        <v>YES</v>
      </c>
      <c r="K595" s="130" t="s">
        <v>1520</v>
      </c>
      <c r="L595" s="598">
        <v>240</v>
      </c>
      <c r="Q595" t="s">
        <v>1547</v>
      </c>
      <c r="R595">
        <v>856.58659</v>
      </c>
    </row>
    <row r="596" spans="1:18">
      <c r="A596" t="s">
        <v>992</v>
      </c>
      <c r="B596" t="s">
        <v>1293</v>
      </c>
      <c r="C596" t="s">
        <v>994</v>
      </c>
      <c r="D596">
        <v>216</v>
      </c>
      <c r="E596" s="128">
        <v>44197</v>
      </c>
      <c r="F596" s="128">
        <v>44561</v>
      </c>
      <c r="G5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216</v>
      </c>
      <c r="H596" s="128" t="str">
        <f t="shared" ca="1" si="9"/>
        <v>NO</v>
      </c>
      <c r="K596" s="130" t="s">
        <v>1676</v>
      </c>
      <c r="L596" s="598">
        <v>535</v>
      </c>
      <c r="Q596" t="s">
        <v>1548</v>
      </c>
      <c r="R596">
        <v>4474.5929999999998</v>
      </c>
    </row>
    <row r="597" spans="1:18">
      <c r="A597" t="s">
        <v>992</v>
      </c>
      <c r="B597" t="s">
        <v>1293</v>
      </c>
      <c r="C597" t="s">
        <v>994</v>
      </c>
      <c r="D597">
        <v>213</v>
      </c>
      <c r="E597" s="128">
        <v>44562</v>
      </c>
      <c r="F597" s="128">
        <v>44926</v>
      </c>
      <c r="G5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213</v>
      </c>
      <c r="H597" s="128" t="str">
        <f t="shared" ca="1" si="9"/>
        <v>NO</v>
      </c>
      <c r="K597" s="130" t="s">
        <v>1677</v>
      </c>
      <c r="L597" s="598">
        <v>594</v>
      </c>
      <c r="Q597" t="s">
        <v>1549</v>
      </c>
      <c r="R597">
        <v>810.92399</v>
      </c>
    </row>
    <row r="598" spans="1:18">
      <c r="A598" t="s">
        <v>992</v>
      </c>
      <c r="B598" t="s">
        <v>1293</v>
      </c>
      <c r="C598" t="s">
        <v>994</v>
      </c>
      <c r="D598">
        <v>209.99999999999997</v>
      </c>
      <c r="E598" s="128">
        <v>44927</v>
      </c>
      <c r="F598" s="128">
        <v>45016</v>
      </c>
      <c r="G5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209.99999999999997</v>
      </c>
      <c r="H598" s="128" t="str">
        <f t="shared" ca="1" si="9"/>
        <v>NO</v>
      </c>
      <c r="K598" s="130" t="s">
        <v>1678</v>
      </c>
      <c r="L598" s="598">
        <v>1010</v>
      </c>
      <c r="Q598" t="s">
        <v>1550</v>
      </c>
      <c r="R598">
        <v>521.39509999999996</v>
      </c>
    </row>
    <row r="599" spans="1:18">
      <c r="A599" t="s">
        <v>992</v>
      </c>
      <c r="B599" t="s">
        <v>1294</v>
      </c>
      <c r="C599" t="s">
        <v>994</v>
      </c>
      <c r="D599">
        <v>240</v>
      </c>
      <c r="E599" s="128">
        <v>36526</v>
      </c>
      <c r="F599" s="128">
        <v>47483</v>
      </c>
      <c r="G5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240</v>
      </c>
      <c r="H599" s="128" t="str">
        <f t="shared" ca="1" si="9"/>
        <v>YES</v>
      </c>
      <c r="K599" s="130" t="s">
        <v>1679</v>
      </c>
      <c r="L599" s="598">
        <v>1041.5</v>
      </c>
      <c r="Q599" t="s">
        <v>1551</v>
      </c>
      <c r="R599">
        <v>206.78514000000001</v>
      </c>
    </row>
    <row r="600" spans="1:18">
      <c r="A600" t="s">
        <v>992</v>
      </c>
      <c r="B600" t="s">
        <v>1294</v>
      </c>
      <c r="C600" t="s">
        <v>994</v>
      </c>
      <c r="D600">
        <v>189</v>
      </c>
      <c r="E600" s="128">
        <v>36526</v>
      </c>
      <c r="F600" s="128">
        <v>47483</v>
      </c>
      <c r="G6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</v>
      </c>
      <c r="H600" s="128" t="str">
        <f t="shared" ca="1" si="9"/>
        <v>YES</v>
      </c>
      <c r="K600" s="130" t="s">
        <v>1032</v>
      </c>
      <c r="L600" s="598">
        <v>710</v>
      </c>
      <c r="Q600" t="s">
        <v>1552</v>
      </c>
      <c r="R600">
        <v>283.64071999999999</v>
      </c>
    </row>
    <row r="601" spans="1:18">
      <c r="A601" t="s">
        <v>992</v>
      </c>
      <c r="B601" t="s">
        <v>1295</v>
      </c>
      <c r="C601" t="s">
        <v>994</v>
      </c>
      <c r="D601">
        <v>171</v>
      </c>
      <c r="E601" s="128">
        <v>36526</v>
      </c>
      <c r="F601" s="128">
        <v>44972</v>
      </c>
      <c r="G6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171</v>
      </c>
      <c r="H601" s="128" t="str">
        <f t="shared" ca="1" si="9"/>
        <v>NO</v>
      </c>
      <c r="K601" s="130" t="s">
        <v>1680</v>
      </c>
      <c r="L601" s="598">
        <v>1431.5</v>
      </c>
      <c r="Q601" t="s">
        <v>259</v>
      </c>
      <c r="R601">
        <v>282.88695999999999</v>
      </c>
    </row>
    <row r="602" spans="1:18">
      <c r="A602" t="s">
        <v>992</v>
      </c>
      <c r="B602" t="s">
        <v>1295</v>
      </c>
      <c r="C602" t="s">
        <v>994</v>
      </c>
      <c r="D602">
        <v>209.99999999999997</v>
      </c>
      <c r="E602" s="128">
        <v>44973</v>
      </c>
      <c r="F602" s="128">
        <v>54835</v>
      </c>
      <c r="G6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209.99999999999997</v>
      </c>
      <c r="H602" s="128" t="str">
        <f t="shared" ca="1" si="9"/>
        <v>YES</v>
      </c>
      <c r="K602" s="130" t="s">
        <v>1018</v>
      </c>
      <c r="L602" s="598">
        <v>311.32</v>
      </c>
      <c r="Q602" t="s">
        <v>1553</v>
      </c>
      <c r="R602">
        <v>633.92510000000004</v>
      </c>
    </row>
    <row r="603" spans="1:18">
      <c r="A603" t="s">
        <v>992</v>
      </c>
      <c r="B603" t="s">
        <v>1296</v>
      </c>
      <c r="C603" t="s">
        <v>994</v>
      </c>
      <c r="D603">
        <v>1291</v>
      </c>
      <c r="E603" s="128">
        <v>44229</v>
      </c>
      <c r="F603" s="128">
        <v>44681</v>
      </c>
      <c r="G6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1291</v>
      </c>
      <c r="H603" s="128" t="str">
        <f t="shared" ca="1" si="9"/>
        <v>NO</v>
      </c>
      <c r="K603" s="130" t="s">
        <v>1420</v>
      </c>
      <c r="L603" s="598">
        <v>6078.5</v>
      </c>
      <c r="Q603" t="s">
        <v>1554</v>
      </c>
      <c r="R603">
        <v>546.14819</v>
      </c>
    </row>
    <row r="604" spans="1:18">
      <c r="A604" t="s">
        <v>992</v>
      </c>
      <c r="B604" t="s">
        <v>1296</v>
      </c>
      <c r="C604" t="s">
        <v>994</v>
      </c>
      <c r="D604">
        <v>1252</v>
      </c>
      <c r="E604" s="128">
        <v>44682</v>
      </c>
      <c r="F604" s="128">
        <v>47483</v>
      </c>
      <c r="G6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1252</v>
      </c>
      <c r="H604" s="128" t="str">
        <f t="shared" ca="1" si="9"/>
        <v>YES</v>
      </c>
      <c r="K604" s="130" t="s">
        <v>1422</v>
      </c>
      <c r="L604" s="598">
        <v>180</v>
      </c>
      <c r="Q604" t="s">
        <v>1555</v>
      </c>
      <c r="R604">
        <v>1293.2517800000001</v>
      </c>
    </row>
    <row r="605" spans="1:18">
      <c r="A605" t="s">
        <v>992</v>
      </c>
      <c r="B605" t="s">
        <v>1297</v>
      </c>
      <c r="C605" t="s">
        <v>994</v>
      </c>
      <c r="D605">
        <v>467.99999999999994</v>
      </c>
      <c r="E605" s="128">
        <v>36526</v>
      </c>
      <c r="F605" s="128">
        <v>47483</v>
      </c>
      <c r="G6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467.99999999999994</v>
      </c>
      <c r="H605" s="128" t="str">
        <f t="shared" ca="1" si="9"/>
        <v>YES</v>
      </c>
      <c r="K605" s="130" t="s">
        <v>819</v>
      </c>
      <c r="L605" s="598">
        <v>775.95</v>
      </c>
      <c r="Q605" t="s">
        <v>1556</v>
      </c>
      <c r="R605">
        <v>733.74396999999999</v>
      </c>
    </row>
    <row r="606" spans="1:18">
      <c r="A606" t="s">
        <v>992</v>
      </c>
      <c r="B606" t="s">
        <v>1298</v>
      </c>
      <c r="C606" t="s">
        <v>994</v>
      </c>
      <c r="D606">
        <v>254.00000000000003</v>
      </c>
      <c r="E606" s="128">
        <v>36526</v>
      </c>
      <c r="F606" s="128">
        <v>47483</v>
      </c>
      <c r="G6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254.00000000000003</v>
      </c>
      <c r="H606" s="128" t="str">
        <f t="shared" ca="1" si="9"/>
        <v>YES</v>
      </c>
      <c r="K606" s="130" t="s">
        <v>837</v>
      </c>
      <c r="L606" s="598">
        <v>465</v>
      </c>
      <c r="Q606" t="s">
        <v>1675</v>
      </c>
      <c r="R606">
        <v>671.26509999999996</v>
      </c>
    </row>
    <row r="607" spans="1:18">
      <c r="A607" t="s">
        <v>992</v>
      </c>
      <c r="B607" t="s">
        <v>1299</v>
      </c>
      <c r="C607" t="s">
        <v>994</v>
      </c>
      <c r="D607">
        <v>375</v>
      </c>
      <c r="E607" s="128">
        <v>44186</v>
      </c>
      <c r="F607" s="128">
        <v>44834</v>
      </c>
      <c r="G6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375</v>
      </c>
      <c r="H607" s="128" t="str">
        <f t="shared" ca="1" si="9"/>
        <v>NO</v>
      </c>
      <c r="K607" s="130" t="s">
        <v>1425</v>
      </c>
      <c r="L607" s="598">
        <v>396.00000000000006</v>
      </c>
      <c r="Q607" t="s">
        <v>1557</v>
      </c>
      <c r="R607">
        <v>950.7521999999999</v>
      </c>
    </row>
    <row r="608" spans="1:18">
      <c r="A608" t="s">
        <v>992</v>
      </c>
      <c r="B608" t="s">
        <v>1299</v>
      </c>
      <c r="C608" t="s">
        <v>994</v>
      </c>
      <c r="D608">
        <v>393.75</v>
      </c>
      <c r="E608" s="128">
        <v>44835</v>
      </c>
      <c r="F608" s="128">
        <v>45016</v>
      </c>
      <c r="G6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393.75</v>
      </c>
      <c r="H608" s="128" t="str">
        <f t="shared" ca="1" si="9"/>
        <v>NO</v>
      </c>
      <c r="K608" s="130" t="s">
        <v>1681</v>
      </c>
      <c r="L608" s="598">
        <v>370</v>
      </c>
      <c r="Q608" t="s">
        <v>1558</v>
      </c>
      <c r="R608">
        <v>595.06510000000003</v>
      </c>
    </row>
    <row r="609" spans="1:18">
      <c r="A609" t="s">
        <v>992</v>
      </c>
      <c r="B609" t="s">
        <v>1300</v>
      </c>
      <c r="C609" t="s">
        <v>994</v>
      </c>
      <c r="D609">
        <v>627</v>
      </c>
      <c r="E609" s="128">
        <v>44186</v>
      </c>
      <c r="F609" s="128">
        <v>44834</v>
      </c>
      <c r="G6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627</v>
      </c>
      <c r="H609" s="128" t="str">
        <f t="shared" ca="1" si="9"/>
        <v>NO</v>
      </c>
      <c r="K609" s="130" t="s">
        <v>1675</v>
      </c>
      <c r="L609" s="598">
        <v>1151.28</v>
      </c>
      <c r="Q609" t="s">
        <v>1559</v>
      </c>
      <c r="R609">
        <v>3747.4101999999998</v>
      </c>
    </row>
    <row r="610" spans="1:18">
      <c r="A610" t="s">
        <v>992</v>
      </c>
      <c r="B610" t="s">
        <v>1300</v>
      </c>
      <c r="C610" t="s">
        <v>994</v>
      </c>
      <c r="D610">
        <v>658.35</v>
      </c>
      <c r="E610" s="128">
        <v>44835</v>
      </c>
      <c r="F610" s="128">
        <v>45016</v>
      </c>
      <c r="G6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658.35</v>
      </c>
      <c r="H610" s="128" t="str">
        <f t="shared" ca="1" si="9"/>
        <v>NO</v>
      </c>
      <c r="K610" s="130" t="s">
        <v>993</v>
      </c>
      <c r="L610" s="598">
        <v>325.32499999999999</v>
      </c>
      <c r="Q610" t="s">
        <v>1560</v>
      </c>
      <c r="R610">
        <v>678.73220000000003</v>
      </c>
    </row>
    <row r="611" spans="1:18">
      <c r="A611" t="s">
        <v>992</v>
      </c>
      <c r="B611" t="s">
        <v>1301</v>
      </c>
      <c r="C611" t="s">
        <v>994</v>
      </c>
      <c r="D611">
        <v>227</v>
      </c>
      <c r="E611" s="128">
        <v>36526</v>
      </c>
      <c r="F611" s="128">
        <v>44834</v>
      </c>
      <c r="G6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227</v>
      </c>
      <c r="H611" s="128" t="str">
        <f t="shared" ca="1" si="9"/>
        <v>NO</v>
      </c>
      <c r="K611" s="130" t="s">
        <v>996</v>
      </c>
      <c r="L611" s="598">
        <v>313.32499999999999</v>
      </c>
      <c r="Q611" t="s">
        <v>260</v>
      </c>
      <c r="R611">
        <v>1779.6352899999999</v>
      </c>
    </row>
    <row r="612" spans="1:18">
      <c r="A612" t="s">
        <v>992</v>
      </c>
      <c r="B612" t="s">
        <v>1301</v>
      </c>
      <c r="C612" t="s">
        <v>994</v>
      </c>
      <c r="D612">
        <v>238.35</v>
      </c>
      <c r="E612" s="128">
        <v>44835</v>
      </c>
      <c r="F612" s="128">
        <v>45016</v>
      </c>
      <c r="G6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238.35</v>
      </c>
      <c r="H612" s="128" t="str">
        <f t="shared" ca="1" si="9"/>
        <v>NO</v>
      </c>
      <c r="K612" s="130" t="s">
        <v>1002</v>
      </c>
      <c r="L612" s="598">
        <v>355.34999999999997</v>
      </c>
      <c r="Q612" t="s">
        <v>1091</v>
      </c>
      <c r="R612">
        <v>417.55955</v>
      </c>
    </row>
    <row r="613" spans="1:18">
      <c r="A613" t="s">
        <v>992</v>
      </c>
      <c r="B613" t="s">
        <v>851</v>
      </c>
      <c r="C613" t="s">
        <v>994</v>
      </c>
      <c r="D613">
        <v>392</v>
      </c>
      <c r="E613" s="128">
        <v>36526</v>
      </c>
      <c r="F613" s="128">
        <v>47483</v>
      </c>
      <c r="G6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392</v>
      </c>
      <c r="H613" s="128" t="str">
        <f t="shared" ca="1" si="9"/>
        <v>YES</v>
      </c>
      <c r="K613" s="130" t="s">
        <v>1010</v>
      </c>
      <c r="L613" s="598">
        <v>355.34000000000003</v>
      </c>
      <c r="Q613" t="s">
        <v>1561</v>
      </c>
      <c r="R613">
        <v>1307.0711099999999</v>
      </c>
    </row>
    <row r="614" spans="1:18">
      <c r="A614" t="s">
        <v>992</v>
      </c>
      <c r="B614" t="s">
        <v>851</v>
      </c>
      <c r="C614" t="s">
        <v>994</v>
      </c>
      <c r="D614">
        <v>257</v>
      </c>
      <c r="E614" s="128">
        <v>36526</v>
      </c>
      <c r="F614" s="128">
        <v>47483</v>
      </c>
      <c r="G6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257</v>
      </c>
      <c r="H614" s="128" t="str">
        <f t="shared" ca="1" si="9"/>
        <v>YES</v>
      </c>
      <c r="K614" s="130" t="s">
        <v>1013</v>
      </c>
      <c r="L614" s="598">
        <v>202.11999999999998</v>
      </c>
      <c r="Q614" t="s">
        <v>1562</v>
      </c>
      <c r="R614">
        <v>861.88305999999989</v>
      </c>
    </row>
    <row r="615" spans="1:18">
      <c r="A615" t="s">
        <v>992</v>
      </c>
      <c r="B615" t="s">
        <v>807</v>
      </c>
      <c r="C615" t="s">
        <v>994</v>
      </c>
      <c r="D615">
        <v>177.44</v>
      </c>
      <c r="E615" s="128">
        <v>36526</v>
      </c>
      <c r="F615" s="128">
        <v>46387</v>
      </c>
      <c r="G6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177.44</v>
      </c>
      <c r="H615" s="128" t="str">
        <f t="shared" ca="1" si="9"/>
        <v>YES</v>
      </c>
      <c r="K615" s="130" t="s">
        <v>1025</v>
      </c>
      <c r="L615" s="598">
        <v>512.09</v>
      </c>
      <c r="Q615" t="s">
        <v>1563</v>
      </c>
      <c r="R615">
        <v>1888.6023</v>
      </c>
    </row>
    <row r="616" spans="1:18">
      <c r="A616" t="s">
        <v>992</v>
      </c>
      <c r="B616" t="s">
        <v>1302</v>
      </c>
      <c r="C616" t="s">
        <v>994</v>
      </c>
      <c r="D616">
        <v>300</v>
      </c>
      <c r="E616" s="128">
        <v>36526</v>
      </c>
      <c r="F616" s="128">
        <v>44314</v>
      </c>
      <c r="G6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300</v>
      </c>
      <c r="H616" s="128" t="str">
        <f t="shared" ca="1" si="9"/>
        <v>NO</v>
      </c>
      <c r="K616" s="130" t="s">
        <v>1029</v>
      </c>
      <c r="L616" s="598">
        <v>377.05</v>
      </c>
      <c r="Q616" t="s">
        <v>1564</v>
      </c>
      <c r="R616">
        <v>1063.4410600000001</v>
      </c>
    </row>
    <row r="617" spans="1:18">
      <c r="A617" t="s">
        <v>992</v>
      </c>
      <c r="B617" t="s">
        <v>1302</v>
      </c>
      <c r="C617" t="s">
        <v>994</v>
      </c>
      <c r="D617">
        <v>293</v>
      </c>
      <c r="E617" s="128">
        <v>44315</v>
      </c>
      <c r="F617" s="128">
        <v>47483</v>
      </c>
      <c r="G6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293</v>
      </c>
      <c r="H617" s="128" t="str">
        <f t="shared" ca="1" si="9"/>
        <v>YES</v>
      </c>
      <c r="K617" s="130" t="s">
        <v>1112</v>
      </c>
      <c r="L617" s="598">
        <v>201.99999999999997</v>
      </c>
      <c r="Q617" t="s">
        <v>1565</v>
      </c>
      <c r="R617">
        <v>733.77659000000006</v>
      </c>
    </row>
    <row r="618" spans="1:18">
      <c r="A618" t="s">
        <v>992</v>
      </c>
      <c r="B618" t="s">
        <v>1303</v>
      </c>
      <c r="C618" t="s">
        <v>994</v>
      </c>
      <c r="D618">
        <v>508.00000000000006</v>
      </c>
      <c r="E618" s="128">
        <v>44835</v>
      </c>
      <c r="F618" s="128">
        <v>47483</v>
      </c>
      <c r="G6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508.00000000000006</v>
      </c>
      <c r="H618" s="128" t="str">
        <f t="shared" ca="1" si="9"/>
        <v>YES</v>
      </c>
      <c r="K618" s="130" t="s">
        <v>1408</v>
      </c>
      <c r="L618" s="598">
        <v>180</v>
      </c>
      <c r="Q618" t="s">
        <v>1566</v>
      </c>
      <c r="R618">
        <v>605.60509999999999</v>
      </c>
    </row>
    <row r="619" spans="1:18">
      <c r="A619" t="s">
        <v>992</v>
      </c>
      <c r="B619" t="s">
        <v>1304</v>
      </c>
      <c r="C619" t="s">
        <v>994</v>
      </c>
      <c r="D619">
        <v>245</v>
      </c>
      <c r="E619" s="128">
        <v>44186</v>
      </c>
      <c r="F619" s="128">
        <v>44834</v>
      </c>
      <c r="G6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245</v>
      </c>
      <c r="H619" s="128" t="str">
        <f t="shared" ca="1" si="9"/>
        <v>NO</v>
      </c>
      <c r="K619" s="130" t="s">
        <v>1575</v>
      </c>
      <c r="L619" s="598">
        <v>350</v>
      </c>
      <c r="Q619" t="s">
        <v>1567</v>
      </c>
      <c r="R619">
        <v>732.06236999999999</v>
      </c>
    </row>
    <row r="620" spans="1:18">
      <c r="A620" t="s">
        <v>992</v>
      </c>
      <c r="B620" t="s">
        <v>1304</v>
      </c>
      <c r="C620" t="s">
        <v>994</v>
      </c>
      <c r="D620">
        <v>257.25</v>
      </c>
      <c r="E620" s="128">
        <v>44835</v>
      </c>
      <c r="F620" s="128">
        <v>45016</v>
      </c>
      <c r="G6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257.25</v>
      </c>
      <c r="H620" s="128" t="str">
        <f t="shared" ca="1" si="9"/>
        <v>NO</v>
      </c>
      <c r="K620" s="130" t="s">
        <v>1006</v>
      </c>
      <c r="L620" s="598">
        <v>179.37</v>
      </c>
      <c r="Q620" t="s">
        <v>1568</v>
      </c>
      <c r="R620">
        <v>693.2222999999999</v>
      </c>
    </row>
    <row r="621" spans="1:18">
      <c r="A621" t="s">
        <v>992</v>
      </c>
      <c r="B621" t="s">
        <v>1305</v>
      </c>
      <c r="C621" t="s">
        <v>994</v>
      </c>
      <c r="D621">
        <v>245</v>
      </c>
      <c r="E621" s="128">
        <v>44186</v>
      </c>
      <c r="F621" s="128">
        <v>47483</v>
      </c>
      <c r="G6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245</v>
      </c>
      <c r="H621" s="128" t="str">
        <f t="shared" ca="1" si="9"/>
        <v>YES</v>
      </c>
      <c r="K621" s="130" t="s">
        <v>1682</v>
      </c>
      <c r="L621" s="598">
        <v>662.6</v>
      </c>
      <c r="Q621" t="s">
        <v>1569</v>
      </c>
      <c r="R621">
        <v>887.76094999999998</v>
      </c>
    </row>
    <row r="622" spans="1:18">
      <c r="A622" t="s">
        <v>992</v>
      </c>
      <c r="B622" t="s">
        <v>1306</v>
      </c>
      <c r="C622" t="s">
        <v>994</v>
      </c>
      <c r="D622">
        <v>190.00000000000003</v>
      </c>
      <c r="E622" s="128">
        <v>36526</v>
      </c>
      <c r="F622" s="128">
        <v>47483</v>
      </c>
      <c r="G6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190.00000000000003</v>
      </c>
      <c r="H622" s="128" t="str">
        <f t="shared" ca="1" si="9"/>
        <v>YES</v>
      </c>
      <c r="K622" s="130" t="s">
        <v>1027</v>
      </c>
      <c r="L622" s="598">
        <v>277.58999999999997</v>
      </c>
      <c r="Q622" t="s">
        <v>1570</v>
      </c>
      <c r="R622">
        <v>612.80570999999998</v>
      </c>
    </row>
    <row r="623" spans="1:18">
      <c r="A623" t="s">
        <v>992</v>
      </c>
      <c r="B623" t="s">
        <v>1307</v>
      </c>
      <c r="C623" t="s">
        <v>994</v>
      </c>
      <c r="D623">
        <v>187</v>
      </c>
      <c r="E623" s="128">
        <v>36526</v>
      </c>
      <c r="F623" s="128">
        <v>47483</v>
      </c>
      <c r="G6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187</v>
      </c>
      <c r="H623" s="128" t="str">
        <f t="shared" ca="1" si="9"/>
        <v>YES</v>
      </c>
      <c r="K623" s="130" t="s">
        <v>1045</v>
      </c>
      <c r="L623" s="598">
        <v>283.26</v>
      </c>
      <c r="Q623" t="s">
        <v>1572</v>
      </c>
      <c r="R623">
        <v>652.93230000000005</v>
      </c>
    </row>
    <row r="624" spans="1:18">
      <c r="A624" t="s">
        <v>992</v>
      </c>
      <c r="B624" t="s">
        <v>1308</v>
      </c>
      <c r="C624" t="s">
        <v>994</v>
      </c>
      <c r="D624">
        <v>314</v>
      </c>
      <c r="E624" s="128">
        <v>36526</v>
      </c>
      <c r="F624" s="128">
        <v>47483</v>
      </c>
      <c r="G6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314</v>
      </c>
      <c r="H624" s="128" t="str">
        <f t="shared" ca="1" si="9"/>
        <v>YES</v>
      </c>
      <c r="K624" s="130" t="s">
        <v>1015</v>
      </c>
      <c r="L624" s="598">
        <v>355.34000000000003</v>
      </c>
      <c r="Q624" t="s">
        <v>867</v>
      </c>
      <c r="R624">
        <v>308.29658999999998</v>
      </c>
    </row>
    <row r="625" spans="1:18">
      <c r="A625" t="s">
        <v>992</v>
      </c>
      <c r="B625" t="s">
        <v>1309</v>
      </c>
      <c r="C625" t="s">
        <v>994</v>
      </c>
      <c r="D625">
        <v>429.00000000000006</v>
      </c>
      <c r="E625" s="128">
        <v>36526</v>
      </c>
      <c r="F625" s="128">
        <v>47483</v>
      </c>
      <c r="G6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429.00000000000006</v>
      </c>
      <c r="H625" s="128" t="str">
        <f t="shared" ca="1" si="9"/>
        <v>YES</v>
      </c>
      <c r="K625" s="130" t="s">
        <v>1157</v>
      </c>
      <c r="L625" s="598">
        <v>362.21</v>
      </c>
      <c r="Q625" t="s">
        <v>1573</v>
      </c>
      <c r="R625">
        <v>241.70659000000001</v>
      </c>
    </row>
    <row r="626" spans="1:18">
      <c r="A626" t="s">
        <v>992</v>
      </c>
      <c r="B626" t="s">
        <v>1310</v>
      </c>
      <c r="C626" t="s">
        <v>994</v>
      </c>
      <c r="D626">
        <v>383</v>
      </c>
      <c r="E626" s="128">
        <v>36526</v>
      </c>
      <c r="F626" s="128">
        <v>47483</v>
      </c>
      <c r="G6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383</v>
      </c>
      <c r="H626" s="128" t="str">
        <f t="shared" ca="1" si="9"/>
        <v>YES</v>
      </c>
      <c r="K626" s="130" t="s">
        <v>1326</v>
      </c>
      <c r="L626" s="598">
        <v>514</v>
      </c>
      <c r="Q626" t="s">
        <v>1574</v>
      </c>
      <c r="R626">
        <v>347.0951</v>
      </c>
    </row>
    <row r="627" spans="1:18">
      <c r="A627" t="s">
        <v>992</v>
      </c>
      <c r="B627" t="s">
        <v>1311</v>
      </c>
      <c r="C627" t="s">
        <v>994</v>
      </c>
      <c r="D627">
        <v>450</v>
      </c>
      <c r="E627" s="128">
        <v>36526</v>
      </c>
      <c r="F627" s="128">
        <v>47483</v>
      </c>
      <c r="G6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450</v>
      </c>
      <c r="H627" s="128" t="str">
        <f t="shared" ca="1" si="9"/>
        <v>YES</v>
      </c>
      <c r="K627" s="130" t="s">
        <v>1000</v>
      </c>
      <c r="L627" s="598">
        <v>174</v>
      </c>
      <c r="Q627" t="s">
        <v>1681</v>
      </c>
      <c r="R627">
        <v>327.11659000000003</v>
      </c>
    </row>
    <row r="628" spans="1:18">
      <c r="A628" t="s">
        <v>992</v>
      </c>
      <c r="B628" t="s">
        <v>1312</v>
      </c>
      <c r="C628" t="s">
        <v>994</v>
      </c>
      <c r="D628">
        <v>151.5</v>
      </c>
      <c r="E628" s="128">
        <v>36526</v>
      </c>
      <c r="F628" s="128">
        <v>46387</v>
      </c>
      <c r="G6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151.5</v>
      </c>
      <c r="H628" s="128" t="str">
        <f t="shared" ca="1" si="9"/>
        <v>YES</v>
      </c>
      <c r="K628" s="130" t="s">
        <v>1004</v>
      </c>
      <c r="L628" s="598">
        <v>426.93</v>
      </c>
      <c r="Q628" t="s">
        <v>1576</v>
      </c>
      <c r="R628">
        <v>564.10298</v>
      </c>
    </row>
    <row r="629" spans="1:18">
      <c r="A629" t="s">
        <v>992</v>
      </c>
      <c r="B629" t="s">
        <v>1313</v>
      </c>
      <c r="C629" t="s">
        <v>994</v>
      </c>
      <c r="D629">
        <v>240</v>
      </c>
      <c r="E629" s="128">
        <v>36526</v>
      </c>
      <c r="F629" s="128">
        <v>47483</v>
      </c>
      <c r="G6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240</v>
      </c>
      <c r="H629" s="128" t="str">
        <f t="shared" ca="1" si="9"/>
        <v>YES</v>
      </c>
      <c r="K629" s="130" t="s">
        <v>1007</v>
      </c>
      <c r="L629" s="598">
        <v>101.97000000000001</v>
      </c>
      <c r="Q629" t="s">
        <v>907</v>
      </c>
      <c r="R629">
        <v>432.73671999999999</v>
      </c>
    </row>
    <row r="630" spans="1:18">
      <c r="A630" t="s">
        <v>992</v>
      </c>
      <c r="B630" t="s">
        <v>1313</v>
      </c>
      <c r="C630" t="s">
        <v>994</v>
      </c>
      <c r="D630">
        <v>189</v>
      </c>
      <c r="E630" s="128">
        <v>36526</v>
      </c>
      <c r="F630" s="128">
        <v>47483</v>
      </c>
      <c r="G6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</v>
      </c>
      <c r="H630" s="128" t="str">
        <f t="shared" ca="1" si="9"/>
        <v>YES</v>
      </c>
      <c r="K630" s="130" t="s">
        <v>1016</v>
      </c>
      <c r="L630" s="598">
        <v>174</v>
      </c>
      <c r="Q630" t="s">
        <v>1577</v>
      </c>
      <c r="R630">
        <v>855.14183000000003</v>
      </c>
    </row>
    <row r="631" spans="1:18">
      <c r="A631" t="s">
        <v>992</v>
      </c>
      <c r="B631" t="s">
        <v>1314</v>
      </c>
      <c r="C631" t="s">
        <v>994</v>
      </c>
      <c r="D631">
        <v>316.8</v>
      </c>
      <c r="E631" s="128">
        <v>44320</v>
      </c>
      <c r="F631" s="128">
        <v>44926</v>
      </c>
      <c r="G6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316.8</v>
      </c>
      <c r="H631" s="128" t="str">
        <f t="shared" ca="1" si="9"/>
        <v>NO</v>
      </c>
      <c r="K631" s="130" t="s">
        <v>1021</v>
      </c>
      <c r="L631" s="598">
        <v>384.57000000000005</v>
      </c>
      <c r="Q631" t="s">
        <v>1578</v>
      </c>
      <c r="R631">
        <v>816.0643</v>
      </c>
    </row>
    <row r="632" spans="1:18">
      <c r="A632" t="s">
        <v>992</v>
      </c>
      <c r="B632" t="s">
        <v>1314</v>
      </c>
      <c r="C632" t="s">
        <v>994</v>
      </c>
      <c r="D632">
        <v>298.3</v>
      </c>
      <c r="E632" s="128">
        <v>44927</v>
      </c>
      <c r="F632" s="128">
        <v>45016</v>
      </c>
      <c r="G6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298.3</v>
      </c>
      <c r="H632" s="128" t="str">
        <f t="shared" ca="1" si="9"/>
        <v>NO</v>
      </c>
      <c r="K632" s="130" t="s">
        <v>1003</v>
      </c>
      <c r="L632" s="598">
        <v>410.65</v>
      </c>
      <c r="Q632" t="s">
        <v>801</v>
      </c>
      <c r="R632">
        <v>587.45416999999998</v>
      </c>
    </row>
    <row r="633" spans="1:18">
      <c r="A633" t="s">
        <v>992</v>
      </c>
      <c r="B633" t="s">
        <v>1315</v>
      </c>
      <c r="C633" t="s">
        <v>994</v>
      </c>
      <c r="D633">
        <v>425</v>
      </c>
      <c r="E633" s="128">
        <v>36526</v>
      </c>
      <c r="F633" s="128">
        <v>47483</v>
      </c>
      <c r="G6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425</v>
      </c>
      <c r="H633" s="128" t="str">
        <f t="shared" ca="1" si="9"/>
        <v>YES</v>
      </c>
      <c r="K633" s="130" t="s">
        <v>1083</v>
      </c>
      <c r="L633" s="598">
        <v>350.82</v>
      </c>
      <c r="Q633" t="s">
        <v>1579</v>
      </c>
      <c r="R633">
        <v>441.14183000000003</v>
      </c>
    </row>
    <row r="634" spans="1:18">
      <c r="A634" t="s">
        <v>992</v>
      </c>
      <c r="B634" t="s">
        <v>1316</v>
      </c>
      <c r="C634" t="s">
        <v>994</v>
      </c>
      <c r="D634">
        <v>485.00000000000006</v>
      </c>
      <c r="E634" s="128">
        <v>44197</v>
      </c>
      <c r="F634" s="128">
        <v>47483</v>
      </c>
      <c r="G6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485.00000000000006</v>
      </c>
      <c r="H634" s="128" t="str">
        <f t="shared" ca="1" si="9"/>
        <v>YES</v>
      </c>
      <c r="K634" s="130" t="s">
        <v>1039</v>
      </c>
      <c r="L634" s="598">
        <v>854.99</v>
      </c>
      <c r="Q634" t="s">
        <v>1580</v>
      </c>
      <c r="R634">
        <v>535.53658999999993</v>
      </c>
    </row>
    <row r="635" spans="1:18">
      <c r="A635" t="s">
        <v>992</v>
      </c>
      <c r="B635" t="s">
        <v>1316</v>
      </c>
      <c r="C635" t="s">
        <v>994</v>
      </c>
      <c r="D635">
        <v>470</v>
      </c>
      <c r="E635" s="128">
        <v>45292</v>
      </c>
      <c r="F635" s="128">
        <v>45657</v>
      </c>
      <c r="G6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470</v>
      </c>
      <c r="H635" s="128" t="str">
        <f t="shared" ca="1" si="9"/>
        <v>NO</v>
      </c>
      <c r="K635" s="130" t="s">
        <v>1054</v>
      </c>
      <c r="L635" s="598">
        <v>354.37</v>
      </c>
      <c r="Q635" t="s">
        <v>1581</v>
      </c>
      <c r="R635">
        <v>508.17659000000003</v>
      </c>
    </row>
    <row r="636" spans="1:18">
      <c r="A636" t="s">
        <v>992</v>
      </c>
      <c r="B636" t="s">
        <v>1316</v>
      </c>
      <c r="C636" t="s">
        <v>994</v>
      </c>
      <c r="D636">
        <v>456</v>
      </c>
      <c r="E636" s="128">
        <v>45658</v>
      </c>
      <c r="F636" s="128">
        <v>46022</v>
      </c>
      <c r="G6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456</v>
      </c>
      <c r="H636" s="128" t="str">
        <f t="shared" ca="1" si="9"/>
        <v>YES</v>
      </c>
      <c r="K636" s="130" t="s">
        <v>1494</v>
      </c>
      <c r="L636" s="598">
        <v>710</v>
      </c>
      <c r="Q636" t="s">
        <v>1582</v>
      </c>
      <c r="R636">
        <v>1143.12366</v>
      </c>
    </row>
    <row r="637" spans="1:18">
      <c r="A637" t="s">
        <v>992</v>
      </c>
      <c r="B637" t="s">
        <v>1316</v>
      </c>
      <c r="C637" t="s">
        <v>994</v>
      </c>
      <c r="D637">
        <v>442.99999999999994</v>
      </c>
      <c r="E637" s="128">
        <v>46023</v>
      </c>
      <c r="F637" s="128">
        <v>46387</v>
      </c>
      <c r="G6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442.99999999999994</v>
      </c>
      <c r="H637" s="128" t="str">
        <f t="shared" ca="1" si="9"/>
        <v>YES</v>
      </c>
      <c r="K637" s="130" t="s">
        <v>1427</v>
      </c>
      <c r="L637" s="598">
        <v>211</v>
      </c>
      <c r="Q637" t="s">
        <v>1583</v>
      </c>
      <c r="R637">
        <v>470.61682000000002</v>
      </c>
    </row>
    <row r="638" spans="1:18">
      <c r="A638" t="s">
        <v>992</v>
      </c>
      <c r="B638" t="s">
        <v>1317</v>
      </c>
      <c r="C638" t="s">
        <v>994</v>
      </c>
      <c r="D638">
        <v>278</v>
      </c>
      <c r="E638" s="128">
        <v>36526</v>
      </c>
      <c r="F638" s="128">
        <v>47483</v>
      </c>
      <c r="G6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278</v>
      </c>
      <c r="H638" s="128" t="str">
        <f t="shared" ca="1" si="9"/>
        <v>YES</v>
      </c>
      <c r="K638" s="130" t="s">
        <v>1639</v>
      </c>
      <c r="L638" s="598">
        <v>892</v>
      </c>
      <c r="Q638" t="s">
        <v>1584</v>
      </c>
      <c r="R638">
        <v>858.31164000000001</v>
      </c>
    </row>
    <row r="639" spans="1:18">
      <c r="A639" t="s">
        <v>992</v>
      </c>
      <c r="B639" t="s">
        <v>1317</v>
      </c>
      <c r="C639" t="s">
        <v>994</v>
      </c>
      <c r="D639">
        <v>255</v>
      </c>
      <c r="E639" s="128">
        <v>36526</v>
      </c>
      <c r="F639" s="128">
        <v>47483</v>
      </c>
      <c r="G6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</v>
      </c>
      <c r="H639" s="128" t="str">
        <f t="shared" ca="1" si="9"/>
        <v>YES</v>
      </c>
      <c r="K639" s="130" t="s">
        <v>1429</v>
      </c>
      <c r="L639" s="598">
        <v>199</v>
      </c>
      <c r="Q639" t="s">
        <v>1585</v>
      </c>
      <c r="R639">
        <v>465.31488000000002</v>
      </c>
    </row>
    <row r="640" spans="1:18">
      <c r="A640" t="s">
        <v>992</v>
      </c>
      <c r="B640" t="s">
        <v>1318</v>
      </c>
      <c r="C640" t="s">
        <v>994</v>
      </c>
      <c r="D640">
        <v>400</v>
      </c>
      <c r="E640" s="128">
        <v>36526</v>
      </c>
      <c r="F640" s="128">
        <v>44834</v>
      </c>
      <c r="G6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400</v>
      </c>
      <c r="H640" s="128" t="str">
        <f t="shared" ca="1" si="9"/>
        <v>NO</v>
      </c>
      <c r="K640" s="130" t="s">
        <v>1532</v>
      </c>
      <c r="L640" s="598">
        <v>160</v>
      </c>
      <c r="Q640" t="s">
        <v>1586</v>
      </c>
      <c r="R640">
        <v>479.28832</v>
      </c>
    </row>
    <row r="641" spans="1:18">
      <c r="A641" t="s">
        <v>992</v>
      </c>
      <c r="B641" t="s">
        <v>1318</v>
      </c>
      <c r="C641" t="s">
        <v>994</v>
      </c>
      <c r="D641">
        <v>419.99999999999994</v>
      </c>
      <c r="E641" s="128">
        <v>44835</v>
      </c>
      <c r="F641" s="128">
        <v>45016</v>
      </c>
      <c r="G6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419.99999999999994</v>
      </c>
      <c r="H641" s="128" t="str">
        <f t="shared" ca="1" si="9"/>
        <v>NO</v>
      </c>
      <c r="K641" s="130" t="s">
        <v>1431</v>
      </c>
      <c r="L641" s="598">
        <v>143</v>
      </c>
      <c r="Q641" t="s">
        <v>1683</v>
      </c>
      <c r="R641">
        <v>854.32105999999999</v>
      </c>
    </row>
    <row r="642" spans="1:18">
      <c r="A642" t="s">
        <v>992</v>
      </c>
      <c r="B642" t="s">
        <v>1319</v>
      </c>
      <c r="C642" t="s">
        <v>994</v>
      </c>
      <c r="D642">
        <v>564</v>
      </c>
      <c r="E642" s="128">
        <v>44927</v>
      </c>
      <c r="F642" s="128">
        <v>45657</v>
      </c>
      <c r="G6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564</v>
      </c>
      <c r="H642" s="128" t="str">
        <f t="shared" ref="H642:H705" ca="1" si="10">IF(OR(F642=0,F642&gt;TODAY()),"YES","NO")</f>
        <v>NO</v>
      </c>
      <c r="K642" s="130" t="s">
        <v>1433</v>
      </c>
      <c r="L642" s="598">
        <v>139</v>
      </c>
      <c r="Q642" t="s">
        <v>1587</v>
      </c>
      <c r="R642">
        <v>390.43422000000004</v>
      </c>
    </row>
    <row r="643" spans="1:18">
      <c r="A643" t="s">
        <v>992</v>
      </c>
      <c r="B643" t="s">
        <v>1319</v>
      </c>
      <c r="C643" t="s">
        <v>994</v>
      </c>
      <c r="D643">
        <v>592</v>
      </c>
      <c r="E643" s="128">
        <v>45658</v>
      </c>
      <c r="F643" s="128">
        <v>46022</v>
      </c>
      <c r="G6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592</v>
      </c>
      <c r="H643" s="128" t="str">
        <f t="shared" ca="1" si="10"/>
        <v>YES</v>
      </c>
      <c r="K643" s="130" t="s">
        <v>1024</v>
      </c>
      <c r="L643" s="598">
        <v>441.34999999999997</v>
      </c>
      <c r="Q643" t="s">
        <v>1588</v>
      </c>
      <c r="R643">
        <v>741.55340999999999</v>
      </c>
    </row>
    <row r="644" spans="1:18">
      <c r="A644" t="s">
        <v>992</v>
      </c>
      <c r="B644" t="s">
        <v>1320</v>
      </c>
      <c r="C644" t="s">
        <v>994</v>
      </c>
      <c r="D644">
        <v>1520.0000000000002</v>
      </c>
      <c r="E644" s="128">
        <v>36526</v>
      </c>
      <c r="F644" s="128">
        <v>47483</v>
      </c>
      <c r="G6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1520.0000000000002</v>
      </c>
      <c r="H644" s="128" t="str">
        <f t="shared" ca="1" si="10"/>
        <v>YES</v>
      </c>
      <c r="K644" s="130" t="s">
        <v>1031</v>
      </c>
      <c r="L644" s="598">
        <v>441.34999999999997</v>
      </c>
      <c r="Q644" t="s">
        <v>1589</v>
      </c>
      <c r="R644">
        <v>854.27188999999987</v>
      </c>
    </row>
    <row r="645" spans="1:18">
      <c r="A645" t="s">
        <v>992</v>
      </c>
      <c r="B645" t="s">
        <v>1322</v>
      </c>
      <c r="C645" t="s">
        <v>994</v>
      </c>
      <c r="D645">
        <v>1097</v>
      </c>
      <c r="E645" s="128">
        <v>36526</v>
      </c>
      <c r="F645" s="128">
        <v>47483</v>
      </c>
      <c r="G6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1097</v>
      </c>
      <c r="H645" s="128" t="str">
        <f t="shared" ca="1" si="10"/>
        <v>YES</v>
      </c>
      <c r="K645" s="130" t="s">
        <v>1042</v>
      </c>
      <c r="L645" s="598">
        <v>2116</v>
      </c>
      <c r="Q645" t="s">
        <v>1590</v>
      </c>
      <c r="R645">
        <v>1358.85249</v>
      </c>
    </row>
    <row r="646" spans="1:18">
      <c r="A646" t="s">
        <v>992</v>
      </c>
      <c r="B646" t="s">
        <v>1323</v>
      </c>
      <c r="C646" t="s">
        <v>994</v>
      </c>
      <c r="D646">
        <v>320</v>
      </c>
      <c r="E646" s="128">
        <v>36526</v>
      </c>
      <c r="F646" s="128">
        <v>45657</v>
      </c>
      <c r="G6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320</v>
      </c>
      <c r="H646" s="128" t="str">
        <f t="shared" ca="1" si="10"/>
        <v>NO</v>
      </c>
      <c r="K646" s="130" t="s">
        <v>1685</v>
      </c>
      <c r="L646" s="598">
        <v>39.43</v>
      </c>
      <c r="Q646" t="s">
        <v>1591</v>
      </c>
      <c r="R646">
        <v>1158.9065900000001</v>
      </c>
    </row>
    <row r="647" spans="1:18">
      <c r="A647" t="s">
        <v>992</v>
      </c>
      <c r="B647" t="s">
        <v>1324</v>
      </c>
      <c r="C647" t="s">
        <v>994</v>
      </c>
      <c r="D647">
        <v>350</v>
      </c>
      <c r="E647" s="128">
        <v>44562</v>
      </c>
      <c r="F647" s="128">
        <v>45658</v>
      </c>
      <c r="G6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647" s="128" t="str">
        <f t="shared" ca="1" si="10"/>
        <v>NO</v>
      </c>
      <c r="K647" s="130" t="s">
        <v>1686</v>
      </c>
      <c r="L647" s="598">
        <v>740.7</v>
      </c>
      <c r="Q647" t="s">
        <v>1592</v>
      </c>
      <c r="R647">
        <v>1163.5465900000002</v>
      </c>
    </row>
    <row r="648" spans="1:18">
      <c r="A648" t="s">
        <v>992</v>
      </c>
      <c r="B648" t="s">
        <v>1325</v>
      </c>
      <c r="C648" t="s">
        <v>994</v>
      </c>
      <c r="D648">
        <v>530</v>
      </c>
      <c r="E648" s="128">
        <v>36526</v>
      </c>
      <c r="F648" s="128">
        <v>47483</v>
      </c>
      <c r="G6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530</v>
      </c>
      <c r="H648" s="128" t="str">
        <f t="shared" ca="1" si="10"/>
        <v>YES</v>
      </c>
      <c r="K648" s="130" t="s">
        <v>1439</v>
      </c>
      <c r="L648" s="598">
        <v>814.33333333333337</v>
      </c>
      <c r="Q648" t="s">
        <v>1593</v>
      </c>
      <c r="R648">
        <v>889.78188</v>
      </c>
    </row>
    <row r="649" spans="1:18">
      <c r="A649" t="s">
        <v>992</v>
      </c>
      <c r="B649" t="s">
        <v>888</v>
      </c>
      <c r="C649" t="s">
        <v>994</v>
      </c>
      <c r="D649">
        <v>364</v>
      </c>
      <c r="E649" s="128">
        <v>36526</v>
      </c>
      <c r="F649" s="128">
        <v>47483</v>
      </c>
      <c r="G6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364</v>
      </c>
      <c r="H649" s="128" t="str">
        <f t="shared" ca="1" si="10"/>
        <v>YES</v>
      </c>
      <c r="K649" s="130" t="s">
        <v>1441</v>
      </c>
      <c r="L649" s="598">
        <v>228.33333333333334</v>
      </c>
      <c r="Q649" t="s">
        <v>1594</v>
      </c>
      <c r="R649">
        <v>301.68509999999998</v>
      </c>
    </row>
    <row r="650" spans="1:18">
      <c r="A650" t="s">
        <v>992</v>
      </c>
      <c r="B650" t="s">
        <v>1327</v>
      </c>
      <c r="C650" t="s">
        <v>994</v>
      </c>
      <c r="D650">
        <v>923</v>
      </c>
      <c r="E650" s="128">
        <v>36526</v>
      </c>
      <c r="F650" s="128">
        <v>47483</v>
      </c>
      <c r="G6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923</v>
      </c>
      <c r="H650" s="128" t="str">
        <f t="shared" ca="1" si="10"/>
        <v>YES</v>
      </c>
      <c r="K650" s="130" t="s">
        <v>1597</v>
      </c>
      <c r="L650" s="598">
        <v>353.5</v>
      </c>
      <c r="Q650" t="s">
        <v>1595</v>
      </c>
      <c r="R650">
        <v>320.98655000000002</v>
      </c>
    </row>
    <row r="651" spans="1:18">
      <c r="A651" t="s">
        <v>992</v>
      </c>
      <c r="B651" t="s">
        <v>1328</v>
      </c>
      <c r="C651" t="s">
        <v>994</v>
      </c>
      <c r="D651">
        <v>394.99999999999994</v>
      </c>
      <c r="E651" s="128">
        <v>43831</v>
      </c>
      <c r="F651" s="128">
        <v>45657</v>
      </c>
      <c r="G6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394.99999999999994</v>
      </c>
      <c r="H651" s="128" t="str">
        <f t="shared" ca="1" si="10"/>
        <v>NO</v>
      </c>
      <c r="K651" s="130" t="s">
        <v>1435</v>
      </c>
      <c r="L651" s="598">
        <v>309</v>
      </c>
      <c r="Q651" t="s">
        <v>1596</v>
      </c>
      <c r="R651">
        <v>874.7602599999999</v>
      </c>
    </row>
    <row r="652" spans="1:18">
      <c r="A652" t="s">
        <v>992</v>
      </c>
      <c r="B652" t="s">
        <v>1328</v>
      </c>
      <c r="C652" t="s">
        <v>994</v>
      </c>
      <c r="D652">
        <v>389.00000000000006</v>
      </c>
      <c r="E652" s="128">
        <v>45658</v>
      </c>
      <c r="F652" s="128">
        <v>46022</v>
      </c>
      <c r="G6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389.00000000000006</v>
      </c>
      <c r="H652" s="128" t="str">
        <f t="shared" ca="1" si="10"/>
        <v>YES</v>
      </c>
      <c r="K652" s="130" t="s">
        <v>1437</v>
      </c>
      <c r="L652" s="598">
        <v>393.5</v>
      </c>
      <c r="Q652" t="s">
        <v>1598</v>
      </c>
      <c r="R652">
        <v>958.15193999999997</v>
      </c>
    </row>
    <row r="653" spans="1:18">
      <c r="A653" t="s">
        <v>992</v>
      </c>
      <c r="B653" t="s">
        <v>1329</v>
      </c>
      <c r="C653" t="s">
        <v>994</v>
      </c>
      <c r="D653">
        <v>345</v>
      </c>
      <c r="E653" s="128">
        <v>36526</v>
      </c>
      <c r="F653" s="128">
        <v>45657</v>
      </c>
      <c r="G6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345</v>
      </c>
      <c r="H653" s="128" t="str">
        <f t="shared" ca="1" si="10"/>
        <v>NO</v>
      </c>
      <c r="K653" s="130" t="s">
        <v>1491</v>
      </c>
      <c r="L653" s="598">
        <v>470</v>
      </c>
      <c r="Q653" t="s">
        <v>1599</v>
      </c>
      <c r="R653">
        <v>1190.2179100000001</v>
      </c>
    </row>
    <row r="654" spans="1:18">
      <c r="A654" t="s">
        <v>992</v>
      </c>
      <c r="B654" t="s">
        <v>1329</v>
      </c>
      <c r="C654" t="s">
        <v>994</v>
      </c>
      <c r="D654">
        <v>335</v>
      </c>
      <c r="E654" s="128">
        <v>45658</v>
      </c>
      <c r="F654" s="128">
        <v>46022</v>
      </c>
      <c r="G6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335</v>
      </c>
      <c r="H654" s="128" t="str">
        <f t="shared" ca="1" si="10"/>
        <v>YES</v>
      </c>
      <c r="K654" s="130" t="s">
        <v>1108</v>
      </c>
      <c r="L654" s="598">
        <v>1003.7700000000001</v>
      </c>
      <c r="Q654" t="s">
        <v>1600</v>
      </c>
      <c r="R654">
        <v>807.27653999999995</v>
      </c>
    </row>
    <row r="655" spans="1:18">
      <c r="A655" t="s">
        <v>992</v>
      </c>
      <c r="B655" t="s">
        <v>1329</v>
      </c>
      <c r="C655" t="s">
        <v>994</v>
      </c>
      <c r="D655">
        <v>325</v>
      </c>
      <c r="E655" s="128">
        <v>46023</v>
      </c>
      <c r="F655" s="128">
        <v>55153</v>
      </c>
      <c r="G6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325</v>
      </c>
      <c r="H655" s="128" t="str">
        <f t="shared" ca="1" si="10"/>
        <v>YES</v>
      </c>
      <c r="K655" s="130" t="s">
        <v>1687</v>
      </c>
      <c r="L655" s="598">
        <v>1536.8000000000002</v>
      </c>
      <c r="Q655" t="s">
        <v>1601</v>
      </c>
      <c r="R655">
        <v>829.69774000000007</v>
      </c>
    </row>
    <row r="656" spans="1:18">
      <c r="A656" t="s">
        <v>992</v>
      </c>
      <c r="B656" t="s">
        <v>849</v>
      </c>
      <c r="C656" t="s">
        <v>994</v>
      </c>
      <c r="D656">
        <v>241.99999999999997</v>
      </c>
      <c r="E656" s="128">
        <v>44927</v>
      </c>
      <c r="F656" s="128">
        <v>45657</v>
      </c>
      <c r="G6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241.99999999999997</v>
      </c>
      <c r="H656" s="128" t="str">
        <f t="shared" ca="1" si="10"/>
        <v>NO</v>
      </c>
      <c r="K656" s="130" t="s">
        <v>1135</v>
      </c>
      <c r="L656" s="598">
        <v>85</v>
      </c>
      <c r="Q656" t="s">
        <v>934</v>
      </c>
      <c r="R656">
        <v>1360.0845200000001</v>
      </c>
    </row>
    <row r="657" spans="1:18">
      <c r="A657" t="s">
        <v>992</v>
      </c>
      <c r="B657" t="s">
        <v>849</v>
      </c>
      <c r="C657" t="s">
        <v>994</v>
      </c>
      <c r="D657">
        <v>238.82000000000002</v>
      </c>
      <c r="E657" s="128">
        <v>45658</v>
      </c>
      <c r="F657" s="128">
        <v>46022</v>
      </c>
      <c r="G6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238.82000000000002</v>
      </c>
      <c r="H657" s="128" t="str">
        <f t="shared" ca="1" si="10"/>
        <v>YES</v>
      </c>
      <c r="K657" s="130" t="s">
        <v>1443</v>
      </c>
      <c r="L657" s="598">
        <v>176</v>
      </c>
      <c r="Q657" t="s">
        <v>1604</v>
      </c>
      <c r="R657">
        <v>873.72054000000003</v>
      </c>
    </row>
    <row r="658" spans="1:18">
      <c r="A658" t="s">
        <v>992</v>
      </c>
      <c r="B658" t="s">
        <v>833</v>
      </c>
      <c r="C658" t="s">
        <v>994</v>
      </c>
      <c r="D658">
        <v>313</v>
      </c>
      <c r="E658" s="128">
        <v>36526</v>
      </c>
      <c r="F658" s="128">
        <v>47483</v>
      </c>
      <c r="G6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313</v>
      </c>
      <c r="H658" s="128" t="str">
        <f t="shared" ca="1" si="10"/>
        <v>YES</v>
      </c>
      <c r="K658" s="130" t="s">
        <v>1263</v>
      </c>
      <c r="L658" s="598">
        <v>175</v>
      </c>
      <c r="Q658" t="s">
        <v>1684</v>
      </c>
      <c r="R658">
        <v>1371.45452</v>
      </c>
    </row>
    <row r="659" spans="1:18">
      <c r="A659" t="s">
        <v>992</v>
      </c>
      <c r="B659" t="s">
        <v>833</v>
      </c>
      <c r="C659" t="s">
        <v>994</v>
      </c>
      <c r="D659">
        <v>306</v>
      </c>
      <c r="E659" s="128">
        <v>45292</v>
      </c>
      <c r="F659" s="128">
        <v>45657</v>
      </c>
      <c r="G6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306</v>
      </c>
      <c r="H659" s="128" t="str">
        <f t="shared" ca="1" si="10"/>
        <v>NO</v>
      </c>
      <c r="K659" s="130" t="s">
        <v>1445</v>
      </c>
      <c r="L659" s="598">
        <v>150</v>
      </c>
      <c r="Q659" t="s">
        <v>1605</v>
      </c>
      <c r="R659">
        <v>894.00054</v>
      </c>
    </row>
    <row r="660" spans="1:18">
      <c r="A660" t="s">
        <v>992</v>
      </c>
      <c r="B660" t="s">
        <v>833</v>
      </c>
      <c r="C660" t="s">
        <v>994</v>
      </c>
      <c r="D660">
        <v>298</v>
      </c>
      <c r="E660" s="128">
        <v>45658</v>
      </c>
      <c r="F660" s="128">
        <v>46022</v>
      </c>
      <c r="G6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298</v>
      </c>
      <c r="H660" s="128" t="str">
        <f t="shared" ca="1" si="10"/>
        <v>YES</v>
      </c>
      <c r="K660" s="130" t="s">
        <v>1689</v>
      </c>
      <c r="L660" s="598">
        <v>1860</v>
      </c>
      <c r="Q660" t="s">
        <v>937</v>
      </c>
      <c r="R660">
        <v>923.18054000000006</v>
      </c>
    </row>
    <row r="661" spans="1:18">
      <c r="A661" t="s">
        <v>992</v>
      </c>
      <c r="B661" t="s">
        <v>833</v>
      </c>
      <c r="C661" t="s">
        <v>994</v>
      </c>
      <c r="D661">
        <v>292</v>
      </c>
      <c r="E661" s="128">
        <v>46023</v>
      </c>
      <c r="F661" s="128">
        <v>46387</v>
      </c>
      <c r="G6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292</v>
      </c>
      <c r="H661" s="128" t="str">
        <f t="shared" ca="1" si="10"/>
        <v>YES</v>
      </c>
      <c r="K661" s="130" t="s">
        <v>1690</v>
      </c>
      <c r="L661" s="598">
        <v>1302</v>
      </c>
      <c r="Q661" t="s">
        <v>1606</v>
      </c>
      <c r="R661">
        <v>920.69053999999994</v>
      </c>
    </row>
    <row r="662" spans="1:18">
      <c r="A662" t="s">
        <v>992</v>
      </c>
      <c r="B662" t="s">
        <v>1330</v>
      </c>
      <c r="C662" t="s">
        <v>994</v>
      </c>
      <c r="D662">
        <v>721</v>
      </c>
      <c r="E662" s="128">
        <v>36526</v>
      </c>
      <c r="F662" s="128">
        <v>47483</v>
      </c>
      <c r="G6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721</v>
      </c>
      <c r="H662" s="128" t="str">
        <f t="shared" ca="1" si="10"/>
        <v>YES</v>
      </c>
      <c r="K662" s="130" t="s">
        <v>1691</v>
      </c>
      <c r="L662" s="598">
        <v>1376</v>
      </c>
      <c r="Q662" t="s">
        <v>1607</v>
      </c>
      <c r="R662">
        <v>245.74659</v>
      </c>
    </row>
    <row r="663" spans="1:18">
      <c r="A663" t="s">
        <v>992</v>
      </c>
      <c r="B663" t="s">
        <v>1330</v>
      </c>
      <c r="C663" t="s">
        <v>994</v>
      </c>
      <c r="D663">
        <v>661</v>
      </c>
      <c r="E663" s="128">
        <v>36526</v>
      </c>
      <c r="F663" s="128">
        <v>47483</v>
      </c>
      <c r="G6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661</v>
      </c>
      <c r="H663" s="128" t="str">
        <f t="shared" ca="1" si="10"/>
        <v>YES</v>
      </c>
      <c r="K663" s="130" t="s">
        <v>1447</v>
      </c>
      <c r="L663" s="598">
        <v>323</v>
      </c>
      <c r="Q663" t="s">
        <v>1608</v>
      </c>
      <c r="R663">
        <v>322.98659000000004</v>
      </c>
    </row>
    <row r="664" spans="1:18">
      <c r="A664" t="s">
        <v>992</v>
      </c>
      <c r="B664" t="s">
        <v>1331</v>
      </c>
      <c r="C664" t="s">
        <v>994</v>
      </c>
      <c r="D664">
        <v>373</v>
      </c>
      <c r="E664" s="128">
        <v>36526</v>
      </c>
      <c r="F664" s="128">
        <v>47483</v>
      </c>
      <c r="G6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373</v>
      </c>
      <c r="H664" s="128" t="str">
        <f t="shared" ca="1" si="10"/>
        <v>YES</v>
      </c>
      <c r="K664" s="130" t="s">
        <v>1034</v>
      </c>
      <c r="L664" s="598">
        <v>513.16000000000008</v>
      </c>
      <c r="Q664" t="s">
        <v>1609</v>
      </c>
      <c r="R664">
        <v>1020.5522000000001</v>
      </c>
    </row>
    <row r="665" spans="1:18">
      <c r="A665" t="s">
        <v>992</v>
      </c>
      <c r="B665" t="s">
        <v>1331</v>
      </c>
      <c r="C665" t="s">
        <v>994</v>
      </c>
      <c r="D665">
        <v>290</v>
      </c>
      <c r="E665" s="128">
        <v>36526</v>
      </c>
      <c r="F665" s="128">
        <v>47483</v>
      </c>
      <c r="G6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290</v>
      </c>
      <c r="H665" s="128" t="str">
        <f t="shared" ca="1" si="10"/>
        <v>YES</v>
      </c>
      <c r="K665" s="130" t="s">
        <v>1692</v>
      </c>
      <c r="L665" s="598">
        <v>652.81000000000006</v>
      </c>
      <c r="Q665" t="s">
        <v>1676</v>
      </c>
      <c r="R665">
        <v>243.12007999999997</v>
      </c>
    </row>
    <row r="666" spans="1:18">
      <c r="A666" t="s">
        <v>992</v>
      </c>
      <c r="B666" t="s">
        <v>1332</v>
      </c>
      <c r="C666" t="s">
        <v>994</v>
      </c>
      <c r="D666">
        <v>361</v>
      </c>
      <c r="E666" s="128">
        <v>36526</v>
      </c>
      <c r="F666" s="128">
        <v>47483</v>
      </c>
      <c r="G6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361</v>
      </c>
      <c r="H666" s="128" t="str">
        <f t="shared" ca="1" si="10"/>
        <v>YES</v>
      </c>
      <c r="K666" s="130" t="s">
        <v>831</v>
      </c>
      <c r="L666" s="598">
        <v>541.26</v>
      </c>
      <c r="Q666" t="s">
        <v>1677</v>
      </c>
      <c r="R666">
        <v>221.08</v>
      </c>
    </row>
    <row r="667" spans="1:18">
      <c r="A667" t="s">
        <v>992</v>
      </c>
      <c r="B667" t="s">
        <v>1332</v>
      </c>
      <c r="C667" t="s">
        <v>994</v>
      </c>
      <c r="D667">
        <v>304</v>
      </c>
      <c r="E667" s="128">
        <v>36526</v>
      </c>
      <c r="F667" s="128">
        <v>47483</v>
      </c>
      <c r="G6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304</v>
      </c>
      <c r="H667" s="128" t="str">
        <f t="shared" ca="1" si="10"/>
        <v>YES</v>
      </c>
      <c r="K667" s="130" t="s">
        <v>1051</v>
      </c>
      <c r="L667" s="598">
        <v>213.11333333333334</v>
      </c>
      <c r="Q667" t="s">
        <v>1610</v>
      </c>
      <c r="R667">
        <v>679.63858000000005</v>
      </c>
    </row>
    <row r="668" spans="1:18">
      <c r="A668" t="s">
        <v>992</v>
      </c>
      <c r="B668" t="s">
        <v>1333</v>
      </c>
      <c r="C668" t="s">
        <v>994</v>
      </c>
      <c r="D668">
        <v>440</v>
      </c>
      <c r="E668" s="128">
        <v>36526</v>
      </c>
      <c r="F668" s="128">
        <v>47483</v>
      </c>
      <c r="G6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440</v>
      </c>
      <c r="H668" s="128" t="str">
        <f t="shared" ca="1" si="10"/>
        <v>YES</v>
      </c>
      <c r="K668" s="130" t="s">
        <v>1500</v>
      </c>
      <c r="L668" s="598">
        <v>255.15</v>
      </c>
      <c r="Q668" t="s">
        <v>1611</v>
      </c>
      <c r="R668">
        <v>571.95659000000001</v>
      </c>
    </row>
    <row r="669" spans="1:18">
      <c r="A669" t="s">
        <v>992</v>
      </c>
      <c r="B669" t="s">
        <v>1333</v>
      </c>
      <c r="C669" t="s">
        <v>994</v>
      </c>
      <c r="D669">
        <v>380.00000000000006</v>
      </c>
      <c r="E669" s="128">
        <v>36526</v>
      </c>
      <c r="F669" s="128">
        <v>47483</v>
      </c>
      <c r="G6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669" s="128" t="str">
        <f t="shared" ca="1" si="10"/>
        <v>YES</v>
      </c>
      <c r="K669" s="130" t="s">
        <v>1098</v>
      </c>
      <c r="L669" s="598">
        <v>110.5</v>
      </c>
      <c r="Q669" t="s">
        <v>1612</v>
      </c>
      <c r="R669">
        <v>555.63659000000007</v>
      </c>
    </row>
    <row r="670" spans="1:18">
      <c r="A670" t="s">
        <v>992</v>
      </c>
      <c r="B670" t="s">
        <v>1334</v>
      </c>
      <c r="C670" t="s">
        <v>994</v>
      </c>
      <c r="D670">
        <v>245</v>
      </c>
      <c r="E670" s="128">
        <v>36526</v>
      </c>
      <c r="F670" s="128">
        <v>47483</v>
      </c>
      <c r="G6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245</v>
      </c>
      <c r="H670" s="128" t="str">
        <f t="shared" ca="1" si="10"/>
        <v>YES</v>
      </c>
      <c r="K670" s="130" t="s">
        <v>244</v>
      </c>
      <c r="L670" s="598">
        <v>200</v>
      </c>
      <c r="Q670" t="s">
        <v>1613</v>
      </c>
      <c r="R670">
        <v>555.78016000000002</v>
      </c>
    </row>
    <row r="671" spans="1:18">
      <c r="A671" t="s">
        <v>992</v>
      </c>
      <c r="B671" t="s">
        <v>1335</v>
      </c>
      <c r="C671" t="s">
        <v>994</v>
      </c>
      <c r="D671">
        <v>254.00000000000003</v>
      </c>
      <c r="E671" s="128">
        <v>36526</v>
      </c>
      <c r="F671" s="128">
        <v>47483</v>
      </c>
      <c r="G6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254.00000000000003</v>
      </c>
      <c r="H671" s="128" t="str">
        <f t="shared" ca="1" si="10"/>
        <v>YES</v>
      </c>
      <c r="K671" s="130" t="s">
        <v>1095</v>
      </c>
      <c r="L671" s="598">
        <v>740</v>
      </c>
      <c r="Q671" t="s">
        <v>1614</v>
      </c>
      <c r="R671">
        <v>409.61221000000006</v>
      </c>
    </row>
    <row r="672" spans="1:18">
      <c r="A672" t="s">
        <v>992</v>
      </c>
      <c r="B672" t="s">
        <v>1336</v>
      </c>
      <c r="C672" t="s">
        <v>994</v>
      </c>
      <c r="D672">
        <v>286</v>
      </c>
      <c r="E672" s="128">
        <v>36526</v>
      </c>
      <c r="F672" s="128">
        <v>47483</v>
      </c>
      <c r="G6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286</v>
      </c>
      <c r="H672" s="128" t="str">
        <f t="shared" ca="1" si="10"/>
        <v>YES</v>
      </c>
      <c r="K672" s="130" t="s">
        <v>1012</v>
      </c>
      <c r="L672" s="598">
        <v>281.64</v>
      </c>
      <c r="Q672" t="s">
        <v>1615</v>
      </c>
      <c r="R672">
        <v>541.34885999999995</v>
      </c>
    </row>
    <row r="673" spans="1:18">
      <c r="A673" t="s">
        <v>992</v>
      </c>
      <c r="B673" t="s">
        <v>1337</v>
      </c>
      <c r="C673" t="s">
        <v>994</v>
      </c>
      <c r="D673">
        <v>426</v>
      </c>
      <c r="E673" s="128">
        <v>36526</v>
      </c>
      <c r="F673" s="128">
        <v>47483</v>
      </c>
      <c r="G6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426</v>
      </c>
      <c r="H673" s="128" t="str">
        <f t="shared" ca="1" si="10"/>
        <v>YES</v>
      </c>
      <c r="K673" s="130" t="s">
        <v>1110</v>
      </c>
      <c r="L673" s="598">
        <v>446.28000000000003</v>
      </c>
      <c r="Q673" t="s">
        <v>1617</v>
      </c>
      <c r="R673">
        <v>800.49541999999997</v>
      </c>
    </row>
    <row r="674" spans="1:18">
      <c r="A674" t="s">
        <v>992</v>
      </c>
      <c r="B674" t="s">
        <v>1337</v>
      </c>
      <c r="C674" t="s">
        <v>994</v>
      </c>
      <c r="D674">
        <v>391</v>
      </c>
      <c r="E674" s="128">
        <v>36526</v>
      </c>
      <c r="F674" s="128">
        <v>47483</v>
      </c>
      <c r="G6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391</v>
      </c>
      <c r="H674" s="128" t="str">
        <f t="shared" ca="1" si="10"/>
        <v>YES</v>
      </c>
      <c r="K674" s="130" t="s">
        <v>811</v>
      </c>
      <c r="L674" s="598">
        <v>1019</v>
      </c>
      <c r="Q674" t="s">
        <v>1618</v>
      </c>
      <c r="R674">
        <v>1939.39273</v>
      </c>
    </row>
    <row r="675" spans="1:18">
      <c r="A675" t="s">
        <v>992</v>
      </c>
      <c r="B675" t="s">
        <v>1338</v>
      </c>
      <c r="C675" t="s">
        <v>994</v>
      </c>
      <c r="D675">
        <v>280</v>
      </c>
      <c r="E675" s="128">
        <v>36526</v>
      </c>
      <c r="F675" s="128">
        <v>47483</v>
      </c>
      <c r="G6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</v>
      </c>
      <c r="H675" s="128" t="str">
        <f t="shared" ca="1" si="10"/>
        <v>YES</v>
      </c>
      <c r="K675" s="130" t="s">
        <v>815</v>
      </c>
      <c r="L675" s="598">
        <v>964</v>
      </c>
      <c r="Q675" t="s">
        <v>1620</v>
      </c>
      <c r="R675">
        <v>752.06323000000009</v>
      </c>
    </row>
    <row r="676" spans="1:18">
      <c r="A676" t="s">
        <v>992</v>
      </c>
      <c r="B676" t="s">
        <v>1338</v>
      </c>
      <c r="C676" t="s">
        <v>994</v>
      </c>
      <c r="D676">
        <v>225</v>
      </c>
      <c r="E676" s="128">
        <v>36526</v>
      </c>
      <c r="F676" s="128">
        <v>47483</v>
      </c>
      <c r="G6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</v>
      </c>
      <c r="H676" s="128" t="str">
        <f t="shared" ca="1" si="10"/>
        <v>YES</v>
      </c>
      <c r="K676" s="130" t="s">
        <v>796</v>
      </c>
      <c r="L676" s="598">
        <v>1250</v>
      </c>
      <c r="Q676" t="s">
        <v>1622</v>
      </c>
      <c r="R676">
        <v>1.88659</v>
      </c>
    </row>
    <row r="677" spans="1:18">
      <c r="A677" t="s">
        <v>992</v>
      </c>
      <c r="B677" t="s">
        <v>1339</v>
      </c>
      <c r="C677" t="s">
        <v>994</v>
      </c>
      <c r="D677">
        <v>2897</v>
      </c>
      <c r="E677" s="128">
        <v>36526</v>
      </c>
      <c r="F677" s="128">
        <v>47483</v>
      </c>
      <c r="G6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2897</v>
      </c>
      <c r="H677" s="128" t="str">
        <f t="shared" ca="1" si="10"/>
        <v>YES</v>
      </c>
      <c r="K677" s="130" t="s">
        <v>798</v>
      </c>
      <c r="L677" s="598">
        <v>1030</v>
      </c>
      <c r="Q677" t="s">
        <v>813</v>
      </c>
      <c r="R677">
        <v>1219.8346899999999</v>
      </c>
    </row>
    <row r="678" spans="1:18">
      <c r="A678" t="s">
        <v>992</v>
      </c>
      <c r="B678" t="s">
        <v>1340</v>
      </c>
      <c r="C678" t="s">
        <v>994</v>
      </c>
      <c r="D678">
        <v>657</v>
      </c>
      <c r="E678" s="128">
        <v>36526</v>
      </c>
      <c r="F678" s="128">
        <v>47483</v>
      </c>
      <c r="G6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657</v>
      </c>
      <c r="H678" s="128" t="str">
        <f t="shared" ca="1" si="10"/>
        <v>YES</v>
      </c>
      <c r="K678" s="130" t="s">
        <v>1694</v>
      </c>
      <c r="L678" s="598">
        <v>1151</v>
      </c>
      <c r="Q678" t="s">
        <v>1624</v>
      </c>
      <c r="R678">
        <v>920.63658999999996</v>
      </c>
    </row>
    <row r="679" spans="1:18">
      <c r="A679" t="s">
        <v>992</v>
      </c>
      <c r="B679" t="s">
        <v>1340</v>
      </c>
      <c r="C679" t="s">
        <v>994</v>
      </c>
      <c r="D679">
        <v>583</v>
      </c>
      <c r="E679" s="128">
        <v>36526</v>
      </c>
      <c r="F679" s="128">
        <v>47483</v>
      </c>
      <c r="G6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583</v>
      </c>
      <c r="H679" s="128" t="str">
        <f t="shared" ca="1" si="10"/>
        <v>YES</v>
      </c>
      <c r="K679" s="130" t="s">
        <v>1695</v>
      </c>
      <c r="L679" s="598">
        <v>1333</v>
      </c>
      <c r="Q679" t="s">
        <v>1625</v>
      </c>
      <c r="R679">
        <v>952.96659</v>
      </c>
    </row>
    <row r="680" spans="1:18">
      <c r="A680" t="s">
        <v>992</v>
      </c>
      <c r="B680" t="s">
        <v>1341</v>
      </c>
      <c r="C680" t="s">
        <v>994</v>
      </c>
      <c r="D680">
        <v>272</v>
      </c>
      <c r="E680" s="128">
        <v>44834</v>
      </c>
      <c r="F680" s="128">
        <v>44926</v>
      </c>
      <c r="G6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272</v>
      </c>
      <c r="H680" s="128" t="str">
        <f t="shared" ca="1" si="10"/>
        <v>NO</v>
      </c>
      <c r="K680" s="130" t="s">
        <v>1064</v>
      </c>
      <c r="L680" s="598">
        <v>265</v>
      </c>
      <c r="Q680" t="s">
        <v>1626</v>
      </c>
      <c r="R680">
        <v>692.75220000000002</v>
      </c>
    </row>
    <row r="681" spans="1:18">
      <c r="A681" t="s">
        <v>992</v>
      </c>
      <c r="B681" t="s">
        <v>1341</v>
      </c>
      <c r="C681" t="s">
        <v>994</v>
      </c>
      <c r="D681">
        <v>303</v>
      </c>
      <c r="E681" s="128">
        <v>44927</v>
      </c>
      <c r="F681" s="128">
        <v>47483</v>
      </c>
      <c r="G6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303</v>
      </c>
      <c r="H681" s="128" t="str">
        <f t="shared" ca="1" si="10"/>
        <v>YES</v>
      </c>
      <c r="K681" s="130" t="s">
        <v>1126</v>
      </c>
      <c r="L681" s="598">
        <v>8480.0999999999985</v>
      </c>
      <c r="Q681" t="s">
        <v>1627</v>
      </c>
      <c r="R681">
        <v>1037.6386499999999</v>
      </c>
    </row>
    <row r="682" spans="1:18">
      <c r="A682" t="s">
        <v>992</v>
      </c>
      <c r="B682" t="s">
        <v>1341</v>
      </c>
      <c r="C682" t="s">
        <v>994</v>
      </c>
      <c r="D682">
        <v>283</v>
      </c>
      <c r="E682" s="128">
        <v>44927</v>
      </c>
      <c r="F682" s="128">
        <v>47483</v>
      </c>
      <c r="G6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283</v>
      </c>
      <c r="H682" s="128" t="str">
        <f t="shared" ca="1" si="10"/>
        <v>YES</v>
      </c>
      <c r="K682" s="130" t="s">
        <v>1072</v>
      </c>
      <c r="L682" s="598">
        <v>5644.1</v>
      </c>
      <c r="Q682" t="s">
        <v>1628</v>
      </c>
      <c r="R682">
        <v>1248.1361099999999</v>
      </c>
    </row>
    <row r="683" spans="1:18">
      <c r="A683" t="s">
        <v>992</v>
      </c>
      <c r="B683" t="s">
        <v>1342</v>
      </c>
      <c r="C683" t="s">
        <v>994</v>
      </c>
      <c r="D683">
        <v>579</v>
      </c>
      <c r="E683" s="128">
        <v>36526</v>
      </c>
      <c r="F683" s="128">
        <v>47483</v>
      </c>
      <c r="G6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579</v>
      </c>
      <c r="H683" s="128" t="str">
        <f t="shared" ca="1" si="10"/>
        <v>YES</v>
      </c>
      <c r="K683" s="130" t="s">
        <v>1088</v>
      </c>
      <c r="L683" s="598">
        <v>7080.95</v>
      </c>
      <c r="Q683" t="s">
        <v>1629</v>
      </c>
      <c r="R683">
        <v>1129.1008999999999</v>
      </c>
    </row>
    <row r="684" spans="1:18">
      <c r="A684" t="s">
        <v>992</v>
      </c>
      <c r="B684" t="s">
        <v>1343</v>
      </c>
      <c r="C684" t="s">
        <v>994</v>
      </c>
      <c r="D684">
        <v>504</v>
      </c>
      <c r="E684" s="128">
        <v>36526</v>
      </c>
      <c r="F684" s="128">
        <v>47483</v>
      </c>
      <c r="G6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504</v>
      </c>
      <c r="H684" s="128" t="str">
        <f t="shared" ca="1" si="10"/>
        <v>YES</v>
      </c>
      <c r="K684" s="130" t="s">
        <v>1141</v>
      </c>
      <c r="L684" s="598">
        <v>38.5</v>
      </c>
      <c r="Q684" t="s">
        <v>1630</v>
      </c>
      <c r="R684">
        <v>845.46197999999993</v>
      </c>
    </row>
    <row r="685" spans="1:18">
      <c r="A685" t="s">
        <v>992</v>
      </c>
      <c r="B685" t="s">
        <v>1342</v>
      </c>
      <c r="C685" t="s">
        <v>994</v>
      </c>
      <c r="D685">
        <v>660</v>
      </c>
      <c r="E685" s="128">
        <v>45292</v>
      </c>
      <c r="F685" s="128">
        <v>54789</v>
      </c>
      <c r="G6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660</v>
      </c>
      <c r="H685" s="128" t="str">
        <f t="shared" ca="1" si="10"/>
        <v>YES</v>
      </c>
      <c r="K685" s="130" t="s">
        <v>255</v>
      </c>
      <c r="L685" s="598">
        <v>249.63840000000002</v>
      </c>
      <c r="Q685" t="s">
        <v>1631</v>
      </c>
      <c r="R685">
        <v>1086.5615699999998</v>
      </c>
    </row>
    <row r="686" spans="1:18">
      <c r="A686" t="s">
        <v>992</v>
      </c>
      <c r="B686" t="s">
        <v>1343</v>
      </c>
      <c r="C686" t="s">
        <v>994</v>
      </c>
      <c r="D686">
        <v>680</v>
      </c>
      <c r="E686" s="128">
        <v>45292</v>
      </c>
      <c r="F686" s="128">
        <v>54789</v>
      </c>
      <c r="G6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680</v>
      </c>
      <c r="H686" s="128" t="str">
        <f t="shared" ca="1" si="10"/>
        <v>YES</v>
      </c>
      <c r="K686" s="130" t="s">
        <v>1321</v>
      </c>
      <c r="L686" s="598">
        <v>836</v>
      </c>
      <c r="Q686" t="s">
        <v>1632</v>
      </c>
      <c r="R686">
        <v>857.77116000000012</v>
      </c>
    </row>
    <row r="687" spans="1:18">
      <c r="A687" t="s">
        <v>992</v>
      </c>
      <c r="B687" t="s">
        <v>1344</v>
      </c>
      <c r="C687" t="s">
        <v>994</v>
      </c>
      <c r="D687">
        <v>603.5</v>
      </c>
      <c r="E687" s="128">
        <v>36526</v>
      </c>
      <c r="F687" s="128">
        <v>47483</v>
      </c>
      <c r="G6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603.5</v>
      </c>
      <c r="H687" s="128" t="str">
        <f t="shared" ca="1" si="10"/>
        <v>YES</v>
      </c>
      <c r="K687" s="130" t="s">
        <v>1035</v>
      </c>
      <c r="L687" s="598">
        <v>135.55000000000001</v>
      </c>
      <c r="Q687" t="s">
        <v>1633</v>
      </c>
      <c r="R687">
        <v>1017.2332999999999</v>
      </c>
    </row>
    <row r="688" spans="1:18">
      <c r="A688" t="s">
        <v>992</v>
      </c>
      <c r="B688" t="s">
        <v>1345</v>
      </c>
      <c r="C688" t="s">
        <v>994</v>
      </c>
      <c r="D688">
        <v>638</v>
      </c>
      <c r="E688" s="128">
        <v>36526</v>
      </c>
      <c r="F688" s="128">
        <v>45291</v>
      </c>
      <c r="G6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638</v>
      </c>
      <c r="H688" s="128" t="str">
        <f t="shared" ca="1" si="10"/>
        <v>NO</v>
      </c>
      <c r="K688" s="130" t="s">
        <v>1037</v>
      </c>
      <c r="L688" s="598">
        <v>196.15</v>
      </c>
      <c r="Q688" t="s">
        <v>1634</v>
      </c>
      <c r="R688">
        <v>1409.31663</v>
      </c>
    </row>
    <row r="689" spans="1:18">
      <c r="A689" t="s">
        <v>992</v>
      </c>
      <c r="B689" t="s">
        <v>1344</v>
      </c>
      <c r="C689" t="s">
        <v>994</v>
      </c>
      <c r="D689">
        <v>810.00000000000011</v>
      </c>
      <c r="E689" s="128">
        <v>45292</v>
      </c>
      <c r="F689" s="128">
        <v>54789</v>
      </c>
      <c r="G6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810.00000000000011</v>
      </c>
      <c r="H689" s="128" t="str">
        <f t="shared" ca="1" si="10"/>
        <v>YES</v>
      </c>
      <c r="K689" s="130" t="s">
        <v>1040</v>
      </c>
      <c r="L689" s="598">
        <v>223.7</v>
      </c>
      <c r="Q689" t="s">
        <v>1635</v>
      </c>
      <c r="R689">
        <v>1715.7</v>
      </c>
    </row>
    <row r="690" spans="1:18">
      <c r="A690" t="s">
        <v>992</v>
      </c>
      <c r="B690" t="s">
        <v>1346</v>
      </c>
      <c r="C690" t="s">
        <v>994</v>
      </c>
      <c r="D690">
        <v>879</v>
      </c>
      <c r="E690" s="128">
        <v>36526</v>
      </c>
      <c r="F690" s="128">
        <v>47483</v>
      </c>
      <c r="G6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879</v>
      </c>
      <c r="H690" s="128" t="str">
        <f t="shared" ca="1" si="10"/>
        <v>YES</v>
      </c>
      <c r="K690" s="130" t="s">
        <v>1043</v>
      </c>
      <c r="L690" s="598">
        <v>265.29999999999995</v>
      </c>
      <c r="Q690" t="s">
        <v>1636</v>
      </c>
      <c r="R690">
        <v>1792.6000000000001</v>
      </c>
    </row>
    <row r="691" spans="1:18">
      <c r="A691" t="s">
        <v>992</v>
      </c>
      <c r="B691" t="s">
        <v>1345</v>
      </c>
      <c r="C691" t="s">
        <v>994</v>
      </c>
      <c r="D691">
        <v>641</v>
      </c>
      <c r="E691" s="128">
        <v>45292</v>
      </c>
      <c r="F691" s="128">
        <v>54789</v>
      </c>
      <c r="G6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641</v>
      </c>
      <c r="H691" s="128" t="str">
        <f t="shared" ca="1" si="10"/>
        <v>YES</v>
      </c>
      <c r="K691" s="130" t="s">
        <v>1049</v>
      </c>
      <c r="L691" s="598">
        <v>265.5</v>
      </c>
      <c r="Q691" t="s">
        <v>1637</v>
      </c>
      <c r="R691">
        <v>583.70000000000005</v>
      </c>
    </row>
    <row r="692" spans="1:18">
      <c r="A692" t="s">
        <v>992</v>
      </c>
      <c r="B692" t="s">
        <v>1347</v>
      </c>
      <c r="C692" t="s">
        <v>994</v>
      </c>
      <c r="D692">
        <v>789.99999999999989</v>
      </c>
      <c r="E692" s="128">
        <v>36526</v>
      </c>
      <c r="F692" s="128">
        <v>47483</v>
      </c>
      <c r="G6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789.99999999999989</v>
      </c>
      <c r="H692" s="128" t="str">
        <f t="shared" ca="1" si="10"/>
        <v>YES</v>
      </c>
      <c r="K692" s="130" t="s">
        <v>1052</v>
      </c>
      <c r="L692" s="598">
        <v>430</v>
      </c>
      <c r="Q692" t="s">
        <v>1638</v>
      </c>
      <c r="R692">
        <v>552.5</v>
      </c>
    </row>
    <row r="693" spans="1:18">
      <c r="A693" t="s">
        <v>992</v>
      </c>
      <c r="B693" t="s">
        <v>1346</v>
      </c>
      <c r="C693" t="s">
        <v>994</v>
      </c>
      <c r="D693">
        <v>1010</v>
      </c>
      <c r="E693" s="128">
        <v>45292</v>
      </c>
      <c r="F693" s="128">
        <v>54789</v>
      </c>
      <c r="G6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1010</v>
      </c>
      <c r="H693" s="128" t="str">
        <f t="shared" ca="1" si="10"/>
        <v>YES</v>
      </c>
      <c r="K693" s="130" t="s">
        <v>1068</v>
      </c>
      <c r="L693" s="598">
        <v>333</v>
      </c>
      <c r="Q693" t="s">
        <v>1693</v>
      </c>
      <c r="R693">
        <v>974.49999999999989</v>
      </c>
    </row>
    <row r="694" spans="1:18">
      <c r="A694" t="s">
        <v>992</v>
      </c>
      <c r="B694" t="s">
        <v>1348</v>
      </c>
      <c r="C694" t="s">
        <v>994</v>
      </c>
      <c r="D694">
        <v>609</v>
      </c>
      <c r="E694" s="128">
        <v>36526</v>
      </c>
      <c r="F694" s="128">
        <v>47483</v>
      </c>
      <c r="G6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609</v>
      </c>
      <c r="H694" s="128" t="str">
        <f t="shared" ca="1" si="10"/>
        <v>YES</v>
      </c>
      <c r="K694" s="130" t="s">
        <v>827</v>
      </c>
      <c r="L694" s="598">
        <v>1515.2400000000002</v>
      </c>
      <c r="Q694" t="s">
        <v>835</v>
      </c>
      <c r="R694">
        <v>821.75779999999997</v>
      </c>
    </row>
    <row r="695" spans="1:18">
      <c r="A695" t="s">
        <v>992</v>
      </c>
      <c r="B695" t="s">
        <v>1347</v>
      </c>
      <c r="C695" t="s">
        <v>994</v>
      </c>
      <c r="D695">
        <v>900</v>
      </c>
      <c r="E695" s="128">
        <v>45292</v>
      </c>
      <c r="F695" s="128">
        <v>54789</v>
      </c>
      <c r="G6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900</v>
      </c>
      <c r="H695" s="128" t="str">
        <f t="shared" ca="1" si="10"/>
        <v>YES</v>
      </c>
      <c r="K695" s="130" t="s">
        <v>885</v>
      </c>
      <c r="L695" s="598">
        <v>1076.3</v>
      </c>
      <c r="Q695" t="s">
        <v>811</v>
      </c>
      <c r="R695">
        <v>755.76558999999997</v>
      </c>
    </row>
    <row r="696" spans="1:18">
      <c r="A696" t="s">
        <v>992</v>
      </c>
      <c r="B696" t="s">
        <v>1349</v>
      </c>
      <c r="C696" t="s">
        <v>994</v>
      </c>
      <c r="D696">
        <v>847</v>
      </c>
      <c r="E696" s="128">
        <v>36526</v>
      </c>
      <c r="F696" s="128">
        <v>47483</v>
      </c>
      <c r="G6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847</v>
      </c>
      <c r="H696" s="128" t="str">
        <f t="shared" ca="1" si="10"/>
        <v>YES</v>
      </c>
      <c r="K696" s="130" t="s">
        <v>825</v>
      </c>
      <c r="L696" s="598">
        <v>1686.09</v>
      </c>
      <c r="Q696" t="s">
        <v>1679</v>
      </c>
      <c r="R696">
        <v>665.09460999999999</v>
      </c>
    </row>
    <row r="697" spans="1:18">
      <c r="A697" t="s">
        <v>992</v>
      </c>
      <c r="B697" t="s">
        <v>1348</v>
      </c>
      <c r="C697" t="s">
        <v>994</v>
      </c>
      <c r="D697">
        <v>710</v>
      </c>
      <c r="E697" s="128">
        <v>45292</v>
      </c>
      <c r="F697" s="128">
        <v>54789</v>
      </c>
      <c r="G6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710</v>
      </c>
      <c r="H697" s="128" t="str">
        <f t="shared" ca="1" si="10"/>
        <v>YES</v>
      </c>
      <c r="K697" s="130" t="s">
        <v>823</v>
      </c>
      <c r="L697" s="598">
        <v>1111.3599999999999</v>
      </c>
      <c r="Q697" t="s">
        <v>1680</v>
      </c>
      <c r="R697">
        <v>926.51666</v>
      </c>
    </row>
    <row r="698" spans="1:18">
      <c r="A698" t="s">
        <v>992</v>
      </c>
      <c r="B698" t="s">
        <v>1350</v>
      </c>
      <c r="C698" t="s">
        <v>994</v>
      </c>
      <c r="D698">
        <v>668</v>
      </c>
      <c r="E698" s="128">
        <v>36526</v>
      </c>
      <c r="F698" s="128">
        <v>47483</v>
      </c>
      <c r="G6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668</v>
      </c>
      <c r="H698" s="128" t="str">
        <f t="shared" ca="1" si="10"/>
        <v>YES</v>
      </c>
      <c r="K698" s="130" t="s">
        <v>821</v>
      </c>
      <c r="L698" s="598">
        <v>1090.2</v>
      </c>
      <c r="Q698" t="s">
        <v>1696</v>
      </c>
      <c r="R698">
        <v>359.25195000000002</v>
      </c>
    </row>
    <row r="699" spans="1:18">
      <c r="A699" t="s">
        <v>992</v>
      </c>
      <c r="B699" t="s">
        <v>1349</v>
      </c>
      <c r="C699" t="s">
        <v>994</v>
      </c>
      <c r="D699">
        <v>970.00000000000011</v>
      </c>
      <c r="E699" s="128">
        <v>45292</v>
      </c>
      <c r="F699" s="128">
        <v>54789</v>
      </c>
      <c r="G6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970.00000000000011</v>
      </c>
      <c r="H699" s="128" t="str">
        <f t="shared" ca="1" si="10"/>
        <v>YES</v>
      </c>
      <c r="K699" s="130" t="s">
        <v>1466</v>
      </c>
      <c r="L699" s="598">
        <v>595</v>
      </c>
      <c r="Q699" t="s">
        <v>1689</v>
      </c>
      <c r="R699">
        <v>1338.3265899999999</v>
      </c>
    </row>
    <row r="700" spans="1:18">
      <c r="A700" t="s">
        <v>992</v>
      </c>
      <c r="B700" t="s">
        <v>845</v>
      </c>
      <c r="C700" t="s">
        <v>994</v>
      </c>
      <c r="D700">
        <v>686</v>
      </c>
      <c r="E700" s="128">
        <v>45572</v>
      </c>
      <c r="F700" s="128">
        <v>47483</v>
      </c>
      <c r="G7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686</v>
      </c>
      <c r="H700" s="128" t="str">
        <f t="shared" ca="1" si="10"/>
        <v>YES</v>
      </c>
      <c r="K700" s="130" t="s">
        <v>1066</v>
      </c>
      <c r="L700" s="598">
        <v>364.33333333333331</v>
      </c>
      <c r="Q700" t="s">
        <v>1690</v>
      </c>
      <c r="R700">
        <v>933.97220000000004</v>
      </c>
    </row>
    <row r="701" spans="1:18">
      <c r="A701" t="s">
        <v>992</v>
      </c>
      <c r="B701" t="s">
        <v>1350</v>
      </c>
      <c r="C701" t="s">
        <v>994</v>
      </c>
      <c r="D701">
        <v>760.00000000000011</v>
      </c>
      <c r="E701" s="128">
        <v>45292</v>
      </c>
      <c r="F701" s="128">
        <v>54789</v>
      </c>
      <c r="G7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760.00000000000011</v>
      </c>
      <c r="H701" s="128" t="str">
        <f t="shared" ca="1" si="10"/>
        <v>YES</v>
      </c>
      <c r="K701" s="130" t="s">
        <v>1454</v>
      </c>
      <c r="L701" s="598">
        <v>975</v>
      </c>
      <c r="Q701" t="s">
        <v>1691</v>
      </c>
      <c r="R701">
        <v>987.99220000000003</v>
      </c>
    </row>
    <row r="702" spans="1:18">
      <c r="A702" t="s">
        <v>992</v>
      </c>
      <c r="B702" t="s">
        <v>1351</v>
      </c>
      <c r="C702" t="s">
        <v>994</v>
      </c>
      <c r="D702">
        <v>836</v>
      </c>
      <c r="E702" s="128">
        <v>36526</v>
      </c>
      <c r="F702" s="128">
        <v>47483</v>
      </c>
      <c r="G7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836</v>
      </c>
      <c r="H702" s="128" t="str">
        <f t="shared" ca="1" si="10"/>
        <v>YES</v>
      </c>
      <c r="K702" s="130" t="s">
        <v>1456</v>
      </c>
      <c r="L702" s="598">
        <v>1341</v>
      </c>
      <c r="Q702" t="s">
        <v>1095</v>
      </c>
      <c r="R702">
        <v>635.14</v>
      </c>
    </row>
    <row r="703" spans="1:18">
      <c r="A703" t="s">
        <v>992</v>
      </c>
      <c r="B703" t="s">
        <v>845</v>
      </c>
      <c r="C703" t="s">
        <v>994</v>
      </c>
      <c r="D703">
        <v>780</v>
      </c>
      <c r="E703" s="128">
        <v>45292</v>
      </c>
      <c r="F703" s="128">
        <v>45571</v>
      </c>
      <c r="G7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780</v>
      </c>
      <c r="H703" s="128" t="str">
        <f t="shared" ca="1" si="10"/>
        <v>NO</v>
      </c>
      <c r="K703" s="130" t="s">
        <v>1702</v>
      </c>
      <c r="L703" s="598">
        <v>2170</v>
      </c>
      <c r="Q703" t="s">
        <v>1695</v>
      </c>
      <c r="R703">
        <v>729.00755000000004</v>
      </c>
    </row>
    <row r="704" spans="1:18">
      <c r="A704" t="s">
        <v>992</v>
      </c>
      <c r="B704" t="s">
        <v>1353</v>
      </c>
      <c r="C704" t="s">
        <v>994</v>
      </c>
      <c r="D704">
        <v>206.20000000000002</v>
      </c>
      <c r="E704" s="128">
        <v>36526</v>
      </c>
      <c r="F704" s="128">
        <v>42735</v>
      </c>
      <c r="G7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206.20000000000002</v>
      </c>
      <c r="H704" s="128" t="str">
        <f t="shared" ca="1" si="10"/>
        <v>NO</v>
      </c>
      <c r="K704" s="130" t="s">
        <v>1714</v>
      </c>
      <c r="L704" s="598">
        <v>740</v>
      </c>
      <c r="Q704" t="s">
        <v>1061</v>
      </c>
      <c r="R704">
        <v>790.04780000000005</v>
      </c>
    </row>
    <row r="705" spans="1:18">
      <c r="A705" t="s">
        <v>992</v>
      </c>
      <c r="B705" t="s">
        <v>1351</v>
      </c>
      <c r="C705" t="s">
        <v>994</v>
      </c>
      <c r="D705">
        <v>1150</v>
      </c>
      <c r="E705" s="128">
        <v>45292</v>
      </c>
      <c r="F705" s="128">
        <v>54789</v>
      </c>
      <c r="G7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1150</v>
      </c>
      <c r="H705" s="128" t="str">
        <f t="shared" ca="1" si="10"/>
        <v>YES</v>
      </c>
      <c r="K705" s="130" t="s">
        <v>1716</v>
      </c>
      <c r="L705" s="598">
        <v>177.40799999999999</v>
      </c>
      <c r="Q705" t="s">
        <v>862</v>
      </c>
      <c r="R705">
        <v>776.81780000000003</v>
      </c>
    </row>
    <row r="706" spans="1:18">
      <c r="A706" t="s">
        <v>992</v>
      </c>
      <c r="B706" t="s">
        <v>1353</v>
      </c>
      <c r="C706" t="s">
        <v>994</v>
      </c>
      <c r="D706">
        <v>180</v>
      </c>
      <c r="E706" s="128">
        <v>42736</v>
      </c>
      <c r="F706" s="128">
        <v>47483</v>
      </c>
      <c r="G7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</v>
      </c>
      <c r="H706" s="128" t="str">
        <f t="shared" ref="H706:H769" ca="1" si="11">IF(OR(F706=0,F706&gt;TODAY()),"YES","NO")</f>
        <v>YES</v>
      </c>
      <c r="K706" s="130" t="s">
        <v>1717</v>
      </c>
      <c r="L706" s="598">
        <v>1694</v>
      </c>
      <c r="Q706" t="s">
        <v>1697</v>
      </c>
      <c r="R706">
        <v>0</v>
      </c>
    </row>
    <row r="707" spans="1:18">
      <c r="A707" t="s">
        <v>992</v>
      </c>
      <c r="B707" t="s">
        <v>1354</v>
      </c>
      <c r="C707" t="s">
        <v>994</v>
      </c>
      <c r="D707">
        <v>155.6</v>
      </c>
      <c r="E707" s="128">
        <v>36526</v>
      </c>
      <c r="F707" s="128">
        <v>42735</v>
      </c>
      <c r="G7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155.6</v>
      </c>
      <c r="H707" s="128" t="str">
        <f t="shared" ca="1" si="11"/>
        <v>NO</v>
      </c>
      <c r="K707" s="130" t="s">
        <v>1571</v>
      </c>
      <c r="L707" s="598">
        <v>179.3</v>
      </c>
      <c r="Q707" t="s">
        <v>1699</v>
      </c>
      <c r="R707">
        <v>0</v>
      </c>
    </row>
    <row r="708" spans="1:18">
      <c r="A708" t="s">
        <v>992</v>
      </c>
      <c r="B708" t="s">
        <v>1354</v>
      </c>
      <c r="C708" t="s">
        <v>994</v>
      </c>
      <c r="D708">
        <v>135</v>
      </c>
      <c r="E708" s="128">
        <v>42736</v>
      </c>
      <c r="F708" s="128">
        <v>47483</v>
      </c>
      <c r="G7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135</v>
      </c>
      <c r="H708" s="128" t="str">
        <f t="shared" ca="1" si="11"/>
        <v>YES</v>
      </c>
      <c r="K708" s="130" t="s">
        <v>1718</v>
      </c>
      <c r="L708" s="598">
        <v>2108</v>
      </c>
      <c r="Q708" t="s">
        <v>1700</v>
      </c>
      <c r="R708">
        <v>0</v>
      </c>
    </row>
    <row r="709" spans="1:18">
      <c r="A709" t="s">
        <v>992</v>
      </c>
      <c r="B709" t="s">
        <v>936</v>
      </c>
      <c r="C709" t="s">
        <v>1085</v>
      </c>
      <c r="D709">
        <v>400</v>
      </c>
      <c r="E709" s="128">
        <v>36526</v>
      </c>
      <c r="F709" s="128">
        <v>47483</v>
      </c>
      <c r="G7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352</v>
      </c>
      <c r="H709" s="128" t="str">
        <f t="shared" ca="1" si="11"/>
        <v>YES</v>
      </c>
      <c r="K709" s="130" t="s">
        <v>1602</v>
      </c>
      <c r="L709" s="598">
        <v>353.5</v>
      </c>
      <c r="Q709" t="s">
        <v>1701</v>
      </c>
      <c r="R709">
        <v>0</v>
      </c>
    </row>
    <row r="710" spans="1:18">
      <c r="A710" t="s">
        <v>992</v>
      </c>
      <c r="B710" t="s">
        <v>936</v>
      </c>
      <c r="C710" t="s">
        <v>1085</v>
      </c>
      <c r="D710">
        <v>359</v>
      </c>
      <c r="E710" s="128">
        <v>36526</v>
      </c>
      <c r="F710" s="128">
        <v>47483</v>
      </c>
      <c r="G7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315.92</v>
      </c>
      <c r="H710" s="128" t="str">
        <f t="shared" ca="1" si="11"/>
        <v>YES</v>
      </c>
      <c r="K710" s="130" t="s">
        <v>865</v>
      </c>
      <c r="L710" s="598">
        <v>1960</v>
      </c>
      <c r="Q710" t="s">
        <v>1702</v>
      </c>
      <c r="R710">
        <v>1248</v>
      </c>
    </row>
    <row r="711" spans="1:18">
      <c r="A711" t="s">
        <v>992</v>
      </c>
      <c r="B711" t="s">
        <v>936</v>
      </c>
      <c r="C711" t="s">
        <v>994</v>
      </c>
      <c r="D711">
        <v>358.59999999999997</v>
      </c>
      <c r="E711" s="128">
        <v>36526</v>
      </c>
      <c r="F711" s="128">
        <v>42735</v>
      </c>
      <c r="G7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358.59999999999997</v>
      </c>
      <c r="H711" s="128" t="str">
        <f t="shared" ca="1" si="11"/>
        <v>NO</v>
      </c>
      <c r="K711" s="130" t="s">
        <v>1603</v>
      </c>
      <c r="L711" s="598">
        <v>145.5</v>
      </c>
      <c r="Q711" t="s">
        <v>1703</v>
      </c>
      <c r="R711">
        <v>273.99029999999999</v>
      </c>
    </row>
    <row r="712" spans="1:18">
      <c r="A712" t="s">
        <v>992</v>
      </c>
      <c r="B712" t="s">
        <v>936</v>
      </c>
      <c r="C712" t="s">
        <v>994</v>
      </c>
      <c r="D712">
        <v>347</v>
      </c>
      <c r="E712" s="128">
        <v>42736</v>
      </c>
      <c r="F712" s="128">
        <v>44834</v>
      </c>
      <c r="G7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347</v>
      </c>
      <c r="H712" s="128" t="str">
        <f t="shared" ca="1" si="11"/>
        <v>NO</v>
      </c>
      <c r="K712" s="130" t="s">
        <v>1462</v>
      </c>
      <c r="L712" s="598">
        <v>579</v>
      </c>
      <c r="Q712" t="s">
        <v>1704</v>
      </c>
      <c r="R712">
        <v>759.38307999999995</v>
      </c>
    </row>
    <row r="713" spans="1:18">
      <c r="A713" t="s">
        <v>992</v>
      </c>
      <c r="B713" t="s">
        <v>936</v>
      </c>
      <c r="C713" t="s">
        <v>994</v>
      </c>
      <c r="D713">
        <v>364.35</v>
      </c>
      <c r="E713" s="128">
        <v>44835</v>
      </c>
      <c r="F713" s="128">
        <v>45016</v>
      </c>
      <c r="G7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364.35</v>
      </c>
      <c r="H713" s="128" t="str">
        <f t="shared" ca="1" si="11"/>
        <v>NO</v>
      </c>
      <c r="K713" s="130" t="s">
        <v>1374</v>
      </c>
      <c r="L713" s="598">
        <v>547.54000000000008</v>
      </c>
      <c r="Q713" t="s">
        <v>1705</v>
      </c>
      <c r="R713">
        <v>189.66900000000001</v>
      </c>
    </row>
    <row r="714" spans="1:18">
      <c r="A714" t="s">
        <v>992</v>
      </c>
      <c r="B714" t="s">
        <v>1355</v>
      </c>
      <c r="C714" t="s">
        <v>1085</v>
      </c>
      <c r="D714">
        <v>364</v>
      </c>
      <c r="E714" s="128">
        <v>36526</v>
      </c>
      <c r="F714" s="128">
        <v>47483</v>
      </c>
      <c r="G7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320.32</v>
      </c>
      <c r="H714" s="128" t="str">
        <f t="shared" ca="1" si="11"/>
        <v>YES</v>
      </c>
      <c r="K714" s="130" t="s">
        <v>1009</v>
      </c>
      <c r="L714" s="598">
        <v>418.46</v>
      </c>
      <c r="Q714" t="s">
        <v>1706</v>
      </c>
      <c r="R714">
        <v>218.24383</v>
      </c>
    </row>
    <row r="715" spans="1:18">
      <c r="A715" t="s">
        <v>992</v>
      </c>
      <c r="B715" t="s">
        <v>936</v>
      </c>
      <c r="C715" t="s">
        <v>994</v>
      </c>
      <c r="D715">
        <v>378.67</v>
      </c>
      <c r="E715" s="128">
        <v>45017</v>
      </c>
      <c r="F715" s="128">
        <v>45657</v>
      </c>
      <c r="G7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378.67</v>
      </c>
      <c r="H715" s="128" t="str">
        <f t="shared" ca="1" si="11"/>
        <v>NO</v>
      </c>
      <c r="K715" s="130" t="s">
        <v>1048</v>
      </c>
      <c r="L715" s="598">
        <v>419.86999999999995</v>
      </c>
      <c r="Q715" t="s">
        <v>1707</v>
      </c>
      <c r="R715">
        <v>331.37020999999999</v>
      </c>
    </row>
    <row r="716" spans="1:18">
      <c r="A716" t="s">
        <v>992</v>
      </c>
      <c r="B716" t="s">
        <v>1355</v>
      </c>
      <c r="C716" t="s">
        <v>1085</v>
      </c>
      <c r="D716">
        <v>329</v>
      </c>
      <c r="E716" s="128">
        <v>36526</v>
      </c>
      <c r="F716" s="128">
        <v>47483</v>
      </c>
      <c r="G7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289.52</v>
      </c>
      <c r="H716" s="128" t="str">
        <f t="shared" ca="1" si="11"/>
        <v>YES</v>
      </c>
      <c r="K716" s="130" t="s">
        <v>1464</v>
      </c>
      <c r="L716" s="598">
        <v>384</v>
      </c>
      <c r="Q716" t="s">
        <v>1678</v>
      </c>
      <c r="R716">
        <v>75.73</v>
      </c>
    </row>
    <row r="717" spans="1:18">
      <c r="A717" t="s">
        <v>992</v>
      </c>
      <c r="B717" t="s">
        <v>1355</v>
      </c>
      <c r="C717" t="s">
        <v>994</v>
      </c>
      <c r="D717">
        <v>275</v>
      </c>
      <c r="E717" s="128">
        <v>42736</v>
      </c>
      <c r="F717" s="128">
        <v>43657</v>
      </c>
      <c r="G7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275</v>
      </c>
      <c r="H717" s="128" t="str">
        <f t="shared" ca="1" si="11"/>
        <v>NO</v>
      </c>
      <c r="K717" s="130" t="s">
        <v>1720</v>
      </c>
      <c r="L717" s="598">
        <v>209</v>
      </c>
      <c r="Q717" t="s">
        <v>1494</v>
      </c>
      <c r="R717">
        <v>556.27337</v>
      </c>
    </row>
    <row r="718" spans="1:18">
      <c r="A718" t="s">
        <v>992</v>
      </c>
      <c r="B718" t="s">
        <v>1355</v>
      </c>
      <c r="C718" t="s">
        <v>994</v>
      </c>
      <c r="D718">
        <v>297.5</v>
      </c>
      <c r="E718" s="128">
        <v>43658</v>
      </c>
      <c r="F718" s="128">
        <v>44834</v>
      </c>
      <c r="G7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297.5</v>
      </c>
      <c r="H718" s="128" t="str">
        <f t="shared" ca="1" si="11"/>
        <v>NO</v>
      </c>
      <c r="K718" s="130" t="s">
        <v>1470</v>
      </c>
      <c r="L718" s="598">
        <v>745.8</v>
      </c>
      <c r="Q718" t="s">
        <v>1708</v>
      </c>
      <c r="R718">
        <v>145.80221</v>
      </c>
    </row>
    <row r="719" spans="1:18">
      <c r="A719" t="s">
        <v>992</v>
      </c>
      <c r="B719" t="s">
        <v>1355</v>
      </c>
      <c r="C719" t="s">
        <v>994</v>
      </c>
      <c r="D719">
        <v>312.38</v>
      </c>
      <c r="E719" s="128">
        <v>44835</v>
      </c>
      <c r="F719" s="128">
        <v>45363</v>
      </c>
      <c r="G7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312.38</v>
      </c>
      <c r="H719" s="128" t="str">
        <f t="shared" ca="1" si="11"/>
        <v>NO</v>
      </c>
      <c r="K719" s="130" t="s">
        <v>1721</v>
      </c>
      <c r="L719" s="598">
        <v>731.56566020156731</v>
      </c>
      <c r="Q719" t="s">
        <v>1640</v>
      </c>
      <c r="R719">
        <v>620.39726999999993</v>
      </c>
    </row>
    <row r="720" spans="1:18">
      <c r="A720" t="s">
        <v>992</v>
      </c>
      <c r="B720" t="s">
        <v>1356</v>
      </c>
      <c r="C720" t="s">
        <v>994</v>
      </c>
      <c r="D720">
        <v>263.8</v>
      </c>
      <c r="E720" s="128">
        <v>43482</v>
      </c>
      <c r="F720" s="128">
        <v>44834</v>
      </c>
      <c r="G7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263.8</v>
      </c>
      <c r="H720" s="128" t="str">
        <f t="shared" ca="1" si="11"/>
        <v>NO</v>
      </c>
      <c r="Q720" t="s">
        <v>1709</v>
      </c>
      <c r="R720">
        <v>587.38859000000002</v>
      </c>
    </row>
    <row r="721" spans="1:18">
      <c r="A721" t="s">
        <v>992</v>
      </c>
      <c r="B721" t="s">
        <v>1356</v>
      </c>
      <c r="C721" t="s">
        <v>994</v>
      </c>
      <c r="D721">
        <v>276.99</v>
      </c>
      <c r="E721" s="128">
        <v>44835</v>
      </c>
      <c r="F721" s="128">
        <v>45016</v>
      </c>
      <c r="G7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276.99</v>
      </c>
      <c r="H721" s="128" t="str">
        <f t="shared" ca="1" si="11"/>
        <v>NO</v>
      </c>
      <c r="Q721" t="s">
        <v>1641</v>
      </c>
      <c r="R721">
        <v>1468.0463</v>
      </c>
    </row>
    <row r="722" spans="1:18">
      <c r="A722" t="s">
        <v>992</v>
      </c>
      <c r="B722" t="s">
        <v>1357</v>
      </c>
      <c r="C722" t="s">
        <v>994</v>
      </c>
      <c r="D722">
        <v>184.39000000000001</v>
      </c>
      <c r="E722" s="128">
        <v>43482</v>
      </c>
      <c r="F722" s="128">
        <v>45016</v>
      </c>
      <c r="G7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184.39000000000001</v>
      </c>
      <c r="H722" s="128" t="str">
        <f t="shared" ca="1" si="11"/>
        <v>NO</v>
      </c>
      <c r="Q722" t="s">
        <v>865</v>
      </c>
      <c r="R722">
        <v>1617.87069</v>
      </c>
    </row>
    <row r="723" spans="1:18">
      <c r="A723" t="s">
        <v>992</v>
      </c>
      <c r="B723" t="s">
        <v>1356</v>
      </c>
      <c r="C723" t="s">
        <v>994</v>
      </c>
      <c r="D723">
        <v>263.8</v>
      </c>
      <c r="E723" s="128">
        <v>45017</v>
      </c>
      <c r="F723" s="128">
        <v>45046</v>
      </c>
      <c r="G7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263.8</v>
      </c>
      <c r="H723" s="128" t="str">
        <f t="shared" ca="1" si="11"/>
        <v>NO</v>
      </c>
      <c r="Q723" t="s">
        <v>1711</v>
      </c>
      <c r="R723">
        <v>1070.8701699999999</v>
      </c>
    </row>
    <row r="724" spans="1:18">
      <c r="A724" t="s">
        <v>992</v>
      </c>
      <c r="B724" t="s">
        <v>1358</v>
      </c>
      <c r="C724" t="s">
        <v>994</v>
      </c>
      <c r="D724">
        <v>192</v>
      </c>
      <c r="E724" s="128">
        <v>44197</v>
      </c>
      <c r="F724" s="128">
        <v>44561</v>
      </c>
      <c r="G7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192</v>
      </c>
      <c r="H724" s="128" t="str">
        <f t="shared" ca="1" si="11"/>
        <v>NO</v>
      </c>
      <c r="Q724" t="s">
        <v>1642</v>
      </c>
      <c r="R724">
        <v>436.33566000000002</v>
      </c>
    </row>
    <row r="725" spans="1:18">
      <c r="A725" t="s">
        <v>992</v>
      </c>
      <c r="B725" t="s">
        <v>1357</v>
      </c>
      <c r="C725" t="s">
        <v>994</v>
      </c>
      <c r="D725">
        <v>184.4</v>
      </c>
      <c r="E725" s="128">
        <v>45017</v>
      </c>
      <c r="F725" s="128">
        <v>45046</v>
      </c>
      <c r="G7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184.4</v>
      </c>
      <c r="H725" s="128" t="str">
        <f t="shared" ca="1" si="11"/>
        <v>NO</v>
      </c>
      <c r="Q725" t="s">
        <v>1712</v>
      </c>
      <c r="R725">
        <v>426.23077999999998</v>
      </c>
    </row>
    <row r="726" spans="1:18">
      <c r="A726" t="s">
        <v>992</v>
      </c>
      <c r="B726" t="s">
        <v>1356</v>
      </c>
      <c r="C726" t="s">
        <v>994</v>
      </c>
      <c r="D726">
        <v>288</v>
      </c>
      <c r="E726" s="128">
        <v>45047</v>
      </c>
      <c r="F726" s="128">
        <v>54789</v>
      </c>
      <c r="G7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288</v>
      </c>
      <c r="H726" s="128" t="str">
        <f t="shared" ca="1" si="11"/>
        <v>YES</v>
      </c>
      <c r="Q726" t="s">
        <v>1682</v>
      </c>
      <c r="R726">
        <v>197.89659</v>
      </c>
    </row>
    <row r="727" spans="1:18">
      <c r="A727" t="s">
        <v>992</v>
      </c>
      <c r="B727" t="s">
        <v>1358</v>
      </c>
      <c r="C727" t="s">
        <v>994</v>
      </c>
      <c r="D727">
        <v>185</v>
      </c>
      <c r="E727" s="128">
        <v>44562</v>
      </c>
      <c r="F727" s="128">
        <v>44834</v>
      </c>
      <c r="G7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185</v>
      </c>
      <c r="H727" s="128" t="str">
        <f t="shared" ca="1" si="11"/>
        <v>NO</v>
      </c>
      <c r="Q727" t="s">
        <v>1643</v>
      </c>
      <c r="R727">
        <v>759.66030999999998</v>
      </c>
    </row>
    <row r="728" spans="1:18">
      <c r="A728" t="s">
        <v>992</v>
      </c>
      <c r="B728" t="s">
        <v>1357</v>
      </c>
      <c r="C728" t="s">
        <v>994</v>
      </c>
      <c r="D728">
        <v>190.00000000000003</v>
      </c>
      <c r="E728" s="128">
        <v>45047</v>
      </c>
      <c r="F728" s="128">
        <v>54789</v>
      </c>
      <c r="G7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190.00000000000003</v>
      </c>
      <c r="H728" s="128" t="str">
        <f t="shared" ca="1" si="11"/>
        <v>YES</v>
      </c>
      <c r="Q728" t="s">
        <v>1713</v>
      </c>
      <c r="R728">
        <v>286.65483999999998</v>
      </c>
    </row>
    <row r="729" spans="1:18">
      <c r="A729" t="s">
        <v>992</v>
      </c>
      <c r="B729" t="s">
        <v>1358</v>
      </c>
      <c r="C729" t="s">
        <v>994</v>
      </c>
      <c r="D729">
        <v>194.25000000000003</v>
      </c>
      <c r="E729" s="128">
        <v>44835</v>
      </c>
      <c r="F729" s="128">
        <v>45016</v>
      </c>
      <c r="G7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194.25000000000003</v>
      </c>
      <c r="H729" s="128" t="str">
        <f t="shared" ca="1" si="11"/>
        <v>NO</v>
      </c>
      <c r="Q729" t="s">
        <v>1715</v>
      </c>
      <c r="R729">
        <v>276.29284000000001</v>
      </c>
    </row>
    <row r="730" spans="1:18">
      <c r="A730" t="s">
        <v>992</v>
      </c>
      <c r="B730" t="s">
        <v>1359</v>
      </c>
      <c r="C730" t="s">
        <v>994</v>
      </c>
      <c r="D730">
        <v>196.87</v>
      </c>
      <c r="E730" s="128">
        <v>44197</v>
      </c>
      <c r="F730" s="128">
        <v>44561</v>
      </c>
      <c r="G7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196.87</v>
      </c>
      <c r="H730" s="128" t="str">
        <f t="shared" ca="1" si="11"/>
        <v>NO</v>
      </c>
      <c r="Q730" t="s">
        <v>1687</v>
      </c>
      <c r="R730">
        <v>1244.1305400000001</v>
      </c>
    </row>
    <row r="731" spans="1:18">
      <c r="A731" t="s">
        <v>992</v>
      </c>
      <c r="B731" t="s">
        <v>1358</v>
      </c>
      <c r="C731" t="s">
        <v>994</v>
      </c>
      <c r="D731">
        <v>185</v>
      </c>
      <c r="E731" s="128">
        <v>45017</v>
      </c>
      <c r="F731" s="128">
        <v>54789</v>
      </c>
      <c r="G7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185</v>
      </c>
      <c r="H731" s="128" t="str">
        <f t="shared" ca="1" si="11"/>
        <v>YES</v>
      </c>
      <c r="Q731" t="s">
        <v>885</v>
      </c>
      <c r="R731">
        <v>1023.2280000000001</v>
      </c>
    </row>
    <row r="732" spans="1:18">
      <c r="A732" t="s">
        <v>992</v>
      </c>
      <c r="B732" t="s">
        <v>1359</v>
      </c>
      <c r="C732" t="s">
        <v>994</v>
      </c>
      <c r="D732">
        <v>165.5</v>
      </c>
      <c r="E732" s="128">
        <v>44197</v>
      </c>
      <c r="F732" s="128">
        <v>44561</v>
      </c>
      <c r="G7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165.5</v>
      </c>
      <c r="H732" s="128" t="str">
        <f t="shared" ca="1" si="11"/>
        <v>NO</v>
      </c>
      <c r="Q732" t="s">
        <v>1688</v>
      </c>
      <c r="R732">
        <v>1315.6005399999999</v>
      </c>
    </row>
    <row r="733" spans="1:18">
      <c r="A733" t="s">
        <v>992</v>
      </c>
      <c r="B733" t="s">
        <v>1359</v>
      </c>
      <c r="C733" t="s">
        <v>994</v>
      </c>
      <c r="D733">
        <v>193.9</v>
      </c>
      <c r="E733" s="128">
        <v>44562</v>
      </c>
      <c r="F733" s="128">
        <v>45016</v>
      </c>
      <c r="G7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193.9</v>
      </c>
      <c r="H733" s="128" t="str">
        <f t="shared" ca="1" si="11"/>
        <v>NO</v>
      </c>
      <c r="Q733" t="s">
        <v>823</v>
      </c>
      <c r="R733">
        <v>1031.4680000000001</v>
      </c>
    </row>
    <row r="734" spans="1:18">
      <c r="A734" t="s">
        <v>992</v>
      </c>
      <c r="B734" t="s">
        <v>1359</v>
      </c>
      <c r="C734" t="s">
        <v>994</v>
      </c>
      <c r="D734">
        <v>161.5</v>
      </c>
      <c r="E734" s="128">
        <v>44562</v>
      </c>
      <c r="F734" s="128">
        <v>55153</v>
      </c>
      <c r="G7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161.5</v>
      </c>
      <c r="H734" s="128" t="str">
        <f t="shared" ca="1" si="11"/>
        <v>YES</v>
      </c>
      <c r="Q734" t="s">
        <v>821</v>
      </c>
      <c r="R734">
        <v>1008.3579999999999</v>
      </c>
    </row>
    <row r="735" spans="1:18">
      <c r="A735" t="s">
        <v>992</v>
      </c>
      <c r="B735" t="s">
        <v>881</v>
      </c>
      <c r="C735" t="s">
        <v>994</v>
      </c>
      <c r="D735">
        <v>178</v>
      </c>
      <c r="E735" s="128">
        <v>44197</v>
      </c>
      <c r="F735" s="128">
        <v>44561</v>
      </c>
      <c r="G7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178</v>
      </c>
      <c r="H735" s="128" t="str">
        <f t="shared" ca="1" si="11"/>
        <v>NO</v>
      </c>
      <c r="Q735" t="s">
        <v>1710</v>
      </c>
      <c r="R735">
        <v>917.82800000000009</v>
      </c>
    </row>
    <row r="736" spans="1:18">
      <c r="A736" t="s">
        <v>992</v>
      </c>
      <c r="B736" t="s">
        <v>881</v>
      </c>
      <c r="C736" t="s">
        <v>994</v>
      </c>
      <c r="D736">
        <v>175</v>
      </c>
      <c r="E736" s="128">
        <v>44562</v>
      </c>
      <c r="F736" s="128">
        <v>44834</v>
      </c>
      <c r="G7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</v>
      </c>
      <c r="H736" s="128" t="str">
        <f t="shared" ca="1" si="11"/>
        <v>NO</v>
      </c>
      <c r="Q736" t="s">
        <v>1686</v>
      </c>
      <c r="R736">
        <v>545.82720000000006</v>
      </c>
    </row>
    <row r="737" spans="1:18">
      <c r="A737" t="s">
        <v>992</v>
      </c>
      <c r="B737" t="s">
        <v>881</v>
      </c>
      <c r="C737" t="s">
        <v>994</v>
      </c>
      <c r="D737">
        <v>183.75</v>
      </c>
      <c r="E737" s="128">
        <v>44835</v>
      </c>
      <c r="F737" s="128">
        <v>45016</v>
      </c>
      <c r="G7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183.75</v>
      </c>
      <c r="H737" s="128" t="str">
        <f t="shared" ca="1" si="11"/>
        <v>NO</v>
      </c>
      <c r="Q737" t="s">
        <v>831</v>
      </c>
      <c r="R737">
        <v>405.79775000000001</v>
      </c>
    </row>
    <row r="738" spans="1:18">
      <c r="A738" t="s">
        <v>992</v>
      </c>
      <c r="B738" t="s">
        <v>905</v>
      </c>
      <c r="C738" t="s">
        <v>994</v>
      </c>
      <c r="D738">
        <v>178</v>
      </c>
      <c r="E738" s="128">
        <v>44197</v>
      </c>
      <c r="F738" s="128">
        <v>44561</v>
      </c>
      <c r="G7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178</v>
      </c>
      <c r="H738" s="128" t="str">
        <f t="shared" ca="1" si="11"/>
        <v>NO</v>
      </c>
      <c r="Q738" t="s">
        <v>1719</v>
      </c>
      <c r="R738">
        <v>142.64028000000002</v>
      </c>
    </row>
    <row r="739" spans="1:18">
      <c r="A739" t="s">
        <v>992</v>
      </c>
      <c r="B739" t="s">
        <v>881</v>
      </c>
      <c r="C739" t="s">
        <v>994</v>
      </c>
      <c r="D739">
        <v>175</v>
      </c>
      <c r="E739" s="128">
        <v>45017</v>
      </c>
      <c r="F739" s="128">
        <v>45046</v>
      </c>
      <c r="G7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</v>
      </c>
      <c r="H739" s="128" t="str">
        <f t="shared" ca="1" si="11"/>
        <v>NO</v>
      </c>
      <c r="Q739" t="s">
        <v>819</v>
      </c>
      <c r="R739">
        <v>647.75509999999997</v>
      </c>
    </row>
    <row r="740" spans="1:18">
      <c r="A740" t="s">
        <v>992</v>
      </c>
      <c r="B740" t="s">
        <v>1359</v>
      </c>
      <c r="C740" t="s">
        <v>994</v>
      </c>
      <c r="D740">
        <v>175</v>
      </c>
      <c r="E740" s="128">
        <v>45017</v>
      </c>
      <c r="F740" s="128">
        <v>54908</v>
      </c>
      <c r="G7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</v>
      </c>
      <c r="H740" s="128" t="str">
        <f t="shared" ca="1" si="11"/>
        <v>YES</v>
      </c>
      <c r="Q740" t="s">
        <v>815</v>
      </c>
      <c r="R740">
        <v>730.47328000000005</v>
      </c>
    </row>
    <row r="741" spans="1:18">
      <c r="A741" t="s">
        <v>992</v>
      </c>
      <c r="B741" t="s">
        <v>905</v>
      </c>
      <c r="C741" t="s">
        <v>994</v>
      </c>
      <c r="D741">
        <v>173</v>
      </c>
      <c r="E741" s="128">
        <v>44562</v>
      </c>
      <c r="F741" s="128">
        <v>44834</v>
      </c>
      <c r="G7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173</v>
      </c>
      <c r="H741" s="128" t="str">
        <f t="shared" ca="1" si="11"/>
        <v>NO</v>
      </c>
      <c r="Q741" t="s">
        <v>796</v>
      </c>
      <c r="R741">
        <v>966.53413999999998</v>
      </c>
    </row>
    <row r="742" spans="1:18">
      <c r="A742" t="s">
        <v>992</v>
      </c>
      <c r="B742" t="s">
        <v>881</v>
      </c>
      <c r="C742" t="s">
        <v>994</v>
      </c>
      <c r="D742">
        <v>180</v>
      </c>
      <c r="E742" s="128">
        <v>45047</v>
      </c>
      <c r="F742" s="128">
        <v>54789</v>
      </c>
      <c r="G7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</v>
      </c>
      <c r="H742" s="128" t="str">
        <f t="shared" ca="1" si="11"/>
        <v>YES</v>
      </c>
      <c r="Q742" t="s">
        <v>798</v>
      </c>
      <c r="R742">
        <v>735.14859000000001</v>
      </c>
    </row>
    <row r="743" spans="1:18">
      <c r="A743" t="s">
        <v>992</v>
      </c>
      <c r="B743" t="s">
        <v>905</v>
      </c>
      <c r="C743" t="s">
        <v>994</v>
      </c>
      <c r="D743">
        <v>181.65</v>
      </c>
      <c r="E743" s="128">
        <v>44835</v>
      </c>
      <c r="F743" s="128">
        <v>45016</v>
      </c>
      <c r="G7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181.65</v>
      </c>
      <c r="H743" s="128" t="str">
        <f t="shared" ca="1" si="11"/>
        <v>NO</v>
      </c>
      <c r="Q743" t="s">
        <v>1694</v>
      </c>
      <c r="R743">
        <v>876.60652000000005</v>
      </c>
    </row>
    <row r="744" spans="1:18">
      <c r="A744" t="s">
        <v>992</v>
      </c>
      <c r="B744" t="s">
        <v>1360</v>
      </c>
      <c r="C744" t="s">
        <v>994</v>
      </c>
      <c r="D744">
        <v>332</v>
      </c>
      <c r="E744" s="128">
        <v>44197</v>
      </c>
      <c r="F744" s="128">
        <v>44561</v>
      </c>
      <c r="G7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332</v>
      </c>
      <c r="H744" s="128" t="str">
        <f t="shared" ca="1" si="11"/>
        <v>NO</v>
      </c>
      <c r="Q744" t="s">
        <v>1718</v>
      </c>
      <c r="R744">
        <v>1715.7</v>
      </c>
    </row>
    <row r="745" spans="1:18">
      <c r="A745" t="s">
        <v>992</v>
      </c>
      <c r="B745" t="s">
        <v>905</v>
      </c>
      <c r="C745" t="s">
        <v>994</v>
      </c>
      <c r="D745">
        <v>173</v>
      </c>
      <c r="E745" s="128">
        <v>45017</v>
      </c>
      <c r="F745" s="128">
        <v>54789</v>
      </c>
      <c r="G7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173</v>
      </c>
      <c r="H745" s="128" t="str">
        <f t="shared" ca="1" si="11"/>
        <v>YES</v>
      </c>
      <c r="Q745" t="s">
        <v>1714</v>
      </c>
      <c r="R745">
        <v>518.10799999999995</v>
      </c>
    </row>
    <row r="746" spans="1:18">
      <c r="A746" t="s">
        <v>992</v>
      </c>
      <c r="B746" t="s">
        <v>1360</v>
      </c>
      <c r="C746" t="s">
        <v>994</v>
      </c>
      <c r="D746">
        <v>350</v>
      </c>
      <c r="E746" s="128">
        <v>44562</v>
      </c>
      <c r="F746" s="128">
        <v>44834</v>
      </c>
      <c r="G7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746" s="128" t="str">
        <f t="shared" ca="1" si="11"/>
        <v>NO</v>
      </c>
      <c r="Q746" t="s">
        <v>1644</v>
      </c>
      <c r="R746">
        <v>546.71077000000002</v>
      </c>
    </row>
    <row r="747" spans="1:18">
      <c r="A747" t="s">
        <v>992</v>
      </c>
      <c r="B747" t="s">
        <v>1360</v>
      </c>
      <c r="C747" t="s">
        <v>994</v>
      </c>
      <c r="D747">
        <v>367.5</v>
      </c>
      <c r="E747" s="128">
        <v>44835</v>
      </c>
      <c r="F747" s="128">
        <v>45016</v>
      </c>
      <c r="G7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367.5</v>
      </c>
      <c r="H747" s="128" t="str">
        <f t="shared" ca="1" si="11"/>
        <v>NO</v>
      </c>
      <c r="Q747" t="s">
        <v>1058</v>
      </c>
      <c r="R747">
        <v>1369.7890600000001</v>
      </c>
    </row>
    <row r="748" spans="1:18">
      <c r="A748" t="s">
        <v>992</v>
      </c>
      <c r="B748" t="s">
        <v>940</v>
      </c>
      <c r="C748" t="s">
        <v>994</v>
      </c>
      <c r="D748">
        <v>462</v>
      </c>
      <c r="E748" s="128">
        <v>44197</v>
      </c>
      <c r="F748" s="128">
        <v>44834</v>
      </c>
      <c r="G7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462</v>
      </c>
      <c r="H748" s="128" t="str">
        <f t="shared" ca="1" si="11"/>
        <v>NO</v>
      </c>
      <c r="Q748" t="s">
        <v>1646</v>
      </c>
      <c r="R748">
        <v>1078.76783</v>
      </c>
    </row>
    <row r="749" spans="1:18">
      <c r="A749" t="s">
        <v>992</v>
      </c>
      <c r="B749" t="s">
        <v>1360</v>
      </c>
      <c r="C749" t="s">
        <v>994</v>
      </c>
      <c r="D749">
        <v>350</v>
      </c>
      <c r="E749" s="128">
        <v>45017</v>
      </c>
      <c r="F749" s="128">
        <v>45046</v>
      </c>
      <c r="G7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749" s="128" t="str">
        <f t="shared" ca="1" si="11"/>
        <v>NO</v>
      </c>
      <c r="Q749" t="s">
        <v>827</v>
      </c>
      <c r="R749">
        <v>1401.6079999999999</v>
      </c>
    </row>
    <row r="750" spans="1:18">
      <c r="A750" t="s">
        <v>992</v>
      </c>
      <c r="B750" t="s">
        <v>940</v>
      </c>
      <c r="C750" t="s">
        <v>994</v>
      </c>
      <c r="D750">
        <v>485.09999999999997</v>
      </c>
      <c r="E750" s="128">
        <v>44835</v>
      </c>
      <c r="F750" s="128">
        <v>45016</v>
      </c>
      <c r="G7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485.09999999999997</v>
      </c>
      <c r="H750" s="128" t="str">
        <f t="shared" ca="1" si="11"/>
        <v>NO</v>
      </c>
      <c r="Q750" t="s">
        <v>825</v>
      </c>
      <c r="R750">
        <v>1601.1879999999999</v>
      </c>
    </row>
    <row r="751" spans="1:18">
      <c r="A751" t="s">
        <v>992</v>
      </c>
      <c r="B751" t="s">
        <v>1360</v>
      </c>
      <c r="C751" t="s">
        <v>994</v>
      </c>
      <c r="D751">
        <v>355</v>
      </c>
      <c r="E751" s="128">
        <v>45047</v>
      </c>
      <c r="F751" s="128">
        <v>54909</v>
      </c>
      <c r="G7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355</v>
      </c>
      <c r="H751" s="128" t="str">
        <f t="shared" ca="1" si="11"/>
        <v>YES</v>
      </c>
      <c r="Q751" t="s">
        <v>1692</v>
      </c>
      <c r="R751">
        <v>544.25774999999999</v>
      </c>
    </row>
    <row r="752" spans="1:18">
      <c r="A752" t="s">
        <v>992</v>
      </c>
      <c r="B752" t="s">
        <v>883</v>
      </c>
      <c r="C752" t="s">
        <v>994</v>
      </c>
      <c r="D752">
        <v>360</v>
      </c>
      <c r="E752" s="128">
        <v>44197</v>
      </c>
      <c r="F752" s="128">
        <v>47483</v>
      </c>
      <c r="G7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360</v>
      </c>
      <c r="H752" s="128" t="str">
        <f t="shared" ca="1" si="11"/>
        <v>YES</v>
      </c>
      <c r="Q752" t="s">
        <v>1647</v>
      </c>
      <c r="R752">
        <v>89.810299999999998</v>
      </c>
    </row>
    <row r="753" spans="1:18">
      <c r="A753" t="s">
        <v>992</v>
      </c>
      <c r="B753" t="s">
        <v>940</v>
      </c>
      <c r="C753" t="s">
        <v>994</v>
      </c>
      <c r="D753">
        <v>462</v>
      </c>
      <c r="E753" s="128">
        <v>45017</v>
      </c>
      <c r="F753" s="128">
        <v>45046</v>
      </c>
      <c r="G7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462</v>
      </c>
      <c r="H753" s="128" t="str">
        <f t="shared" ca="1" si="11"/>
        <v>NO</v>
      </c>
      <c r="Q753" t="s">
        <v>1648</v>
      </c>
      <c r="R753">
        <v>139.56229999999999</v>
      </c>
    </row>
    <row r="754" spans="1:18">
      <c r="A754" t="s">
        <v>992</v>
      </c>
      <c r="B754" t="s">
        <v>883</v>
      </c>
      <c r="C754" t="s">
        <v>994</v>
      </c>
      <c r="D754">
        <v>415</v>
      </c>
      <c r="E754" s="128">
        <v>42736</v>
      </c>
      <c r="F754" s="128">
        <v>43100</v>
      </c>
      <c r="G7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415</v>
      </c>
      <c r="H754" s="128" t="str">
        <f t="shared" ca="1" si="11"/>
        <v>NO</v>
      </c>
      <c r="Q754" t="s">
        <v>1649</v>
      </c>
      <c r="R754">
        <v>171.8603</v>
      </c>
    </row>
    <row r="755" spans="1:18">
      <c r="A755" t="s">
        <v>992</v>
      </c>
      <c r="B755" t="s">
        <v>940</v>
      </c>
      <c r="C755" t="s">
        <v>994</v>
      </c>
      <c r="D755">
        <v>499.99999999999994</v>
      </c>
      <c r="E755" s="128">
        <v>45047</v>
      </c>
      <c r="F755" s="128">
        <v>46388</v>
      </c>
      <c r="G7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499.99999999999994</v>
      </c>
      <c r="H755" s="128" t="str">
        <f t="shared" ca="1" si="11"/>
        <v>YES</v>
      </c>
      <c r="Q755" t="s">
        <v>1650</v>
      </c>
      <c r="R755">
        <v>25.223239999999997</v>
      </c>
    </row>
    <row r="756" spans="1:18">
      <c r="A756" t="s">
        <v>992</v>
      </c>
      <c r="B756" t="s">
        <v>883</v>
      </c>
      <c r="C756" t="s">
        <v>994</v>
      </c>
      <c r="D756">
        <v>402.99999999999994</v>
      </c>
      <c r="E756" s="128">
        <v>43101</v>
      </c>
      <c r="F756" s="128">
        <v>43465</v>
      </c>
      <c r="G7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402.99999999999994</v>
      </c>
      <c r="H756" s="128" t="str">
        <f t="shared" ca="1" si="11"/>
        <v>NO</v>
      </c>
      <c r="Q756" t="s">
        <v>1651</v>
      </c>
      <c r="R756">
        <v>72.150840000000002</v>
      </c>
    </row>
    <row r="757" spans="1:18">
      <c r="A757" t="s">
        <v>992</v>
      </c>
      <c r="B757" t="s">
        <v>883</v>
      </c>
      <c r="C757" t="s">
        <v>994</v>
      </c>
      <c r="D757">
        <v>382</v>
      </c>
      <c r="E757" s="128">
        <v>43466</v>
      </c>
      <c r="F757" s="128">
        <v>43657</v>
      </c>
      <c r="G7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382</v>
      </c>
      <c r="H757" s="128" t="str">
        <f t="shared" ca="1" si="11"/>
        <v>NO</v>
      </c>
      <c r="Q757" t="s">
        <v>1652</v>
      </c>
      <c r="R757">
        <v>65.982259999999997</v>
      </c>
    </row>
    <row r="758" spans="1:18">
      <c r="A758" t="s">
        <v>992</v>
      </c>
      <c r="B758" t="s">
        <v>883</v>
      </c>
      <c r="C758" t="s">
        <v>994</v>
      </c>
      <c r="D758">
        <v>396.59999999999997</v>
      </c>
      <c r="E758" s="128">
        <v>43658</v>
      </c>
      <c r="F758" s="128">
        <v>43830</v>
      </c>
      <c r="G7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396.59999999999997</v>
      </c>
      <c r="H758" s="128" t="str">
        <f t="shared" ca="1" si="11"/>
        <v>NO</v>
      </c>
      <c r="Q758" t="s">
        <v>1046</v>
      </c>
      <c r="R758">
        <v>148.87833999999998</v>
      </c>
    </row>
    <row r="759" spans="1:18">
      <c r="A759" t="s">
        <v>992</v>
      </c>
      <c r="B759" t="s">
        <v>883</v>
      </c>
      <c r="C759" t="s">
        <v>994</v>
      </c>
      <c r="D759">
        <v>380.00000000000006</v>
      </c>
      <c r="E759" s="128">
        <v>43831</v>
      </c>
      <c r="F759" s="128">
        <v>45016</v>
      </c>
      <c r="G7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759" s="128" t="str">
        <f t="shared" ca="1" si="11"/>
        <v>NO</v>
      </c>
      <c r="Q759" t="s">
        <v>1653</v>
      </c>
      <c r="R759">
        <v>159.64868999999999</v>
      </c>
    </row>
    <row r="760" spans="1:18">
      <c r="A760" t="s">
        <v>992</v>
      </c>
      <c r="B760" t="s">
        <v>1361</v>
      </c>
      <c r="C760" t="s">
        <v>994</v>
      </c>
      <c r="D760">
        <v>263</v>
      </c>
      <c r="E760" s="128">
        <v>44197</v>
      </c>
      <c r="F760" s="128">
        <v>44926</v>
      </c>
      <c r="G7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263</v>
      </c>
      <c r="H760" s="128" t="str">
        <f t="shared" ca="1" si="11"/>
        <v>NO</v>
      </c>
      <c r="Q760" t="s">
        <v>803</v>
      </c>
      <c r="R760">
        <v>206.8331</v>
      </c>
    </row>
    <row r="761" spans="1:18">
      <c r="A761" t="s">
        <v>992</v>
      </c>
      <c r="B761" t="s">
        <v>883</v>
      </c>
      <c r="C761" t="s">
        <v>994</v>
      </c>
      <c r="D761">
        <v>355.4</v>
      </c>
      <c r="E761" s="128">
        <v>45017</v>
      </c>
      <c r="F761" s="128">
        <v>45649</v>
      </c>
      <c r="G7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355.4</v>
      </c>
      <c r="H761" s="128" t="str">
        <f t="shared" ca="1" si="11"/>
        <v>NO</v>
      </c>
      <c r="Q761" t="s">
        <v>1654</v>
      </c>
      <c r="R761">
        <v>201.01161999999999</v>
      </c>
    </row>
    <row r="762" spans="1:18">
      <c r="A762" t="s">
        <v>992</v>
      </c>
      <c r="B762" t="s">
        <v>1361</v>
      </c>
      <c r="C762" t="s">
        <v>994</v>
      </c>
      <c r="D762">
        <v>294</v>
      </c>
      <c r="E762" s="128">
        <v>36526</v>
      </c>
      <c r="F762" s="128">
        <v>43465</v>
      </c>
      <c r="G7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294</v>
      </c>
      <c r="H762" s="128" t="str">
        <f t="shared" ca="1" si="11"/>
        <v>NO</v>
      </c>
      <c r="Q762" t="s">
        <v>1655</v>
      </c>
      <c r="R762">
        <v>110.84030000000001</v>
      </c>
    </row>
    <row r="763" spans="1:18">
      <c r="A763" t="s">
        <v>992</v>
      </c>
      <c r="B763" t="s">
        <v>1361</v>
      </c>
      <c r="C763" t="s">
        <v>994</v>
      </c>
      <c r="D763">
        <v>288</v>
      </c>
      <c r="E763" s="128">
        <v>43466</v>
      </c>
      <c r="F763" s="128">
        <v>43830</v>
      </c>
      <c r="G7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288</v>
      </c>
      <c r="H763" s="128" t="str">
        <f t="shared" ca="1" si="11"/>
        <v>NO</v>
      </c>
      <c r="Q763" t="s">
        <v>1656</v>
      </c>
      <c r="R763">
        <v>125.6023</v>
      </c>
    </row>
    <row r="764" spans="1:18">
      <c r="A764" t="s">
        <v>992</v>
      </c>
      <c r="B764" t="s">
        <v>1361</v>
      </c>
      <c r="C764" t="s">
        <v>994</v>
      </c>
      <c r="D764">
        <v>280</v>
      </c>
      <c r="E764" s="128">
        <v>43831</v>
      </c>
      <c r="F764" s="128">
        <v>44926</v>
      </c>
      <c r="G7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</v>
      </c>
      <c r="H764" s="128" t="str">
        <f t="shared" ca="1" si="11"/>
        <v>NO</v>
      </c>
      <c r="Q764" t="s">
        <v>1657</v>
      </c>
      <c r="R764">
        <v>123.7923</v>
      </c>
    </row>
    <row r="765" spans="1:18">
      <c r="A765" t="s">
        <v>992</v>
      </c>
      <c r="B765" t="s">
        <v>1361</v>
      </c>
      <c r="C765" t="s">
        <v>994</v>
      </c>
      <c r="D765">
        <v>276.2</v>
      </c>
      <c r="E765" s="128">
        <v>44927</v>
      </c>
      <c r="F765" s="128">
        <v>45657</v>
      </c>
      <c r="G7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276.2</v>
      </c>
      <c r="H765" s="128" t="str">
        <f t="shared" ca="1" si="11"/>
        <v>NO</v>
      </c>
      <c r="Q765" t="s">
        <v>1658</v>
      </c>
      <c r="R765">
        <v>47.502299999999998</v>
      </c>
    </row>
    <row r="766" spans="1:18">
      <c r="A766" t="s">
        <v>992</v>
      </c>
      <c r="B766" t="s">
        <v>1362</v>
      </c>
      <c r="C766" t="s">
        <v>994</v>
      </c>
      <c r="D766">
        <v>134</v>
      </c>
      <c r="E766" s="128">
        <v>36526</v>
      </c>
      <c r="F766" s="128">
        <v>44834</v>
      </c>
      <c r="G7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</v>
      </c>
      <c r="H766" s="128" t="str">
        <f t="shared" ca="1" si="11"/>
        <v>NO</v>
      </c>
      <c r="Q766" t="s">
        <v>1659</v>
      </c>
      <c r="R766">
        <v>96.332300000000004</v>
      </c>
    </row>
    <row r="767" spans="1:18">
      <c r="A767" t="s">
        <v>992</v>
      </c>
      <c r="B767" t="s">
        <v>1362</v>
      </c>
      <c r="C767" t="s">
        <v>994</v>
      </c>
      <c r="D767">
        <v>140.70000000000002</v>
      </c>
      <c r="E767" s="128">
        <v>44835</v>
      </c>
      <c r="F767" s="128">
        <v>45016</v>
      </c>
      <c r="G7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140.70000000000002</v>
      </c>
      <c r="H767" s="128" t="str">
        <f t="shared" ca="1" si="11"/>
        <v>NO</v>
      </c>
      <c r="Q767" t="s">
        <v>1660</v>
      </c>
      <c r="R767">
        <v>256.65876000000003</v>
      </c>
    </row>
    <row r="768" spans="1:18">
      <c r="A768" t="s">
        <v>992</v>
      </c>
      <c r="B768" t="s">
        <v>879</v>
      </c>
      <c r="C768" t="s">
        <v>994</v>
      </c>
      <c r="D768">
        <v>270.39999999999998</v>
      </c>
      <c r="E768" s="128">
        <v>44335</v>
      </c>
      <c r="F768" s="128">
        <v>47483</v>
      </c>
      <c r="G7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270.39999999999998</v>
      </c>
      <c r="H768" s="128" t="str">
        <f t="shared" ca="1" si="11"/>
        <v>YES</v>
      </c>
      <c r="Q768" t="s">
        <v>1661</v>
      </c>
      <c r="R768">
        <v>99.542299999999997</v>
      </c>
    </row>
    <row r="769" spans="1:18">
      <c r="A769" t="s">
        <v>992</v>
      </c>
      <c r="B769" t="s">
        <v>1362</v>
      </c>
      <c r="C769" t="s">
        <v>994</v>
      </c>
      <c r="D769">
        <v>134</v>
      </c>
      <c r="E769" s="128">
        <v>45017</v>
      </c>
      <c r="F769" s="128">
        <v>54789</v>
      </c>
      <c r="G7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</v>
      </c>
      <c r="H769" s="128" t="str">
        <f t="shared" ca="1" si="11"/>
        <v>YES</v>
      </c>
      <c r="Q769" t="s">
        <v>1662</v>
      </c>
      <c r="R769">
        <v>198.88491000000002</v>
      </c>
    </row>
    <row r="770" spans="1:18">
      <c r="A770" t="s">
        <v>992</v>
      </c>
      <c r="B770" t="s">
        <v>1363</v>
      </c>
      <c r="C770" t="s">
        <v>994</v>
      </c>
      <c r="D770">
        <v>262.5</v>
      </c>
      <c r="E770" s="128">
        <v>44335</v>
      </c>
      <c r="F770" s="128">
        <v>47483</v>
      </c>
      <c r="G7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262.5</v>
      </c>
      <c r="H770" s="128" t="str">
        <f t="shared" ref="H770:H833" ca="1" si="12">IF(OR(F770=0,F770&gt;TODAY()),"YES","NO")</f>
        <v>YES</v>
      </c>
      <c r="Q770" t="s">
        <v>1663</v>
      </c>
      <c r="R770">
        <v>198.62432999999999</v>
      </c>
    </row>
    <row r="771" spans="1:18">
      <c r="A771" t="s">
        <v>992</v>
      </c>
      <c r="B771" t="s">
        <v>1365</v>
      </c>
      <c r="C771" t="s">
        <v>994</v>
      </c>
      <c r="D771">
        <v>324.8</v>
      </c>
      <c r="E771" s="128">
        <v>44335</v>
      </c>
      <c r="F771" s="128">
        <v>47483</v>
      </c>
      <c r="G7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324.8</v>
      </c>
      <c r="H771" s="128" t="str">
        <f t="shared" ca="1" si="12"/>
        <v>YES</v>
      </c>
      <c r="Q771" t="s">
        <v>1664</v>
      </c>
      <c r="R771">
        <v>109.56299999999999</v>
      </c>
    </row>
    <row r="772" spans="1:18">
      <c r="A772" t="s">
        <v>992</v>
      </c>
      <c r="B772" t="s">
        <v>1367</v>
      </c>
      <c r="C772" t="s">
        <v>994</v>
      </c>
      <c r="D772">
        <v>99.45</v>
      </c>
      <c r="E772" s="128">
        <v>36526</v>
      </c>
      <c r="F772" s="128">
        <v>47483</v>
      </c>
      <c r="G7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99.45</v>
      </c>
      <c r="H772" s="128" t="str">
        <f t="shared" ca="1" si="12"/>
        <v>YES</v>
      </c>
      <c r="Q772" t="s">
        <v>1665</v>
      </c>
      <c r="R772">
        <v>51.774039999999999</v>
      </c>
    </row>
    <row r="773" spans="1:18">
      <c r="A773" t="s">
        <v>992</v>
      </c>
      <c r="B773" t="s">
        <v>1368</v>
      </c>
      <c r="C773" t="s">
        <v>994</v>
      </c>
      <c r="D773">
        <v>195.07999999999998</v>
      </c>
      <c r="E773" s="128">
        <v>36526</v>
      </c>
      <c r="F773" s="128">
        <v>47483</v>
      </c>
      <c r="G7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195.07999999999998</v>
      </c>
      <c r="H773" s="128" t="str">
        <f t="shared" ca="1" si="12"/>
        <v>YES</v>
      </c>
      <c r="Q773" t="s">
        <v>1666</v>
      </c>
      <c r="R773">
        <v>137.04230000000001</v>
      </c>
    </row>
    <row r="774" spans="1:18">
      <c r="A774" t="s">
        <v>992</v>
      </c>
      <c r="B774" t="s">
        <v>1369</v>
      </c>
      <c r="C774" t="s">
        <v>994</v>
      </c>
      <c r="D774">
        <v>114.74999999999999</v>
      </c>
      <c r="E774" s="128">
        <v>36526</v>
      </c>
      <c r="F774" s="128">
        <v>47483</v>
      </c>
      <c r="G7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114.74999999999999</v>
      </c>
      <c r="H774" s="128" t="str">
        <f t="shared" ca="1" si="12"/>
        <v>YES</v>
      </c>
      <c r="Q774" t="s">
        <v>1667</v>
      </c>
      <c r="R774">
        <v>140.00230000000002</v>
      </c>
    </row>
    <row r="775" spans="1:18">
      <c r="A775" t="s">
        <v>992</v>
      </c>
      <c r="B775" t="s">
        <v>1370</v>
      </c>
      <c r="C775" t="s">
        <v>994</v>
      </c>
      <c r="D775">
        <v>83.73</v>
      </c>
      <c r="E775" s="128">
        <v>36526</v>
      </c>
      <c r="F775" s="128">
        <v>44229</v>
      </c>
      <c r="G7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83.73</v>
      </c>
      <c r="H775" s="128" t="str">
        <f t="shared" ca="1" si="12"/>
        <v>NO</v>
      </c>
      <c r="Q775" t="s">
        <v>1668</v>
      </c>
      <c r="R775">
        <v>120.85769999999999</v>
      </c>
    </row>
    <row r="776" spans="1:18">
      <c r="A776" t="s">
        <v>992</v>
      </c>
      <c r="B776" t="s">
        <v>1370</v>
      </c>
      <c r="C776" t="s">
        <v>994</v>
      </c>
      <c r="D776">
        <v>150</v>
      </c>
      <c r="E776" s="128">
        <v>44230</v>
      </c>
      <c r="F776" s="128">
        <v>55153</v>
      </c>
      <c r="G7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776" s="128" t="str">
        <f t="shared" ca="1" si="12"/>
        <v>YES</v>
      </c>
      <c r="Q776" t="s">
        <v>1669</v>
      </c>
      <c r="R776">
        <v>318.73658999999998</v>
      </c>
    </row>
    <row r="777" spans="1:18">
      <c r="A777" t="s">
        <v>992</v>
      </c>
      <c r="B777" t="s">
        <v>1371</v>
      </c>
      <c r="C777" t="s">
        <v>994</v>
      </c>
      <c r="D777">
        <v>204.67999999999998</v>
      </c>
      <c r="E777" s="128">
        <v>36526</v>
      </c>
      <c r="F777" s="128">
        <v>47483</v>
      </c>
      <c r="G7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204.67999999999998</v>
      </c>
      <c r="H777" s="128" t="str">
        <f t="shared" ca="1" si="12"/>
        <v>YES</v>
      </c>
      <c r="Q777" t="s">
        <v>1717</v>
      </c>
      <c r="R777">
        <v>135.30297999999999</v>
      </c>
    </row>
    <row r="778" spans="1:18">
      <c r="A778" t="s">
        <v>992</v>
      </c>
      <c r="B778" t="s">
        <v>1373</v>
      </c>
      <c r="C778" t="s">
        <v>994</v>
      </c>
      <c r="D778">
        <v>222.45000000000002</v>
      </c>
      <c r="E778" s="128">
        <v>36526</v>
      </c>
      <c r="F778" s="128">
        <v>47483</v>
      </c>
      <c r="G7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222.45000000000002</v>
      </c>
      <c r="H778" s="128" t="str">
        <f t="shared" ca="1" si="12"/>
        <v>YES</v>
      </c>
      <c r="Q778" t="s">
        <v>1722</v>
      </c>
      <c r="R778">
        <v>76.680210000000002</v>
      </c>
    </row>
    <row r="779" spans="1:18">
      <c r="A779" t="s">
        <v>992</v>
      </c>
      <c r="B779" t="s">
        <v>1375</v>
      </c>
      <c r="C779" t="s">
        <v>994</v>
      </c>
      <c r="D779">
        <v>222.70000000000002</v>
      </c>
      <c r="E779" s="128">
        <v>36526</v>
      </c>
      <c r="F779" s="128">
        <v>44753</v>
      </c>
      <c r="G7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222.70000000000002</v>
      </c>
      <c r="H779" s="128" t="str">
        <f t="shared" ca="1" si="12"/>
        <v>NO</v>
      </c>
      <c r="Q779" t="s">
        <v>1723</v>
      </c>
      <c r="R779">
        <v>184.88442000000001</v>
      </c>
    </row>
    <row r="780" spans="1:18">
      <c r="A780" t="s">
        <v>992</v>
      </c>
      <c r="B780" t="s">
        <v>1375</v>
      </c>
      <c r="C780" t="s">
        <v>994</v>
      </c>
      <c r="D780">
        <v>334.86</v>
      </c>
      <c r="E780" s="128">
        <v>44754</v>
      </c>
      <c r="F780" s="128">
        <v>47311</v>
      </c>
      <c r="G7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334.86</v>
      </c>
      <c r="H780" s="128" t="str">
        <f t="shared" ca="1" si="12"/>
        <v>YES</v>
      </c>
      <c r="Q780" t="s">
        <v>1724</v>
      </c>
      <c r="R780">
        <v>110.62322999999999</v>
      </c>
    </row>
    <row r="781" spans="1:18">
      <c r="A781" t="s">
        <v>992</v>
      </c>
      <c r="B781" t="s">
        <v>1376</v>
      </c>
      <c r="C781" t="s">
        <v>994</v>
      </c>
      <c r="D781">
        <v>181.39</v>
      </c>
      <c r="E781" s="128">
        <v>36526</v>
      </c>
      <c r="F781" s="128">
        <v>47483</v>
      </c>
      <c r="G7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181.39</v>
      </c>
      <c r="H781" s="128" t="str">
        <f t="shared" ca="1" si="12"/>
        <v>YES</v>
      </c>
      <c r="Q781" t="s">
        <v>1725</v>
      </c>
      <c r="R781">
        <v>123.80220999999999</v>
      </c>
    </row>
    <row r="782" spans="1:18">
      <c r="A782" t="s">
        <v>992</v>
      </c>
      <c r="B782" t="s">
        <v>1377</v>
      </c>
      <c r="C782" t="s">
        <v>994</v>
      </c>
      <c r="D782">
        <v>171.11</v>
      </c>
      <c r="E782" s="128">
        <v>36526</v>
      </c>
      <c r="F782" s="128">
        <v>47483</v>
      </c>
      <c r="G7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171.11</v>
      </c>
      <c r="H782" s="128" t="str">
        <f t="shared" ca="1" si="12"/>
        <v>YES</v>
      </c>
      <c r="Q782" t="s">
        <v>1726</v>
      </c>
      <c r="R782">
        <v>275</v>
      </c>
    </row>
    <row r="783" spans="1:18">
      <c r="A783" t="s">
        <v>992</v>
      </c>
      <c r="B783" t="s">
        <v>1378</v>
      </c>
      <c r="C783" t="s">
        <v>994</v>
      </c>
      <c r="D783">
        <v>154.01999999999998</v>
      </c>
      <c r="E783" s="128">
        <v>36526</v>
      </c>
      <c r="F783" s="128">
        <v>47483</v>
      </c>
      <c r="G7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154.01999999999998</v>
      </c>
      <c r="H783" s="128" t="str">
        <f t="shared" ca="1" si="12"/>
        <v>YES</v>
      </c>
      <c r="Q783" t="s">
        <v>1670</v>
      </c>
      <c r="R783">
        <v>51.556589999999993</v>
      </c>
    </row>
    <row r="784" spans="1:18">
      <c r="A784" t="s">
        <v>992</v>
      </c>
      <c r="B784" t="s">
        <v>1379</v>
      </c>
      <c r="C784" t="s">
        <v>994</v>
      </c>
      <c r="D784">
        <v>231.29</v>
      </c>
      <c r="E784" s="128">
        <v>36526</v>
      </c>
      <c r="F784" s="128">
        <v>47483</v>
      </c>
      <c r="G7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231.29</v>
      </c>
      <c r="H784" s="128" t="str">
        <f t="shared" ca="1" si="12"/>
        <v>YES</v>
      </c>
      <c r="Q784" t="s">
        <v>1671</v>
      </c>
      <c r="R784">
        <v>63.176589999999997</v>
      </c>
    </row>
    <row r="785" spans="1:18">
      <c r="A785" t="s">
        <v>992</v>
      </c>
      <c r="B785" t="s">
        <v>1380</v>
      </c>
      <c r="C785" t="s">
        <v>994</v>
      </c>
      <c r="D785">
        <v>72.680000000000007</v>
      </c>
      <c r="E785" s="128">
        <v>36526</v>
      </c>
      <c r="F785" s="128">
        <v>43496</v>
      </c>
      <c r="G7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72.680000000000007</v>
      </c>
      <c r="H785" s="128" t="str">
        <f t="shared" ca="1" si="12"/>
        <v>NO</v>
      </c>
      <c r="Q785" t="s">
        <v>1672</v>
      </c>
      <c r="R785">
        <v>168.91</v>
      </c>
    </row>
    <row r="786" spans="1:18">
      <c r="A786" t="s">
        <v>992</v>
      </c>
      <c r="B786" t="s">
        <v>1380</v>
      </c>
      <c r="C786" t="s">
        <v>994</v>
      </c>
      <c r="D786">
        <v>125.04</v>
      </c>
      <c r="E786" s="128">
        <v>43497</v>
      </c>
      <c r="F786" s="128">
        <v>47483</v>
      </c>
      <c r="G7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125.04</v>
      </c>
      <c r="H786" s="128" t="str">
        <f t="shared" ca="1" si="12"/>
        <v>YES</v>
      </c>
      <c r="Q786" t="s">
        <v>901</v>
      </c>
      <c r="R786">
        <v>58.412840000000003</v>
      </c>
    </row>
    <row r="787" spans="1:18">
      <c r="A787" t="s">
        <v>992</v>
      </c>
      <c r="B787" t="s">
        <v>1381</v>
      </c>
      <c r="C787" t="s">
        <v>994</v>
      </c>
      <c r="D787">
        <v>183.77</v>
      </c>
      <c r="E787" s="128">
        <v>36526</v>
      </c>
      <c r="F787" s="128">
        <v>47483</v>
      </c>
      <c r="G7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183.77</v>
      </c>
      <c r="H787" s="128" t="str">
        <f t="shared" ca="1" si="12"/>
        <v>YES</v>
      </c>
      <c r="Q787" t="s">
        <v>899</v>
      </c>
      <c r="R787">
        <v>81.36999999999999</v>
      </c>
    </row>
    <row r="788" spans="1:18">
      <c r="A788" t="s">
        <v>992</v>
      </c>
      <c r="B788" t="s">
        <v>1382</v>
      </c>
      <c r="C788" t="s">
        <v>994</v>
      </c>
      <c r="D788">
        <v>493.00000000000006</v>
      </c>
      <c r="E788" s="128">
        <v>36526</v>
      </c>
      <c r="F788" s="128">
        <v>43423</v>
      </c>
      <c r="G7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493.00000000000006</v>
      </c>
      <c r="H788" s="128" t="str">
        <f t="shared" ca="1" si="12"/>
        <v>NO</v>
      </c>
      <c r="Q788" t="s">
        <v>1673</v>
      </c>
      <c r="R788">
        <v>157.13459</v>
      </c>
    </row>
    <row r="789" spans="1:18">
      <c r="A789" t="s">
        <v>992</v>
      </c>
      <c r="B789" t="s">
        <v>1382</v>
      </c>
      <c r="C789" t="s">
        <v>994</v>
      </c>
      <c r="D789">
        <v>402.99999999999994</v>
      </c>
      <c r="E789" s="128">
        <v>43424</v>
      </c>
      <c r="F789" s="128">
        <v>44196</v>
      </c>
      <c r="G7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402.99999999999994</v>
      </c>
      <c r="H789" s="128" t="str">
        <f t="shared" ca="1" si="12"/>
        <v>NO</v>
      </c>
      <c r="Q789" t="s">
        <v>1727</v>
      </c>
      <c r="R789">
        <v>108.67999999999999</v>
      </c>
    </row>
    <row r="790" spans="1:18">
      <c r="A790" t="s">
        <v>992</v>
      </c>
      <c r="B790" t="s">
        <v>1382</v>
      </c>
      <c r="C790" t="s">
        <v>994</v>
      </c>
      <c r="D790">
        <v>375</v>
      </c>
      <c r="E790" s="128">
        <v>44197</v>
      </c>
      <c r="F790" s="128">
        <v>54789</v>
      </c>
      <c r="G7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375</v>
      </c>
      <c r="H790" s="128" t="str">
        <f t="shared" ca="1" si="12"/>
        <v>YES</v>
      </c>
      <c r="Q790" t="s">
        <v>1728</v>
      </c>
      <c r="R790">
        <v>132.46932999999999</v>
      </c>
    </row>
    <row r="791" spans="1:18">
      <c r="A791" t="s">
        <v>992</v>
      </c>
      <c r="B791" t="s">
        <v>1383</v>
      </c>
      <c r="C791" t="s">
        <v>994</v>
      </c>
      <c r="D791">
        <v>133</v>
      </c>
      <c r="E791" s="128">
        <v>36526</v>
      </c>
      <c r="F791" s="128">
        <v>44753</v>
      </c>
      <c r="G7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133</v>
      </c>
      <c r="H791" s="128" t="str">
        <f t="shared" ca="1" si="12"/>
        <v>NO</v>
      </c>
      <c r="Q791" t="s">
        <v>1729</v>
      </c>
      <c r="R791">
        <v>70.102320000000006</v>
      </c>
    </row>
    <row r="792" spans="1:18">
      <c r="A792" t="s">
        <v>992</v>
      </c>
      <c r="B792" t="s">
        <v>1383</v>
      </c>
      <c r="C792" t="s">
        <v>994</v>
      </c>
      <c r="D792">
        <v>207.26</v>
      </c>
      <c r="E792" s="128">
        <v>44754</v>
      </c>
      <c r="F792" s="128">
        <v>47311</v>
      </c>
      <c r="G7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207.26</v>
      </c>
      <c r="H792" s="128" t="str">
        <f t="shared" ca="1" si="12"/>
        <v>YES</v>
      </c>
      <c r="Q792" t="s">
        <v>1730</v>
      </c>
      <c r="R792">
        <v>132.46932999999999</v>
      </c>
    </row>
    <row r="793" spans="1:18">
      <c r="A793" t="s">
        <v>992</v>
      </c>
      <c r="B793" t="s">
        <v>1384</v>
      </c>
      <c r="C793" t="s">
        <v>994</v>
      </c>
      <c r="D793">
        <v>175.69</v>
      </c>
      <c r="E793" s="128">
        <v>36526</v>
      </c>
      <c r="F793" s="128">
        <v>43657</v>
      </c>
      <c r="G7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175.69</v>
      </c>
      <c r="H793" s="128" t="str">
        <f t="shared" ca="1" si="12"/>
        <v>NO</v>
      </c>
      <c r="Q793" t="s">
        <v>1731</v>
      </c>
      <c r="R793">
        <v>132.46869999999998</v>
      </c>
    </row>
    <row r="794" spans="1:18">
      <c r="A794" t="s">
        <v>992</v>
      </c>
      <c r="B794" t="s">
        <v>1384</v>
      </c>
      <c r="C794" t="s">
        <v>994</v>
      </c>
      <c r="D794">
        <v>180.1</v>
      </c>
      <c r="E794" s="128">
        <v>43658</v>
      </c>
      <c r="F794" s="128">
        <v>47483</v>
      </c>
      <c r="G7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180.1</v>
      </c>
      <c r="H794" s="128" t="str">
        <f t="shared" ca="1" si="12"/>
        <v>YES</v>
      </c>
      <c r="Q794" t="s">
        <v>1732</v>
      </c>
      <c r="R794">
        <v>88.716279999999998</v>
      </c>
    </row>
    <row r="795" spans="1:18">
      <c r="A795" t="s">
        <v>992</v>
      </c>
      <c r="B795" t="s">
        <v>1385</v>
      </c>
      <c r="C795" t="s">
        <v>994</v>
      </c>
      <c r="D795">
        <v>244.38</v>
      </c>
      <c r="E795" s="128">
        <v>36526</v>
      </c>
      <c r="F795" s="128">
        <v>47483</v>
      </c>
      <c r="G7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244.38</v>
      </c>
      <c r="H795" s="128" t="str">
        <f t="shared" ca="1" si="12"/>
        <v>YES</v>
      </c>
      <c r="Q795" t="s">
        <v>1733</v>
      </c>
      <c r="R795">
        <v>54.339999999999996</v>
      </c>
    </row>
    <row r="796" spans="1:18">
      <c r="A796" t="s">
        <v>992</v>
      </c>
      <c r="B796" t="s">
        <v>1386</v>
      </c>
      <c r="C796" t="s">
        <v>994</v>
      </c>
      <c r="D796">
        <v>156.4</v>
      </c>
      <c r="E796" s="128">
        <v>36526</v>
      </c>
      <c r="F796" s="128">
        <v>47483</v>
      </c>
      <c r="G7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156.4</v>
      </c>
      <c r="H796" s="128" t="str">
        <f t="shared" ca="1" si="12"/>
        <v>YES</v>
      </c>
      <c r="Q796" t="s">
        <v>1734</v>
      </c>
      <c r="R796">
        <v>88.716279999999998</v>
      </c>
    </row>
    <row r="797" spans="1:18">
      <c r="A797" t="s">
        <v>992</v>
      </c>
      <c r="B797" t="s">
        <v>1387</v>
      </c>
      <c r="C797" t="s">
        <v>994</v>
      </c>
      <c r="D797">
        <v>72.25</v>
      </c>
      <c r="E797" s="128">
        <v>36526</v>
      </c>
      <c r="F797" s="128">
        <v>45084</v>
      </c>
      <c r="G7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72.25</v>
      </c>
      <c r="H797" s="128" t="str">
        <f t="shared" ca="1" si="12"/>
        <v>NO</v>
      </c>
      <c r="Q797" t="s">
        <v>1735</v>
      </c>
      <c r="R797">
        <v>132.46932999999999</v>
      </c>
    </row>
    <row r="798" spans="1:18">
      <c r="A798" t="s">
        <v>992</v>
      </c>
      <c r="B798" t="s">
        <v>1388</v>
      </c>
      <c r="C798" t="s">
        <v>994</v>
      </c>
      <c r="D798">
        <v>138</v>
      </c>
      <c r="E798" s="128">
        <v>36526</v>
      </c>
      <c r="F798" s="128">
        <v>47483</v>
      </c>
      <c r="G7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138</v>
      </c>
      <c r="H798" s="128" t="str">
        <f t="shared" ca="1" si="12"/>
        <v>YES</v>
      </c>
      <c r="Q798" t="s">
        <v>1736</v>
      </c>
      <c r="R798">
        <v>124.39701999999998</v>
      </c>
    </row>
    <row r="799" spans="1:18">
      <c r="A799" t="s">
        <v>992</v>
      </c>
      <c r="B799" t="s">
        <v>1387</v>
      </c>
      <c r="C799" t="s">
        <v>994</v>
      </c>
      <c r="D799">
        <v>115.00000000000001</v>
      </c>
      <c r="E799" s="128">
        <v>45085</v>
      </c>
      <c r="F799" s="128">
        <v>54789</v>
      </c>
      <c r="G7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115.00000000000001</v>
      </c>
      <c r="H799" s="128" t="str">
        <f t="shared" ca="1" si="12"/>
        <v>YES</v>
      </c>
      <c r="Q799" t="s">
        <v>1737</v>
      </c>
      <c r="R799">
        <v>124.39701999999998</v>
      </c>
    </row>
    <row r="800" spans="1:18">
      <c r="A800" t="s">
        <v>992</v>
      </c>
      <c r="B800" t="s">
        <v>1389</v>
      </c>
      <c r="C800" t="s">
        <v>994</v>
      </c>
      <c r="D800">
        <v>147.9</v>
      </c>
      <c r="E800" s="128">
        <v>36526</v>
      </c>
      <c r="F800" s="128">
        <v>47483</v>
      </c>
      <c r="G8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147.9</v>
      </c>
      <c r="H800" s="128" t="str">
        <f t="shared" ca="1" si="12"/>
        <v>YES</v>
      </c>
      <c r="Q800" t="s">
        <v>1738</v>
      </c>
      <c r="R800">
        <v>124.39701999999998</v>
      </c>
    </row>
    <row r="801" spans="1:18">
      <c r="A801" t="s">
        <v>992</v>
      </c>
      <c r="B801" t="s">
        <v>1390</v>
      </c>
      <c r="C801" t="s">
        <v>994</v>
      </c>
      <c r="D801">
        <v>1300</v>
      </c>
      <c r="E801" s="128">
        <v>36526</v>
      </c>
      <c r="F801" s="128">
        <v>47483</v>
      </c>
      <c r="G8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1300</v>
      </c>
      <c r="H801" s="128" t="str">
        <f t="shared" ca="1" si="12"/>
        <v>YES</v>
      </c>
      <c r="Q801" t="s">
        <v>1739</v>
      </c>
      <c r="R801">
        <v>124.39701999999998</v>
      </c>
    </row>
    <row r="802" spans="1:18">
      <c r="A802" t="s">
        <v>992</v>
      </c>
      <c r="B802" t="s">
        <v>1391</v>
      </c>
      <c r="C802" t="s">
        <v>994</v>
      </c>
      <c r="D802">
        <v>209.53</v>
      </c>
      <c r="E802" s="128">
        <v>36526</v>
      </c>
      <c r="F802" s="128">
        <v>45466</v>
      </c>
      <c r="G8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209.53</v>
      </c>
      <c r="H802" s="128" t="str">
        <f t="shared" ca="1" si="12"/>
        <v>NO</v>
      </c>
      <c r="Q802" t="s">
        <v>1740</v>
      </c>
      <c r="R802">
        <v>124.39701999999998</v>
      </c>
    </row>
    <row r="803" spans="1:18">
      <c r="A803" t="s">
        <v>992</v>
      </c>
      <c r="B803" t="s">
        <v>1391</v>
      </c>
      <c r="C803" t="s">
        <v>994</v>
      </c>
      <c r="D803">
        <v>127.5</v>
      </c>
      <c r="E803" s="128">
        <v>36526</v>
      </c>
      <c r="F803" s="128">
        <v>45466</v>
      </c>
      <c r="G8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127.5</v>
      </c>
      <c r="H803" s="128" t="str">
        <f t="shared" ca="1" si="12"/>
        <v>NO</v>
      </c>
      <c r="Q803" t="s">
        <v>1741</v>
      </c>
      <c r="R803">
        <v>77.677589999999995</v>
      </c>
    </row>
    <row r="804" spans="1:18">
      <c r="A804" t="s">
        <v>992</v>
      </c>
      <c r="B804" t="s">
        <v>1392</v>
      </c>
      <c r="C804" t="s">
        <v>994</v>
      </c>
      <c r="D804">
        <v>391.9</v>
      </c>
      <c r="E804" s="128">
        <v>36526</v>
      </c>
      <c r="F804" s="128">
        <v>42735</v>
      </c>
      <c r="G8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391.9</v>
      </c>
      <c r="H804" s="128" t="str">
        <f t="shared" ca="1" si="12"/>
        <v>NO</v>
      </c>
      <c r="Q804" t="s">
        <v>1742</v>
      </c>
      <c r="R804">
        <v>77.677589999999995</v>
      </c>
    </row>
    <row r="805" spans="1:18">
      <c r="A805" t="s">
        <v>992</v>
      </c>
      <c r="B805" t="s">
        <v>1391</v>
      </c>
      <c r="C805" t="s">
        <v>994</v>
      </c>
      <c r="D805">
        <v>146.62</v>
      </c>
      <c r="E805" s="128">
        <v>45467</v>
      </c>
      <c r="F805" s="128">
        <v>47848</v>
      </c>
      <c r="G8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146.62</v>
      </c>
      <c r="H805" s="128" t="str">
        <f t="shared" ca="1" si="12"/>
        <v>YES</v>
      </c>
      <c r="Q805" t="s">
        <v>1743</v>
      </c>
      <c r="R805">
        <v>77.677589999999995</v>
      </c>
    </row>
    <row r="806" spans="1:18">
      <c r="A806" t="s">
        <v>992</v>
      </c>
      <c r="B806" t="s">
        <v>1392</v>
      </c>
      <c r="C806" t="s">
        <v>994</v>
      </c>
      <c r="D806">
        <v>419.99999999999994</v>
      </c>
      <c r="E806" s="128">
        <v>42736</v>
      </c>
      <c r="F806" s="128">
        <v>44926</v>
      </c>
      <c r="G8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419.99999999999994</v>
      </c>
      <c r="H806" s="128" t="str">
        <f t="shared" ca="1" si="12"/>
        <v>NO</v>
      </c>
      <c r="Q806" t="s">
        <v>1744</v>
      </c>
      <c r="R806">
        <v>77.677589999999995</v>
      </c>
    </row>
    <row r="807" spans="1:18">
      <c r="A807" t="s">
        <v>992</v>
      </c>
      <c r="B807" t="s">
        <v>1392</v>
      </c>
      <c r="C807" t="s">
        <v>994</v>
      </c>
      <c r="D807">
        <v>391.1</v>
      </c>
      <c r="E807" s="128">
        <v>44927</v>
      </c>
      <c r="F807" s="128">
        <v>45016</v>
      </c>
      <c r="G8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391.1</v>
      </c>
      <c r="H807" s="128" t="str">
        <f t="shared" ca="1" si="12"/>
        <v>NO</v>
      </c>
      <c r="Q807" t="s">
        <v>1745</v>
      </c>
      <c r="R807">
        <v>114.25103</v>
      </c>
    </row>
    <row r="808" spans="1:18">
      <c r="A808" t="s">
        <v>992</v>
      </c>
      <c r="B808" t="s">
        <v>1393</v>
      </c>
      <c r="C808" t="s">
        <v>994</v>
      </c>
      <c r="D808">
        <v>774.99999999999989</v>
      </c>
      <c r="E808" s="128">
        <v>36526</v>
      </c>
      <c r="F808" s="128">
        <v>43383</v>
      </c>
      <c r="G8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774.99999999999989</v>
      </c>
      <c r="H808" s="128" t="str">
        <f t="shared" ca="1" si="12"/>
        <v>NO</v>
      </c>
      <c r="Q808" t="s">
        <v>1746</v>
      </c>
      <c r="R808">
        <v>114.25103</v>
      </c>
    </row>
    <row r="809" spans="1:18">
      <c r="A809" t="s">
        <v>992</v>
      </c>
      <c r="B809" t="s">
        <v>1392</v>
      </c>
      <c r="C809" t="s">
        <v>994</v>
      </c>
      <c r="D809">
        <v>375.3</v>
      </c>
      <c r="E809" s="128">
        <v>45017</v>
      </c>
      <c r="F809" s="128">
        <v>46022</v>
      </c>
      <c r="G8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375.3</v>
      </c>
      <c r="H809" s="128" t="str">
        <f t="shared" ca="1" si="12"/>
        <v>YES</v>
      </c>
      <c r="Q809" t="s">
        <v>1747</v>
      </c>
      <c r="R809">
        <v>118.38997999999999</v>
      </c>
    </row>
    <row r="810" spans="1:18">
      <c r="A810" t="s">
        <v>992</v>
      </c>
      <c r="B810" t="s">
        <v>1393</v>
      </c>
      <c r="C810" t="s">
        <v>994</v>
      </c>
      <c r="D810">
        <v>907.04</v>
      </c>
      <c r="E810" s="128">
        <v>43384</v>
      </c>
      <c r="F810" s="128">
        <v>47483</v>
      </c>
      <c r="G8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907.04</v>
      </c>
      <c r="H810" s="128" t="str">
        <f t="shared" ca="1" si="12"/>
        <v>YES</v>
      </c>
      <c r="Q810" t="s">
        <v>1748</v>
      </c>
      <c r="R810">
        <v>103.30469000000001</v>
      </c>
    </row>
    <row r="811" spans="1:18">
      <c r="A811" t="s">
        <v>992</v>
      </c>
      <c r="B811" t="s">
        <v>1394</v>
      </c>
      <c r="C811" t="s">
        <v>994</v>
      </c>
      <c r="D811">
        <v>1344</v>
      </c>
      <c r="E811" s="128">
        <v>36526</v>
      </c>
      <c r="F811" s="128">
        <v>43614</v>
      </c>
      <c r="G8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1344</v>
      </c>
      <c r="H811" s="128" t="str">
        <f t="shared" ca="1" si="12"/>
        <v>NO</v>
      </c>
      <c r="Q811" t="s">
        <v>1749</v>
      </c>
      <c r="R811">
        <v>127.10919</v>
      </c>
    </row>
    <row r="812" spans="1:18">
      <c r="A812" t="s">
        <v>992</v>
      </c>
      <c r="B812" t="s">
        <v>1394</v>
      </c>
      <c r="C812" t="s">
        <v>994</v>
      </c>
      <c r="D812">
        <v>992.04000000000008</v>
      </c>
      <c r="E812" s="128">
        <v>36526</v>
      </c>
      <c r="F812" s="128">
        <v>43614</v>
      </c>
      <c r="G8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992.04000000000008</v>
      </c>
      <c r="H812" s="128" t="str">
        <f t="shared" ca="1" si="12"/>
        <v>NO</v>
      </c>
      <c r="Q812" t="s">
        <v>1750</v>
      </c>
      <c r="R812">
        <v>127.10919</v>
      </c>
    </row>
    <row r="813" spans="1:18">
      <c r="A813" t="s">
        <v>992</v>
      </c>
      <c r="B813" t="s">
        <v>1394</v>
      </c>
      <c r="C813" t="s">
        <v>994</v>
      </c>
      <c r="D813">
        <v>1632</v>
      </c>
      <c r="E813" s="128">
        <v>43615</v>
      </c>
      <c r="F813" s="128">
        <v>47483</v>
      </c>
      <c r="G8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1632</v>
      </c>
      <c r="H813" s="128" t="str">
        <f t="shared" ca="1" si="12"/>
        <v>YES</v>
      </c>
      <c r="Q813" t="s">
        <v>1751</v>
      </c>
      <c r="R813">
        <v>127.32913000000001</v>
      </c>
    </row>
    <row r="814" spans="1:18">
      <c r="A814" t="s">
        <v>992</v>
      </c>
      <c r="B814" t="s">
        <v>1395</v>
      </c>
      <c r="C814" t="s">
        <v>994</v>
      </c>
      <c r="D814">
        <v>96.899999999999991</v>
      </c>
      <c r="E814" s="128">
        <v>36526</v>
      </c>
      <c r="F814" s="128">
        <v>43404</v>
      </c>
      <c r="G8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96.899999999999991</v>
      </c>
      <c r="H814" s="128" t="str">
        <f t="shared" ca="1" si="12"/>
        <v>NO</v>
      </c>
      <c r="Q814" t="s">
        <v>1752</v>
      </c>
      <c r="R814">
        <v>65.075199999999995</v>
      </c>
    </row>
    <row r="815" spans="1:18">
      <c r="A815" t="s">
        <v>992</v>
      </c>
      <c r="B815" t="s">
        <v>1395</v>
      </c>
      <c r="C815" t="s">
        <v>994</v>
      </c>
      <c r="D815">
        <v>153</v>
      </c>
      <c r="E815" s="128">
        <v>43405</v>
      </c>
      <c r="F815" s="128">
        <v>47483</v>
      </c>
      <c r="G8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153</v>
      </c>
      <c r="H815" s="128" t="str">
        <f t="shared" ca="1" si="12"/>
        <v>YES</v>
      </c>
      <c r="Q815" t="s">
        <v>1753</v>
      </c>
      <c r="R815">
        <v>156.06861000000001</v>
      </c>
    </row>
    <row r="816" spans="1:18">
      <c r="A816" t="s">
        <v>992</v>
      </c>
      <c r="B816" t="s">
        <v>1396</v>
      </c>
      <c r="C816" t="s">
        <v>994</v>
      </c>
      <c r="D816">
        <v>807.5</v>
      </c>
      <c r="E816" s="128">
        <v>36526</v>
      </c>
      <c r="F816" s="128">
        <v>41639</v>
      </c>
      <c r="G8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807.5</v>
      </c>
      <c r="H816" s="128" t="str">
        <f t="shared" ca="1" si="12"/>
        <v>NO</v>
      </c>
      <c r="Q816" t="s">
        <v>1754</v>
      </c>
      <c r="R816">
        <v>48.716219999999993</v>
      </c>
    </row>
    <row r="817" spans="1:18">
      <c r="A817" t="s">
        <v>992</v>
      </c>
      <c r="B817" t="s">
        <v>1396</v>
      </c>
      <c r="C817" t="s">
        <v>994</v>
      </c>
      <c r="D817">
        <v>147.9</v>
      </c>
      <c r="E817" s="128">
        <v>41640</v>
      </c>
      <c r="F817" s="128">
        <v>47483</v>
      </c>
      <c r="G8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147.9</v>
      </c>
      <c r="H817" s="128" t="str">
        <f t="shared" ca="1" si="12"/>
        <v>YES</v>
      </c>
      <c r="Q817" t="s">
        <v>1755</v>
      </c>
      <c r="R817">
        <v>119.93960999999999</v>
      </c>
    </row>
    <row r="818" spans="1:18">
      <c r="A818" t="s">
        <v>992</v>
      </c>
      <c r="B818" t="s">
        <v>1397</v>
      </c>
      <c r="C818" t="s">
        <v>994</v>
      </c>
      <c r="D818">
        <v>834</v>
      </c>
      <c r="E818" s="128">
        <v>36526</v>
      </c>
      <c r="F818" s="128">
        <v>43383</v>
      </c>
      <c r="G8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834</v>
      </c>
      <c r="H818" s="128" t="str">
        <f t="shared" ca="1" si="12"/>
        <v>NO</v>
      </c>
      <c r="Q818" t="s">
        <v>1756</v>
      </c>
      <c r="R818">
        <v>70.984859999999998</v>
      </c>
    </row>
    <row r="819" spans="1:18">
      <c r="A819" t="s">
        <v>992</v>
      </c>
      <c r="B819" t="s">
        <v>1397</v>
      </c>
      <c r="C819" t="s">
        <v>994</v>
      </c>
      <c r="D819">
        <v>656</v>
      </c>
      <c r="E819" s="128">
        <v>36526</v>
      </c>
      <c r="F819" s="128">
        <v>43383</v>
      </c>
      <c r="G8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656</v>
      </c>
      <c r="H819" s="128" t="str">
        <f t="shared" ca="1" si="12"/>
        <v>NO</v>
      </c>
      <c r="Q819" t="s">
        <v>1757</v>
      </c>
      <c r="R819">
        <v>107.20452</v>
      </c>
    </row>
    <row r="820" spans="1:18">
      <c r="A820" t="s">
        <v>992</v>
      </c>
      <c r="B820" t="s">
        <v>1397</v>
      </c>
      <c r="C820" t="s">
        <v>994</v>
      </c>
      <c r="D820">
        <v>631</v>
      </c>
      <c r="E820" s="128">
        <v>36526</v>
      </c>
      <c r="F820" s="128">
        <v>43383</v>
      </c>
      <c r="G8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631</v>
      </c>
      <c r="H820" s="128" t="str">
        <f t="shared" ca="1" si="12"/>
        <v>NO</v>
      </c>
      <c r="Q820" t="s">
        <v>1758</v>
      </c>
      <c r="R820">
        <v>42.612540000000003</v>
      </c>
    </row>
    <row r="821" spans="1:18">
      <c r="A821" t="s">
        <v>992</v>
      </c>
      <c r="B821" t="s">
        <v>1397</v>
      </c>
      <c r="C821" t="s">
        <v>994</v>
      </c>
      <c r="D821">
        <v>983.03000000000009</v>
      </c>
      <c r="E821" s="128">
        <v>43384</v>
      </c>
      <c r="F821" s="128">
        <v>47483</v>
      </c>
      <c r="G8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983.03000000000009</v>
      </c>
      <c r="H821" s="128" t="str">
        <f t="shared" ca="1" si="12"/>
        <v>YES</v>
      </c>
      <c r="Q821" t="s">
        <v>1759</v>
      </c>
      <c r="R821">
        <v>34.748339999999999</v>
      </c>
    </row>
    <row r="822" spans="1:18">
      <c r="A822" t="s">
        <v>992</v>
      </c>
      <c r="B822" t="s">
        <v>1398</v>
      </c>
      <c r="C822" t="s">
        <v>994</v>
      </c>
      <c r="D822">
        <v>269.5</v>
      </c>
      <c r="E822" s="128">
        <v>36526</v>
      </c>
      <c r="F822" s="128">
        <v>43081</v>
      </c>
      <c r="G8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269.5</v>
      </c>
      <c r="H822" s="128" t="str">
        <f t="shared" ca="1" si="12"/>
        <v>NO</v>
      </c>
      <c r="Q822" t="s">
        <v>1760</v>
      </c>
      <c r="R822">
        <v>362.11813999999998</v>
      </c>
    </row>
    <row r="823" spans="1:18">
      <c r="A823" t="s">
        <v>992</v>
      </c>
      <c r="B823" t="s">
        <v>1398</v>
      </c>
      <c r="C823" t="s">
        <v>994</v>
      </c>
      <c r="D823">
        <v>450.99999999999994</v>
      </c>
      <c r="E823" s="128">
        <v>43101</v>
      </c>
      <c r="F823" s="128">
        <v>47483</v>
      </c>
      <c r="G8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450.99999999999994</v>
      </c>
      <c r="H823" s="128" t="str">
        <f t="shared" ca="1" si="12"/>
        <v>YES</v>
      </c>
      <c r="Q823" t="s">
        <v>1761</v>
      </c>
      <c r="R823">
        <v>213.30983000000001</v>
      </c>
    </row>
    <row r="824" spans="1:18">
      <c r="A824" t="s">
        <v>992</v>
      </c>
      <c r="B824" t="s">
        <v>1399</v>
      </c>
      <c r="C824" t="s">
        <v>994</v>
      </c>
      <c r="D824">
        <v>69</v>
      </c>
      <c r="E824" s="128">
        <v>36526</v>
      </c>
      <c r="F824" s="128">
        <v>47483</v>
      </c>
      <c r="G8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</v>
      </c>
      <c r="H824" s="128" t="str">
        <f t="shared" ca="1" si="12"/>
        <v>YES</v>
      </c>
      <c r="Q824" t="s">
        <v>1762</v>
      </c>
      <c r="R824">
        <v>80.748840000000001</v>
      </c>
    </row>
    <row r="825" spans="1:18">
      <c r="A825" t="s">
        <v>992</v>
      </c>
      <c r="B825" t="s">
        <v>1400</v>
      </c>
      <c r="C825" t="s">
        <v>994</v>
      </c>
      <c r="D825">
        <v>117.3</v>
      </c>
      <c r="E825" s="128">
        <v>36526</v>
      </c>
      <c r="F825" s="128">
        <v>44797</v>
      </c>
      <c r="G8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117.3</v>
      </c>
      <c r="H825" s="128" t="str">
        <f t="shared" ca="1" si="12"/>
        <v>NO</v>
      </c>
      <c r="Q825" t="s">
        <v>1763</v>
      </c>
      <c r="R825">
        <v>108.23371</v>
      </c>
    </row>
    <row r="826" spans="1:18">
      <c r="A826" t="s">
        <v>992</v>
      </c>
      <c r="B826" t="s">
        <v>1400</v>
      </c>
      <c r="C826" t="s">
        <v>994</v>
      </c>
      <c r="D826">
        <v>126.68400000000001</v>
      </c>
      <c r="E826" s="128">
        <v>44798</v>
      </c>
      <c r="F826" s="128">
        <v>47483</v>
      </c>
      <c r="G8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126.68400000000001</v>
      </c>
      <c r="H826" s="128" t="str">
        <f t="shared" ca="1" si="12"/>
        <v>YES</v>
      </c>
      <c r="Q826" t="s">
        <v>1764</v>
      </c>
      <c r="R826">
        <v>143.09666999999999</v>
      </c>
    </row>
    <row r="827" spans="1:18">
      <c r="A827" t="s">
        <v>992</v>
      </c>
      <c r="B827" t="s">
        <v>1401</v>
      </c>
      <c r="C827" t="s">
        <v>994</v>
      </c>
      <c r="D827">
        <v>339.15</v>
      </c>
      <c r="E827" s="128">
        <v>36526</v>
      </c>
      <c r="F827" s="128">
        <v>43592</v>
      </c>
      <c r="G8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339.15</v>
      </c>
      <c r="H827" s="128" t="str">
        <f t="shared" ca="1" si="12"/>
        <v>NO</v>
      </c>
      <c r="Q827" t="s">
        <v>1765</v>
      </c>
      <c r="R827">
        <v>56.659980000000004</v>
      </c>
    </row>
    <row r="828" spans="1:18">
      <c r="A828" t="s">
        <v>992</v>
      </c>
      <c r="B828" t="s">
        <v>1401</v>
      </c>
      <c r="C828" t="s">
        <v>994</v>
      </c>
      <c r="D828">
        <v>385.14</v>
      </c>
      <c r="E828" s="128">
        <v>43593</v>
      </c>
      <c r="F828" s="128">
        <v>47483</v>
      </c>
      <c r="G8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385.14</v>
      </c>
      <c r="H828" s="128" t="str">
        <f t="shared" ca="1" si="12"/>
        <v>YES</v>
      </c>
      <c r="Q828" t="s">
        <v>1766</v>
      </c>
      <c r="R828">
        <v>966.78932999999995</v>
      </c>
    </row>
    <row r="829" spans="1:18">
      <c r="A829" t="s">
        <v>992</v>
      </c>
      <c r="B829" t="s">
        <v>1401</v>
      </c>
      <c r="C829" t="s">
        <v>994</v>
      </c>
      <c r="D829">
        <v>339.15</v>
      </c>
      <c r="E829" s="128">
        <v>43593</v>
      </c>
      <c r="F829" s="128">
        <v>47483</v>
      </c>
      <c r="G8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339.15</v>
      </c>
      <c r="H829" s="128" t="str">
        <f t="shared" ca="1" si="12"/>
        <v>YES</v>
      </c>
      <c r="Q829" t="s">
        <v>1767</v>
      </c>
      <c r="R829">
        <v>603.67021</v>
      </c>
    </row>
    <row r="830" spans="1:18">
      <c r="A830" t="s">
        <v>992</v>
      </c>
      <c r="B830" t="s">
        <v>1402</v>
      </c>
      <c r="C830" t="s">
        <v>994</v>
      </c>
      <c r="D830">
        <v>163.63</v>
      </c>
      <c r="E830" s="128">
        <v>36526</v>
      </c>
      <c r="F830" s="128">
        <v>47483</v>
      </c>
      <c r="G8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163.63</v>
      </c>
      <c r="H830" s="128" t="str">
        <f t="shared" ca="1" si="12"/>
        <v>YES</v>
      </c>
      <c r="Q830" t="s">
        <v>1768</v>
      </c>
      <c r="R830">
        <v>134.13028</v>
      </c>
    </row>
    <row r="831" spans="1:18">
      <c r="A831" t="s">
        <v>992</v>
      </c>
      <c r="B831" t="s">
        <v>1403</v>
      </c>
      <c r="C831" t="s">
        <v>994</v>
      </c>
      <c r="D831">
        <v>818.55000000000007</v>
      </c>
      <c r="E831" s="128">
        <v>36526</v>
      </c>
      <c r="F831" s="128">
        <v>43423</v>
      </c>
      <c r="G8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818.55000000000007</v>
      </c>
      <c r="H831" s="128" t="str">
        <f t="shared" ca="1" si="12"/>
        <v>NO</v>
      </c>
      <c r="Q831" t="s">
        <v>1769</v>
      </c>
      <c r="R831">
        <v>114.63236999999999</v>
      </c>
    </row>
    <row r="832" spans="1:18">
      <c r="A832" t="s">
        <v>992</v>
      </c>
      <c r="B832" t="s">
        <v>1403</v>
      </c>
      <c r="C832" t="s">
        <v>994</v>
      </c>
      <c r="D832">
        <v>692</v>
      </c>
      <c r="E832" s="128">
        <v>43424</v>
      </c>
      <c r="F832" s="128">
        <v>44196</v>
      </c>
      <c r="G8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692</v>
      </c>
      <c r="H832" s="128" t="str">
        <f t="shared" ca="1" si="12"/>
        <v>NO</v>
      </c>
      <c r="Q832" t="s">
        <v>1770</v>
      </c>
      <c r="R832">
        <v>64.287539999999993</v>
      </c>
    </row>
    <row r="833" spans="1:18">
      <c r="A833" t="s">
        <v>992</v>
      </c>
      <c r="B833" t="s">
        <v>1403</v>
      </c>
      <c r="C833" t="s">
        <v>994</v>
      </c>
      <c r="D833">
        <v>650</v>
      </c>
      <c r="E833" s="128">
        <v>44197</v>
      </c>
      <c r="F833" s="128">
        <v>54789</v>
      </c>
      <c r="G8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650</v>
      </c>
      <c r="H833" s="128" t="str">
        <f t="shared" ca="1" si="12"/>
        <v>YES</v>
      </c>
      <c r="Q833" t="s">
        <v>1771</v>
      </c>
      <c r="R833">
        <v>94.060520000000011</v>
      </c>
    </row>
    <row r="834" spans="1:18">
      <c r="A834" t="s">
        <v>992</v>
      </c>
      <c r="B834" t="s">
        <v>1404</v>
      </c>
      <c r="C834" t="s">
        <v>994</v>
      </c>
      <c r="D834">
        <v>107.10000000000001</v>
      </c>
      <c r="E834" s="128">
        <v>36526</v>
      </c>
      <c r="F834" s="128">
        <v>45046</v>
      </c>
      <c r="G8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107.10000000000001</v>
      </c>
      <c r="H834" s="128" t="str">
        <f t="shared" ref="H834:H897" ca="1" si="13">IF(OR(F834=0,F834&gt;TODAY()),"YES","NO")</f>
        <v>NO</v>
      </c>
      <c r="Q834" t="s">
        <v>1772</v>
      </c>
      <c r="R834">
        <v>114.02186999999999</v>
      </c>
    </row>
    <row r="835" spans="1:18">
      <c r="A835" t="s">
        <v>992</v>
      </c>
      <c r="B835" t="s">
        <v>1405</v>
      </c>
      <c r="C835" t="s">
        <v>994</v>
      </c>
      <c r="D835">
        <v>137.69999999999999</v>
      </c>
      <c r="E835" s="128">
        <v>36526</v>
      </c>
      <c r="F835" s="128">
        <v>45046</v>
      </c>
      <c r="G8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137.69999999999999</v>
      </c>
      <c r="H835" s="128" t="str">
        <f t="shared" ca="1" si="13"/>
        <v>NO</v>
      </c>
      <c r="Q835" t="s">
        <v>1773</v>
      </c>
      <c r="R835">
        <v>99.102180000000004</v>
      </c>
    </row>
    <row r="836" spans="1:18">
      <c r="A836" t="s">
        <v>992</v>
      </c>
      <c r="B836" t="s">
        <v>1404</v>
      </c>
      <c r="C836" t="s">
        <v>994</v>
      </c>
      <c r="D836">
        <v>117.81</v>
      </c>
      <c r="E836" s="128">
        <v>45047</v>
      </c>
      <c r="F836" s="128">
        <v>54789</v>
      </c>
      <c r="G8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117.81</v>
      </c>
      <c r="H836" s="128" t="str">
        <f t="shared" ca="1" si="13"/>
        <v>YES</v>
      </c>
      <c r="Q836" t="s">
        <v>1774</v>
      </c>
      <c r="R836">
        <v>118.13021999999999</v>
      </c>
    </row>
    <row r="837" spans="1:18">
      <c r="A837" t="s">
        <v>992</v>
      </c>
      <c r="B837" t="s">
        <v>1406</v>
      </c>
      <c r="C837" t="s">
        <v>994</v>
      </c>
      <c r="D837">
        <v>148</v>
      </c>
      <c r="E837" s="128">
        <v>36526</v>
      </c>
      <c r="F837" s="128">
        <v>47483</v>
      </c>
      <c r="G8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148</v>
      </c>
      <c r="H837" s="128" t="str">
        <f t="shared" ca="1" si="13"/>
        <v>YES</v>
      </c>
      <c r="Q837" t="s">
        <v>1775</v>
      </c>
      <c r="R837">
        <v>116.82304000000001</v>
      </c>
    </row>
    <row r="838" spans="1:18">
      <c r="A838" t="s">
        <v>992</v>
      </c>
      <c r="B838" t="s">
        <v>1405</v>
      </c>
      <c r="C838" t="s">
        <v>994</v>
      </c>
      <c r="D838">
        <v>151.5</v>
      </c>
      <c r="E838" s="128">
        <v>45047</v>
      </c>
      <c r="F838" s="128">
        <v>54789</v>
      </c>
      <c r="G8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151.5</v>
      </c>
      <c r="H838" s="128" t="str">
        <f t="shared" ca="1" si="13"/>
        <v>YES</v>
      </c>
      <c r="Q838" t="s">
        <v>1776</v>
      </c>
      <c r="R838">
        <v>122.15604</v>
      </c>
    </row>
    <row r="839" spans="1:18">
      <c r="A839" t="s">
        <v>992</v>
      </c>
      <c r="B839" t="s">
        <v>1407</v>
      </c>
      <c r="C839" t="s">
        <v>994</v>
      </c>
      <c r="D839">
        <v>859.78</v>
      </c>
      <c r="E839" s="128">
        <v>36526</v>
      </c>
      <c r="F839" s="128">
        <v>43586</v>
      </c>
      <c r="G8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859.78</v>
      </c>
      <c r="H839" s="128" t="str">
        <f t="shared" ca="1" si="13"/>
        <v>NO</v>
      </c>
      <c r="Q839" t="s">
        <v>1777</v>
      </c>
      <c r="R839">
        <v>102.92320000000001</v>
      </c>
    </row>
    <row r="840" spans="1:18">
      <c r="A840" t="s">
        <v>992</v>
      </c>
      <c r="B840" t="s">
        <v>1407</v>
      </c>
      <c r="C840" t="s">
        <v>994</v>
      </c>
      <c r="D840">
        <v>690</v>
      </c>
      <c r="E840" s="128">
        <v>43587</v>
      </c>
      <c r="F840" s="128">
        <v>43593</v>
      </c>
      <c r="G8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690</v>
      </c>
      <c r="H840" s="128" t="str">
        <f t="shared" ca="1" si="13"/>
        <v>NO</v>
      </c>
      <c r="Q840" t="s">
        <v>1778</v>
      </c>
      <c r="R840">
        <v>276.80293</v>
      </c>
    </row>
    <row r="841" spans="1:18">
      <c r="A841" t="s">
        <v>992</v>
      </c>
      <c r="B841" t="s">
        <v>1407</v>
      </c>
      <c r="C841" t="s">
        <v>994</v>
      </c>
      <c r="D841">
        <v>750</v>
      </c>
      <c r="E841" s="128">
        <v>43594</v>
      </c>
      <c r="F841" s="128">
        <v>47483</v>
      </c>
      <c r="G8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750</v>
      </c>
      <c r="H841" s="128" t="str">
        <f t="shared" ca="1" si="13"/>
        <v>YES</v>
      </c>
      <c r="Q841" t="s">
        <v>1779</v>
      </c>
      <c r="R841">
        <v>59.015090000000001</v>
      </c>
    </row>
    <row r="842" spans="1:18">
      <c r="A842" t="s">
        <v>992</v>
      </c>
      <c r="B842" t="s">
        <v>1409</v>
      </c>
      <c r="C842" t="s">
        <v>994</v>
      </c>
      <c r="D842">
        <v>777.41000000000008</v>
      </c>
      <c r="E842" s="128">
        <v>36526</v>
      </c>
      <c r="F842" s="128">
        <v>43586</v>
      </c>
      <c r="G8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777.41000000000008</v>
      </c>
      <c r="H842" s="128" t="str">
        <f t="shared" ca="1" si="13"/>
        <v>NO</v>
      </c>
      <c r="Q842" t="s">
        <v>1780</v>
      </c>
      <c r="R842">
        <v>64.655760000000001</v>
      </c>
    </row>
    <row r="843" spans="1:18">
      <c r="A843" t="s">
        <v>992</v>
      </c>
      <c r="B843" t="s">
        <v>1409</v>
      </c>
      <c r="C843" t="s">
        <v>994</v>
      </c>
      <c r="D843">
        <v>540</v>
      </c>
      <c r="E843" s="128">
        <v>43587</v>
      </c>
      <c r="F843" s="128">
        <v>43593</v>
      </c>
      <c r="G8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540</v>
      </c>
      <c r="H843" s="128" t="str">
        <f t="shared" ca="1" si="13"/>
        <v>NO</v>
      </c>
      <c r="Q843" t="s">
        <v>1781</v>
      </c>
      <c r="R843">
        <v>75.483059999999995</v>
      </c>
    </row>
    <row r="844" spans="1:18">
      <c r="A844" t="s">
        <v>992</v>
      </c>
      <c r="B844" t="s">
        <v>1409</v>
      </c>
      <c r="C844" t="s">
        <v>994</v>
      </c>
      <c r="D844">
        <v>580</v>
      </c>
      <c r="E844" s="128">
        <v>43594</v>
      </c>
      <c r="F844" s="128">
        <v>47483</v>
      </c>
      <c r="G8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580</v>
      </c>
      <c r="H844" s="128" t="str">
        <f t="shared" ca="1" si="13"/>
        <v>YES</v>
      </c>
      <c r="Q844" t="s">
        <v>1782</v>
      </c>
      <c r="R844">
        <v>171.79885999999999</v>
      </c>
    </row>
    <row r="845" spans="1:18">
      <c r="A845" t="s">
        <v>992</v>
      </c>
      <c r="B845" t="s">
        <v>1409</v>
      </c>
      <c r="C845" t="s">
        <v>994</v>
      </c>
      <c r="D845">
        <v>640</v>
      </c>
      <c r="E845" s="128">
        <v>44197</v>
      </c>
      <c r="F845" s="128">
        <v>47483</v>
      </c>
      <c r="G8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640</v>
      </c>
      <c r="H845" s="128" t="str">
        <f t="shared" ca="1" si="13"/>
        <v>YES</v>
      </c>
      <c r="Q845" t="s">
        <v>1783</v>
      </c>
      <c r="R845">
        <v>109.61987000000001</v>
      </c>
    </row>
    <row r="846" spans="1:18">
      <c r="A846" t="s">
        <v>992</v>
      </c>
      <c r="B846" t="s">
        <v>1410</v>
      </c>
      <c r="C846" t="s">
        <v>994</v>
      </c>
      <c r="D846">
        <v>102</v>
      </c>
      <c r="E846" s="128">
        <v>36526</v>
      </c>
      <c r="F846" s="128">
        <v>47483</v>
      </c>
      <c r="G8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102</v>
      </c>
      <c r="H846" s="128" t="str">
        <f t="shared" ca="1" si="13"/>
        <v>YES</v>
      </c>
      <c r="Q846" t="s">
        <v>1784</v>
      </c>
      <c r="R846">
        <v>189.60606000000001</v>
      </c>
    </row>
    <row r="847" spans="1:18">
      <c r="A847" t="s">
        <v>992</v>
      </c>
      <c r="B847" t="s">
        <v>1412</v>
      </c>
      <c r="C847" t="s">
        <v>994</v>
      </c>
      <c r="D847">
        <v>396.28999999999996</v>
      </c>
      <c r="E847" s="128">
        <v>36526</v>
      </c>
      <c r="F847" s="128">
        <v>43431</v>
      </c>
      <c r="G8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396.28999999999996</v>
      </c>
      <c r="H847" s="128" t="str">
        <f t="shared" ca="1" si="13"/>
        <v>NO</v>
      </c>
      <c r="Q847" t="s">
        <v>1785</v>
      </c>
      <c r="R847">
        <v>813.37938000000008</v>
      </c>
    </row>
    <row r="848" spans="1:18">
      <c r="A848" t="s">
        <v>992</v>
      </c>
      <c r="B848" t="s">
        <v>1412</v>
      </c>
      <c r="C848" t="s">
        <v>994</v>
      </c>
      <c r="D848">
        <v>553</v>
      </c>
      <c r="E848" s="128">
        <v>43432</v>
      </c>
      <c r="F848" s="128">
        <v>47483</v>
      </c>
      <c r="G8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553</v>
      </c>
      <c r="H848" s="128" t="str">
        <f t="shared" ca="1" si="13"/>
        <v>YES</v>
      </c>
      <c r="Q848" t="s">
        <v>1786</v>
      </c>
      <c r="R848">
        <v>473.03852999999998</v>
      </c>
    </row>
    <row r="849" spans="1:18">
      <c r="A849" t="s">
        <v>992</v>
      </c>
      <c r="B849" t="s">
        <v>1413</v>
      </c>
      <c r="C849" t="s">
        <v>994</v>
      </c>
      <c r="D849">
        <v>158.1</v>
      </c>
      <c r="E849" s="128">
        <v>36526</v>
      </c>
      <c r="F849" s="128">
        <v>47483</v>
      </c>
      <c r="G8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158.1</v>
      </c>
      <c r="H849" s="128" t="str">
        <f t="shared" ca="1" si="13"/>
        <v>YES</v>
      </c>
      <c r="Q849" t="s">
        <v>1787</v>
      </c>
      <c r="R849">
        <v>95.242499999999993</v>
      </c>
    </row>
    <row r="850" spans="1:18">
      <c r="A850" t="s">
        <v>992</v>
      </c>
      <c r="B850" t="s">
        <v>1414</v>
      </c>
      <c r="C850" t="s">
        <v>994</v>
      </c>
      <c r="D850">
        <v>302</v>
      </c>
      <c r="E850" s="128">
        <v>36526</v>
      </c>
      <c r="F850" s="128">
        <v>44531</v>
      </c>
      <c r="G8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302</v>
      </c>
      <c r="H850" s="128" t="str">
        <f t="shared" ca="1" si="13"/>
        <v>NO</v>
      </c>
      <c r="Q850" t="s">
        <v>1674</v>
      </c>
      <c r="R850">
        <v>200.58990999999997</v>
      </c>
    </row>
    <row r="851" spans="1:18">
      <c r="A851" t="s">
        <v>992</v>
      </c>
      <c r="B851" t="s">
        <v>1414</v>
      </c>
      <c r="C851" t="s">
        <v>994</v>
      </c>
      <c r="D851">
        <v>217</v>
      </c>
      <c r="E851" s="128">
        <v>36526</v>
      </c>
      <c r="F851" s="128">
        <v>44531</v>
      </c>
      <c r="G8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</v>
      </c>
      <c r="H851" s="128" t="str">
        <f t="shared" ca="1" si="13"/>
        <v>NO</v>
      </c>
      <c r="Q851" t="s">
        <v>1788</v>
      </c>
      <c r="R851">
        <v>45.004530000000003</v>
      </c>
    </row>
    <row r="852" spans="1:18">
      <c r="A852" t="s">
        <v>992</v>
      </c>
      <c r="B852" t="s">
        <v>1414</v>
      </c>
      <c r="C852" t="s">
        <v>994</v>
      </c>
      <c r="D852">
        <v>220</v>
      </c>
      <c r="E852" s="128">
        <v>44532</v>
      </c>
      <c r="F852" s="128">
        <v>47483</v>
      </c>
      <c r="G8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220</v>
      </c>
      <c r="H852" s="128" t="str">
        <f t="shared" ca="1" si="13"/>
        <v>YES</v>
      </c>
      <c r="Q852" t="s">
        <v>1789</v>
      </c>
      <c r="R852">
        <v>48.094020000000008</v>
      </c>
    </row>
    <row r="853" spans="1:18">
      <c r="A853" t="s">
        <v>992</v>
      </c>
      <c r="B853" t="s">
        <v>1415</v>
      </c>
      <c r="C853" t="s">
        <v>994</v>
      </c>
      <c r="D853">
        <v>164.86</v>
      </c>
      <c r="E853" s="128">
        <v>36526</v>
      </c>
      <c r="F853" s="128">
        <v>43947</v>
      </c>
      <c r="G8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164.86</v>
      </c>
      <c r="H853" s="128" t="str">
        <f t="shared" ca="1" si="13"/>
        <v>NO</v>
      </c>
      <c r="Q853" t="s">
        <v>1790</v>
      </c>
      <c r="R853">
        <v>93.100989999999996</v>
      </c>
    </row>
    <row r="854" spans="1:18">
      <c r="A854" t="s">
        <v>992</v>
      </c>
      <c r="B854" t="s">
        <v>1415</v>
      </c>
      <c r="C854" t="s">
        <v>994</v>
      </c>
      <c r="D854">
        <v>178</v>
      </c>
      <c r="E854" s="128">
        <v>43948</v>
      </c>
      <c r="F854" s="128">
        <v>45505</v>
      </c>
      <c r="G8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178</v>
      </c>
      <c r="H854" s="128" t="str">
        <f t="shared" ca="1" si="13"/>
        <v>NO</v>
      </c>
      <c r="Q854" t="s">
        <v>1791</v>
      </c>
      <c r="R854">
        <v>64.642499999999998</v>
      </c>
    </row>
    <row r="855" spans="1:18">
      <c r="A855" t="s">
        <v>992</v>
      </c>
      <c r="B855" t="s">
        <v>1417</v>
      </c>
      <c r="C855" t="s">
        <v>994</v>
      </c>
      <c r="D855">
        <v>175.7</v>
      </c>
      <c r="E855" s="128">
        <v>36526</v>
      </c>
      <c r="F855" s="128">
        <v>47483</v>
      </c>
      <c r="G8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175.7</v>
      </c>
      <c r="H855" s="128" t="str">
        <f t="shared" ca="1" si="13"/>
        <v>YES</v>
      </c>
      <c r="Q855" t="s">
        <v>1792</v>
      </c>
      <c r="R855">
        <v>99.016500000000008</v>
      </c>
    </row>
    <row r="856" spans="1:18">
      <c r="A856" t="s">
        <v>992</v>
      </c>
      <c r="B856" t="s">
        <v>1415</v>
      </c>
      <c r="C856" t="s">
        <v>994</v>
      </c>
      <c r="D856">
        <v>200</v>
      </c>
      <c r="E856" s="128">
        <v>45506</v>
      </c>
      <c r="F856" s="128">
        <v>47483</v>
      </c>
      <c r="G8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200</v>
      </c>
      <c r="H856" s="128" t="str">
        <f t="shared" ca="1" si="13"/>
        <v>YES</v>
      </c>
      <c r="Q856" t="s">
        <v>1793</v>
      </c>
      <c r="R856">
        <v>206.61778000000001</v>
      </c>
    </row>
    <row r="857" spans="1:18">
      <c r="A857" t="s">
        <v>992</v>
      </c>
      <c r="B857" t="s">
        <v>1419</v>
      </c>
      <c r="C857" t="s">
        <v>994</v>
      </c>
      <c r="D857">
        <v>104.58999999999999</v>
      </c>
      <c r="E857" s="128">
        <v>36526</v>
      </c>
      <c r="F857" s="128">
        <v>43717</v>
      </c>
      <c r="G8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104.58999999999999</v>
      </c>
      <c r="H857" s="128" t="str">
        <f t="shared" ca="1" si="13"/>
        <v>NO</v>
      </c>
      <c r="Q857" t="s">
        <v>1794</v>
      </c>
      <c r="R857">
        <v>206.98389999999998</v>
      </c>
    </row>
    <row r="858" spans="1:18">
      <c r="A858" t="s">
        <v>992</v>
      </c>
      <c r="B858" t="s">
        <v>1419</v>
      </c>
      <c r="C858" t="s">
        <v>994</v>
      </c>
      <c r="D858">
        <v>170</v>
      </c>
      <c r="E858" s="128">
        <v>43718</v>
      </c>
      <c r="F858" s="128">
        <v>47483</v>
      </c>
      <c r="G8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170</v>
      </c>
      <c r="H858" s="128" t="str">
        <f t="shared" ca="1" si="13"/>
        <v>YES</v>
      </c>
      <c r="Q858" t="s">
        <v>1795</v>
      </c>
      <c r="R858">
        <v>176.68673999999999</v>
      </c>
    </row>
    <row r="859" spans="1:18">
      <c r="A859" t="s">
        <v>992</v>
      </c>
      <c r="B859" t="s">
        <v>1421</v>
      </c>
      <c r="C859" t="s">
        <v>994</v>
      </c>
      <c r="D859">
        <v>131.23999999999998</v>
      </c>
      <c r="E859" s="128">
        <v>36526</v>
      </c>
      <c r="F859" s="128">
        <v>47483</v>
      </c>
      <c r="G8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131.23999999999998</v>
      </c>
      <c r="H859" s="128" t="str">
        <f t="shared" ca="1" si="13"/>
        <v>YES</v>
      </c>
      <c r="Q859" t="s">
        <v>1796</v>
      </c>
      <c r="R859">
        <v>143.33681999999999</v>
      </c>
    </row>
    <row r="860" spans="1:18">
      <c r="A860" t="s">
        <v>992</v>
      </c>
      <c r="B860" t="s">
        <v>1423</v>
      </c>
      <c r="C860" t="s">
        <v>994</v>
      </c>
      <c r="D860">
        <v>395.25</v>
      </c>
      <c r="E860" s="128">
        <v>36526</v>
      </c>
      <c r="F860" s="128">
        <v>47483</v>
      </c>
      <c r="G8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395.25</v>
      </c>
      <c r="H860" s="128" t="str">
        <f t="shared" ca="1" si="13"/>
        <v>YES</v>
      </c>
      <c r="Q860" t="s">
        <v>1797</v>
      </c>
      <c r="R860">
        <v>247.58893</v>
      </c>
    </row>
    <row r="861" spans="1:18">
      <c r="A861" t="s">
        <v>992</v>
      </c>
      <c r="B861" t="s">
        <v>1424</v>
      </c>
      <c r="C861" t="s">
        <v>994</v>
      </c>
      <c r="D861">
        <v>83.53</v>
      </c>
      <c r="E861" s="128">
        <v>36526</v>
      </c>
      <c r="F861" s="128">
        <v>43465</v>
      </c>
      <c r="G8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83.53</v>
      </c>
      <c r="H861" s="128" t="str">
        <f t="shared" ca="1" si="13"/>
        <v>NO</v>
      </c>
      <c r="Q861" t="s">
        <v>1798</v>
      </c>
      <c r="R861">
        <v>258.47873000000004</v>
      </c>
    </row>
    <row r="862" spans="1:18">
      <c r="A862" t="s">
        <v>992</v>
      </c>
      <c r="B862" t="s">
        <v>1424</v>
      </c>
      <c r="C862" t="s">
        <v>994</v>
      </c>
      <c r="D862">
        <v>116</v>
      </c>
      <c r="E862" s="128">
        <v>43466</v>
      </c>
      <c r="F862" s="128">
        <v>45046</v>
      </c>
      <c r="G8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</v>
      </c>
      <c r="H862" s="128" t="str">
        <f t="shared" ca="1" si="13"/>
        <v>NO</v>
      </c>
      <c r="Q862" t="s">
        <v>1799</v>
      </c>
      <c r="R862">
        <v>124.77800999999999</v>
      </c>
    </row>
    <row r="863" spans="1:18">
      <c r="A863" t="s">
        <v>992</v>
      </c>
      <c r="B863" t="s">
        <v>1426</v>
      </c>
      <c r="C863" t="s">
        <v>994</v>
      </c>
      <c r="D863">
        <v>124.87</v>
      </c>
      <c r="E863" s="128">
        <v>36526</v>
      </c>
      <c r="F863" s="128">
        <v>47483</v>
      </c>
      <c r="G8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124.87</v>
      </c>
      <c r="H863" s="128" t="str">
        <f t="shared" ca="1" si="13"/>
        <v>YES</v>
      </c>
      <c r="Q863" t="s">
        <v>1800</v>
      </c>
      <c r="R863">
        <v>91.700680000000006</v>
      </c>
    </row>
    <row r="864" spans="1:18">
      <c r="A864" t="s">
        <v>992</v>
      </c>
      <c r="B864" t="s">
        <v>1424</v>
      </c>
      <c r="C864" t="s">
        <v>994</v>
      </c>
      <c r="D864">
        <v>124.99999999999999</v>
      </c>
      <c r="E864" s="128">
        <v>45047</v>
      </c>
      <c r="F864" s="128">
        <v>54789</v>
      </c>
      <c r="G8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124.99999999999999</v>
      </c>
      <c r="H864" s="128" t="str">
        <f t="shared" ca="1" si="13"/>
        <v>YES</v>
      </c>
      <c r="Q864" t="s">
        <v>1801</v>
      </c>
      <c r="R864">
        <v>171.23695000000001</v>
      </c>
    </row>
    <row r="865" spans="1:18">
      <c r="A865" t="s">
        <v>992</v>
      </c>
      <c r="B865" t="s">
        <v>1428</v>
      </c>
      <c r="C865" t="s">
        <v>994</v>
      </c>
      <c r="D865">
        <v>86.7</v>
      </c>
      <c r="E865" s="128">
        <v>36526</v>
      </c>
      <c r="F865" s="128">
        <v>47483</v>
      </c>
      <c r="G8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86.7</v>
      </c>
      <c r="H865" s="128" t="str">
        <f t="shared" ca="1" si="13"/>
        <v>YES</v>
      </c>
      <c r="Q865" t="s">
        <v>1802</v>
      </c>
      <c r="R865">
        <v>148.96693999999999</v>
      </c>
    </row>
    <row r="866" spans="1:18">
      <c r="A866" t="s">
        <v>992</v>
      </c>
      <c r="B866" t="s">
        <v>1424</v>
      </c>
      <c r="C866" t="s">
        <v>994</v>
      </c>
      <c r="D866">
        <v>150</v>
      </c>
      <c r="E866" s="128">
        <v>45047</v>
      </c>
      <c r="F866" s="128">
        <v>54789</v>
      </c>
      <c r="G8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866" s="128" t="str">
        <f t="shared" ca="1" si="13"/>
        <v>YES</v>
      </c>
      <c r="Q866" t="s">
        <v>1803</v>
      </c>
      <c r="R866">
        <v>175.29414</v>
      </c>
    </row>
    <row r="867" spans="1:18">
      <c r="A867" t="s">
        <v>992</v>
      </c>
      <c r="B867" t="s">
        <v>1430</v>
      </c>
      <c r="C867" t="s">
        <v>994</v>
      </c>
      <c r="D867">
        <v>210.18</v>
      </c>
      <c r="E867" s="128">
        <v>36526</v>
      </c>
      <c r="F867" s="128">
        <v>47483</v>
      </c>
      <c r="G8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210.18</v>
      </c>
      <c r="H867" s="128" t="str">
        <f t="shared" ca="1" si="13"/>
        <v>YES</v>
      </c>
      <c r="Q867" t="s">
        <v>1804</v>
      </c>
      <c r="R867">
        <v>42.255540000000003</v>
      </c>
    </row>
    <row r="868" spans="1:18">
      <c r="A868" t="s">
        <v>992</v>
      </c>
      <c r="B868" t="s">
        <v>1432</v>
      </c>
      <c r="C868" t="s">
        <v>994</v>
      </c>
      <c r="D868">
        <v>149.22999999999999</v>
      </c>
      <c r="E868" s="128">
        <v>36526</v>
      </c>
      <c r="F868" s="128">
        <v>47483</v>
      </c>
      <c r="G8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149.22999999999999</v>
      </c>
      <c r="H868" s="128" t="str">
        <f t="shared" ca="1" si="13"/>
        <v>YES</v>
      </c>
      <c r="Q868" t="s">
        <v>1805</v>
      </c>
      <c r="R868">
        <v>174.14554999999999</v>
      </c>
    </row>
    <row r="869" spans="1:18">
      <c r="A869" t="s">
        <v>992</v>
      </c>
      <c r="B869" t="s">
        <v>1434</v>
      </c>
      <c r="C869" t="s">
        <v>994</v>
      </c>
      <c r="D869">
        <v>185</v>
      </c>
      <c r="E869" s="128">
        <v>36526</v>
      </c>
      <c r="F869" s="128">
        <v>47483</v>
      </c>
      <c r="G8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185</v>
      </c>
      <c r="H869" s="128" t="str">
        <f t="shared" ca="1" si="13"/>
        <v>YES</v>
      </c>
      <c r="Q869" t="s">
        <v>1806</v>
      </c>
      <c r="R869">
        <v>125.01041000000001</v>
      </c>
    </row>
    <row r="870" spans="1:18">
      <c r="A870" t="s">
        <v>992</v>
      </c>
      <c r="B870" t="s">
        <v>1436</v>
      </c>
      <c r="C870" t="s">
        <v>994</v>
      </c>
      <c r="D870">
        <v>249.99999999999997</v>
      </c>
      <c r="E870" s="128">
        <v>36526</v>
      </c>
      <c r="F870" s="128">
        <v>47483</v>
      </c>
      <c r="G8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249.99999999999997</v>
      </c>
      <c r="H870" s="128" t="str">
        <f t="shared" ca="1" si="13"/>
        <v>YES</v>
      </c>
      <c r="Q870" t="s">
        <v>1807</v>
      </c>
      <c r="R870">
        <v>243.20838999999998</v>
      </c>
    </row>
    <row r="871" spans="1:18">
      <c r="A871" t="s">
        <v>992</v>
      </c>
      <c r="B871" t="s">
        <v>1438</v>
      </c>
      <c r="C871" t="s">
        <v>994</v>
      </c>
      <c r="D871">
        <v>161</v>
      </c>
      <c r="E871" s="128">
        <v>36526</v>
      </c>
      <c r="F871" s="128">
        <v>47483</v>
      </c>
      <c r="G8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161</v>
      </c>
      <c r="H871" s="128" t="str">
        <f t="shared" ca="1" si="13"/>
        <v>YES</v>
      </c>
      <c r="Q871" t="s">
        <v>1808</v>
      </c>
      <c r="R871">
        <v>197.29313999999999</v>
      </c>
    </row>
    <row r="872" spans="1:18">
      <c r="A872" t="s">
        <v>992</v>
      </c>
      <c r="B872" t="s">
        <v>1440</v>
      </c>
      <c r="C872" t="s">
        <v>994</v>
      </c>
      <c r="D872">
        <v>550</v>
      </c>
      <c r="E872" s="128">
        <v>36526</v>
      </c>
      <c r="F872" s="128">
        <v>47483</v>
      </c>
      <c r="G8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550</v>
      </c>
      <c r="H872" s="128" t="str">
        <f t="shared" ca="1" si="13"/>
        <v>YES</v>
      </c>
      <c r="Q872" t="s">
        <v>1809</v>
      </c>
      <c r="R872">
        <v>160.46742</v>
      </c>
    </row>
    <row r="873" spans="1:18">
      <c r="A873" t="s">
        <v>992</v>
      </c>
      <c r="B873" t="s">
        <v>1442</v>
      </c>
      <c r="C873" t="s">
        <v>994</v>
      </c>
      <c r="D873">
        <v>550</v>
      </c>
      <c r="E873" s="128">
        <v>36526</v>
      </c>
      <c r="F873" s="128">
        <v>47483</v>
      </c>
      <c r="G8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550</v>
      </c>
      <c r="H873" s="128" t="str">
        <f t="shared" ca="1" si="13"/>
        <v>YES</v>
      </c>
      <c r="Q873" t="s">
        <v>1810</v>
      </c>
      <c r="R873">
        <v>40.639859999999999</v>
      </c>
    </row>
    <row r="874" spans="1:18">
      <c r="A874" t="s">
        <v>992</v>
      </c>
      <c r="B874" t="s">
        <v>1444</v>
      </c>
      <c r="C874" t="s">
        <v>994</v>
      </c>
      <c r="D874">
        <v>136</v>
      </c>
      <c r="E874" s="128">
        <v>36526</v>
      </c>
      <c r="F874" s="128">
        <v>47483</v>
      </c>
      <c r="G8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136</v>
      </c>
      <c r="H874" s="128" t="str">
        <f t="shared" ca="1" si="13"/>
        <v>YES</v>
      </c>
      <c r="Q874" t="s">
        <v>1811</v>
      </c>
      <c r="R874">
        <v>188.56172999999998</v>
      </c>
    </row>
    <row r="875" spans="1:18">
      <c r="A875" t="s">
        <v>992</v>
      </c>
      <c r="B875" t="s">
        <v>1446</v>
      </c>
      <c r="C875" t="s">
        <v>994</v>
      </c>
      <c r="D875">
        <v>129</v>
      </c>
      <c r="E875" s="128">
        <v>36526</v>
      </c>
      <c r="F875" s="128">
        <v>44797</v>
      </c>
      <c r="G8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129</v>
      </c>
      <c r="H875" s="128" t="str">
        <f t="shared" ca="1" si="13"/>
        <v>NO</v>
      </c>
      <c r="Q875" t="s">
        <v>1812</v>
      </c>
      <c r="R875">
        <v>113.55769000000001</v>
      </c>
    </row>
    <row r="876" spans="1:18">
      <c r="A876" t="s">
        <v>992</v>
      </c>
      <c r="B876" t="s">
        <v>1446</v>
      </c>
      <c r="C876" t="s">
        <v>994</v>
      </c>
      <c r="D876">
        <v>102</v>
      </c>
      <c r="E876" s="128">
        <v>36526</v>
      </c>
      <c r="F876" s="128">
        <v>44797</v>
      </c>
      <c r="G8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102</v>
      </c>
      <c r="H876" s="128" t="str">
        <f t="shared" ca="1" si="13"/>
        <v>NO</v>
      </c>
      <c r="Q876" t="s">
        <v>1813</v>
      </c>
      <c r="R876">
        <v>136.63863000000001</v>
      </c>
    </row>
    <row r="877" spans="1:18">
      <c r="A877" t="s">
        <v>992</v>
      </c>
      <c r="B877" t="s">
        <v>1446</v>
      </c>
      <c r="C877" t="s">
        <v>994</v>
      </c>
      <c r="D877">
        <v>89</v>
      </c>
      <c r="E877" s="128">
        <v>36526</v>
      </c>
      <c r="F877" s="128">
        <v>44797</v>
      </c>
      <c r="G8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</v>
      </c>
      <c r="H877" s="128" t="str">
        <f t="shared" ca="1" si="13"/>
        <v>NO</v>
      </c>
      <c r="Q877" t="s">
        <v>1814</v>
      </c>
      <c r="R877">
        <v>72.851510000000005</v>
      </c>
    </row>
    <row r="878" spans="1:18">
      <c r="A878" t="s">
        <v>992</v>
      </c>
      <c r="B878" t="s">
        <v>1446</v>
      </c>
      <c r="C878" t="s">
        <v>994</v>
      </c>
      <c r="D878">
        <v>139.32000000000002</v>
      </c>
      <c r="E878" s="128">
        <v>44798</v>
      </c>
      <c r="F878" s="128">
        <v>47483</v>
      </c>
      <c r="G8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139.32000000000002</v>
      </c>
      <c r="H878" s="128" t="str">
        <f t="shared" ca="1" si="13"/>
        <v>YES</v>
      </c>
      <c r="Q878" t="s">
        <v>1815</v>
      </c>
      <c r="R878">
        <v>817.1495799999999</v>
      </c>
    </row>
    <row r="879" spans="1:18">
      <c r="A879" t="s">
        <v>992</v>
      </c>
      <c r="B879" t="s">
        <v>1449</v>
      </c>
      <c r="C879" t="s">
        <v>994</v>
      </c>
      <c r="D879">
        <v>111.00000000000001</v>
      </c>
      <c r="E879" s="128">
        <v>36526</v>
      </c>
      <c r="F879" s="128">
        <v>47483</v>
      </c>
      <c r="G8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111.00000000000001</v>
      </c>
      <c r="H879" s="128" t="str">
        <f t="shared" ca="1" si="13"/>
        <v>YES</v>
      </c>
      <c r="Q879" t="s">
        <v>1816</v>
      </c>
      <c r="R879">
        <v>299.28870000000001</v>
      </c>
    </row>
    <row r="880" spans="1:18">
      <c r="A880" t="s">
        <v>992</v>
      </c>
      <c r="B880" t="s">
        <v>1450</v>
      </c>
      <c r="C880" t="s">
        <v>994</v>
      </c>
      <c r="D880">
        <v>164</v>
      </c>
      <c r="E880" s="128">
        <v>36526</v>
      </c>
      <c r="F880" s="128">
        <v>47483</v>
      </c>
      <c r="G8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164</v>
      </c>
      <c r="H880" s="128" t="str">
        <f t="shared" ca="1" si="13"/>
        <v>YES</v>
      </c>
      <c r="Q880" t="s">
        <v>1817</v>
      </c>
      <c r="R880">
        <v>53.352370000000001</v>
      </c>
    </row>
    <row r="881" spans="1:18">
      <c r="A881" t="s">
        <v>992</v>
      </c>
      <c r="B881" t="s">
        <v>1451</v>
      </c>
      <c r="C881" t="s">
        <v>994</v>
      </c>
      <c r="D881">
        <v>143</v>
      </c>
      <c r="E881" s="128">
        <v>36526</v>
      </c>
      <c r="F881" s="128">
        <v>47483</v>
      </c>
      <c r="G8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143</v>
      </c>
      <c r="H881" s="128" t="str">
        <f t="shared" ca="1" si="13"/>
        <v>YES</v>
      </c>
      <c r="Q881" t="s">
        <v>1818</v>
      </c>
      <c r="R881">
        <v>110.8775</v>
      </c>
    </row>
    <row r="882" spans="1:18">
      <c r="A882" t="s">
        <v>992</v>
      </c>
      <c r="B882" t="s">
        <v>892</v>
      </c>
      <c r="C882" t="s">
        <v>994</v>
      </c>
      <c r="D882">
        <v>189</v>
      </c>
      <c r="E882" s="128">
        <v>36526</v>
      </c>
      <c r="F882" s="128">
        <v>47483</v>
      </c>
      <c r="G8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</v>
      </c>
      <c r="H882" s="128" t="str">
        <f t="shared" ca="1" si="13"/>
        <v>YES</v>
      </c>
      <c r="Q882" t="s">
        <v>1819</v>
      </c>
      <c r="R882">
        <v>297.85651000000001</v>
      </c>
    </row>
    <row r="883" spans="1:18">
      <c r="A883" t="s">
        <v>992</v>
      </c>
      <c r="B883" t="s">
        <v>1453</v>
      </c>
      <c r="C883" t="s">
        <v>994</v>
      </c>
      <c r="D883">
        <v>333.46</v>
      </c>
      <c r="E883" s="128">
        <v>36526</v>
      </c>
      <c r="F883" s="128">
        <v>47483</v>
      </c>
      <c r="G8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333.46</v>
      </c>
      <c r="H883" s="128" t="str">
        <f t="shared" ca="1" si="13"/>
        <v>YES</v>
      </c>
      <c r="Q883" t="s">
        <v>1820</v>
      </c>
      <c r="R883">
        <v>203.28146999999998</v>
      </c>
    </row>
    <row r="884" spans="1:18">
      <c r="A884" t="s">
        <v>992</v>
      </c>
      <c r="B884" t="s">
        <v>1455</v>
      </c>
      <c r="C884" t="s">
        <v>994</v>
      </c>
      <c r="D884">
        <v>310</v>
      </c>
      <c r="E884" s="128">
        <v>36526</v>
      </c>
      <c r="F884" s="128">
        <v>47483</v>
      </c>
      <c r="G8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310</v>
      </c>
      <c r="H884" s="128" t="str">
        <f t="shared" ca="1" si="13"/>
        <v>YES</v>
      </c>
      <c r="Q884" t="s">
        <v>1821</v>
      </c>
      <c r="R884">
        <v>182.99323000000001</v>
      </c>
    </row>
    <row r="885" spans="1:18">
      <c r="A885" t="s">
        <v>992</v>
      </c>
      <c r="B885" t="s">
        <v>1453</v>
      </c>
      <c r="C885" t="s">
        <v>994</v>
      </c>
      <c r="D885">
        <v>400</v>
      </c>
      <c r="E885" s="128">
        <v>48738</v>
      </c>
      <c r="F885" s="128">
        <v>54789</v>
      </c>
      <c r="G8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400</v>
      </c>
      <c r="H885" s="128" t="str">
        <f t="shared" ca="1" si="13"/>
        <v>YES</v>
      </c>
      <c r="Q885" t="s">
        <v>1822</v>
      </c>
      <c r="R885">
        <v>320.46684999999997</v>
      </c>
    </row>
    <row r="886" spans="1:18">
      <c r="A886" t="s">
        <v>992</v>
      </c>
      <c r="B886" t="s">
        <v>1457</v>
      </c>
      <c r="C886" t="s">
        <v>994</v>
      </c>
      <c r="D886">
        <v>89</v>
      </c>
      <c r="E886" s="128">
        <v>36526</v>
      </c>
      <c r="F886" s="128">
        <v>44334</v>
      </c>
      <c r="G8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</v>
      </c>
      <c r="H886" s="128" t="str">
        <f t="shared" ca="1" si="13"/>
        <v>NO</v>
      </c>
      <c r="Q886" t="s">
        <v>1823</v>
      </c>
      <c r="R886">
        <v>170.95240000000001</v>
      </c>
    </row>
    <row r="887" spans="1:18">
      <c r="A887" t="s">
        <v>992</v>
      </c>
      <c r="B887" t="s">
        <v>1457</v>
      </c>
      <c r="C887" t="s">
        <v>994</v>
      </c>
      <c r="D887">
        <v>120</v>
      </c>
      <c r="E887" s="128">
        <v>44335</v>
      </c>
      <c r="F887" s="128">
        <v>47483</v>
      </c>
      <c r="G8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</v>
      </c>
      <c r="H887" s="128" t="str">
        <f t="shared" ca="1" si="13"/>
        <v>YES</v>
      </c>
      <c r="Q887" t="s">
        <v>1824</v>
      </c>
      <c r="R887">
        <v>275.00596999999999</v>
      </c>
    </row>
    <row r="888" spans="1:18">
      <c r="A888" t="s">
        <v>992</v>
      </c>
      <c r="B888" t="s">
        <v>1458</v>
      </c>
      <c r="C888" t="s">
        <v>994</v>
      </c>
      <c r="D888">
        <v>160.93</v>
      </c>
      <c r="E888" s="128">
        <v>36526</v>
      </c>
      <c r="F888" s="128">
        <v>47483</v>
      </c>
      <c r="G8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160.93</v>
      </c>
      <c r="H888" s="128" t="str">
        <f t="shared" ca="1" si="13"/>
        <v>YES</v>
      </c>
      <c r="Q888" t="s">
        <v>1825</v>
      </c>
      <c r="R888">
        <v>290.49990000000003</v>
      </c>
    </row>
    <row r="889" spans="1:18">
      <c r="A889" t="s">
        <v>992</v>
      </c>
      <c r="B889" t="s">
        <v>1459</v>
      </c>
      <c r="C889" t="s">
        <v>994</v>
      </c>
      <c r="D889">
        <v>370</v>
      </c>
      <c r="E889" s="128">
        <v>36526</v>
      </c>
      <c r="F889" s="128">
        <v>44797</v>
      </c>
      <c r="G8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370</v>
      </c>
      <c r="H889" s="128" t="str">
        <f t="shared" ca="1" si="13"/>
        <v>NO</v>
      </c>
      <c r="Q889" t="s">
        <v>1826</v>
      </c>
      <c r="R889">
        <v>159.84210000000002</v>
      </c>
    </row>
    <row r="890" spans="1:18">
      <c r="A890" t="s">
        <v>992</v>
      </c>
      <c r="B890" t="s">
        <v>1459</v>
      </c>
      <c r="C890" t="s">
        <v>994</v>
      </c>
      <c r="D890">
        <v>399.6</v>
      </c>
      <c r="E890" s="128">
        <v>44798</v>
      </c>
      <c r="F890" s="128">
        <v>47483</v>
      </c>
      <c r="G8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399.6</v>
      </c>
      <c r="H890" s="128" t="str">
        <f t="shared" ca="1" si="13"/>
        <v>YES</v>
      </c>
      <c r="Q890" t="s">
        <v>1827</v>
      </c>
      <c r="R890">
        <v>229.12470999999999</v>
      </c>
    </row>
    <row r="891" spans="1:18">
      <c r="A891" t="s">
        <v>992</v>
      </c>
      <c r="B891" t="s">
        <v>1460</v>
      </c>
      <c r="C891" t="s">
        <v>994</v>
      </c>
      <c r="D891">
        <v>267</v>
      </c>
      <c r="E891" s="128">
        <v>36526</v>
      </c>
      <c r="F891" s="128">
        <v>44264</v>
      </c>
      <c r="G8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267</v>
      </c>
      <c r="H891" s="128" t="str">
        <f t="shared" ca="1" si="13"/>
        <v>NO</v>
      </c>
      <c r="Q891" t="s">
        <v>1828</v>
      </c>
      <c r="R891">
        <v>173.07431</v>
      </c>
    </row>
    <row r="892" spans="1:18">
      <c r="A892" t="s">
        <v>992</v>
      </c>
      <c r="B892" t="s">
        <v>1460</v>
      </c>
      <c r="C892" t="s">
        <v>994</v>
      </c>
      <c r="D892">
        <v>290</v>
      </c>
      <c r="E892" s="128">
        <v>44264</v>
      </c>
      <c r="F892" s="128">
        <v>47484</v>
      </c>
      <c r="G8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290</v>
      </c>
      <c r="H892" s="128" t="str">
        <f t="shared" ca="1" si="13"/>
        <v>YES</v>
      </c>
      <c r="Q892" t="s">
        <v>1829</v>
      </c>
      <c r="R892">
        <v>173.04428000000001</v>
      </c>
    </row>
    <row r="893" spans="1:18">
      <c r="A893" t="s">
        <v>992</v>
      </c>
      <c r="B893" t="s">
        <v>1461</v>
      </c>
      <c r="C893" t="s">
        <v>994</v>
      </c>
      <c r="D893">
        <v>613</v>
      </c>
      <c r="E893" s="128">
        <v>36526</v>
      </c>
      <c r="F893" s="128">
        <v>43100</v>
      </c>
      <c r="G8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613</v>
      </c>
      <c r="H893" s="128" t="str">
        <f t="shared" ca="1" si="13"/>
        <v>NO</v>
      </c>
      <c r="Q893" t="s">
        <v>1830</v>
      </c>
      <c r="R893">
        <v>273.45956999999999</v>
      </c>
    </row>
    <row r="894" spans="1:18">
      <c r="A894" t="s">
        <v>992</v>
      </c>
      <c r="B894" t="s">
        <v>1461</v>
      </c>
      <c r="C894" t="s">
        <v>994</v>
      </c>
      <c r="D894">
        <v>530</v>
      </c>
      <c r="E894" s="128">
        <v>43101</v>
      </c>
      <c r="F894" s="128">
        <v>47483</v>
      </c>
      <c r="G8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530</v>
      </c>
      <c r="H894" s="128" t="str">
        <f t="shared" ca="1" si="13"/>
        <v>YES</v>
      </c>
      <c r="Q894" t="s">
        <v>1831</v>
      </c>
      <c r="R894">
        <v>435.49644999999998</v>
      </c>
    </row>
    <row r="895" spans="1:18">
      <c r="A895" t="s">
        <v>992</v>
      </c>
      <c r="B895" t="s">
        <v>1463</v>
      </c>
      <c r="C895" t="s">
        <v>994</v>
      </c>
      <c r="D895">
        <v>225</v>
      </c>
      <c r="E895" s="128">
        <v>36526</v>
      </c>
      <c r="F895" s="128">
        <v>47483</v>
      </c>
      <c r="G8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</v>
      </c>
      <c r="H895" s="128" t="str">
        <f t="shared" ca="1" si="13"/>
        <v>YES</v>
      </c>
      <c r="Q895" t="s">
        <v>1832</v>
      </c>
      <c r="R895">
        <v>126.02059</v>
      </c>
    </row>
    <row r="896" spans="1:18">
      <c r="A896" t="s">
        <v>992</v>
      </c>
      <c r="B896" t="s">
        <v>1465</v>
      </c>
      <c r="C896" t="s">
        <v>994</v>
      </c>
      <c r="D896">
        <v>76</v>
      </c>
      <c r="E896" s="128">
        <v>36526</v>
      </c>
      <c r="F896" s="128">
        <v>44987</v>
      </c>
      <c r="G8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</v>
      </c>
      <c r="H896" s="128" t="str">
        <f t="shared" ca="1" si="13"/>
        <v>NO</v>
      </c>
      <c r="Q896" t="s">
        <v>1833</v>
      </c>
      <c r="R896">
        <v>361.21848</v>
      </c>
    </row>
    <row r="897" spans="1:18">
      <c r="A897" t="s">
        <v>992</v>
      </c>
      <c r="B897" t="s">
        <v>1465</v>
      </c>
      <c r="C897" t="s">
        <v>994</v>
      </c>
      <c r="D897">
        <v>150</v>
      </c>
      <c r="E897" s="128">
        <v>44988</v>
      </c>
      <c r="F897" s="128">
        <v>54834</v>
      </c>
      <c r="G8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897" s="128" t="str">
        <f t="shared" ca="1" si="13"/>
        <v>YES</v>
      </c>
      <c r="Q897" t="s">
        <v>1834</v>
      </c>
      <c r="R897">
        <v>250.1</v>
      </c>
    </row>
    <row r="898" spans="1:18">
      <c r="A898" t="s">
        <v>992</v>
      </c>
      <c r="B898" t="s">
        <v>1467</v>
      </c>
      <c r="C898" t="s">
        <v>994</v>
      </c>
      <c r="D898">
        <v>169</v>
      </c>
      <c r="E898" s="128">
        <v>36526</v>
      </c>
      <c r="F898" s="128">
        <v>44987</v>
      </c>
      <c r="G8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</v>
      </c>
      <c r="H898" s="128" t="str">
        <f t="shared" ref="H898:H961" ca="1" si="14">IF(OR(F898=0,F898&gt;TODAY()),"YES","NO")</f>
        <v>NO</v>
      </c>
      <c r="Q898" t="s">
        <v>1835</v>
      </c>
      <c r="R898">
        <v>153.75868</v>
      </c>
    </row>
    <row r="899" spans="1:18">
      <c r="A899" t="s">
        <v>992</v>
      </c>
      <c r="B899" t="s">
        <v>1467</v>
      </c>
      <c r="C899" t="s">
        <v>994</v>
      </c>
      <c r="D899">
        <v>200</v>
      </c>
      <c r="E899" s="128">
        <v>44988</v>
      </c>
      <c r="F899" s="128">
        <v>54831</v>
      </c>
      <c r="G8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200</v>
      </c>
      <c r="H899" s="128" t="str">
        <f t="shared" ca="1" si="14"/>
        <v>YES</v>
      </c>
      <c r="Q899" t="s">
        <v>1836</v>
      </c>
      <c r="R899">
        <v>200.64867999999998</v>
      </c>
    </row>
    <row r="900" spans="1:18">
      <c r="A900" t="s">
        <v>992</v>
      </c>
      <c r="B900" t="s">
        <v>1468</v>
      </c>
      <c r="C900" t="s">
        <v>994</v>
      </c>
      <c r="D900">
        <v>177</v>
      </c>
      <c r="E900" s="128">
        <v>36526</v>
      </c>
      <c r="F900" s="128">
        <v>45099</v>
      </c>
      <c r="G9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177</v>
      </c>
      <c r="H900" s="128" t="str">
        <f t="shared" ca="1" si="14"/>
        <v>NO</v>
      </c>
      <c r="Q900" t="s">
        <v>1837</v>
      </c>
      <c r="R900">
        <v>165.83867999999998</v>
      </c>
    </row>
    <row r="901" spans="1:18">
      <c r="A901" t="s">
        <v>992</v>
      </c>
      <c r="B901" t="s">
        <v>1469</v>
      </c>
      <c r="C901" t="s">
        <v>994</v>
      </c>
      <c r="D901">
        <v>309</v>
      </c>
      <c r="E901" s="128">
        <v>36526</v>
      </c>
      <c r="F901" s="128">
        <v>47483</v>
      </c>
      <c r="G9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309</v>
      </c>
      <c r="H901" s="128" t="str">
        <f t="shared" ca="1" si="14"/>
        <v>YES</v>
      </c>
      <c r="Q901" t="s">
        <v>1838</v>
      </c>
      <c r="R901">
        <v>278.46868000000001</v>
      </c>
    </row>
    <row r="902" spans="1:18">
      <c r="A902" t="s">
        <v>992</v>
      </c>
      <c r="B902" t="s">
        <v>1468</v>
      </c>
      <c r="C902" t="s">
        <v>994</v>
      </c>
      <c r="D902">
        <v>200</v>
      </c>
      <c r="E902" s="128">
        <v>45100</v>
      </c>
      <c r="F902" s="128">
        <v>54789</v>
      </c>
      <c r="G9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200</v>
      </c>
      <c r="H902" s="128" t="str">
        <f t="shared" ca="1" si="14"/>
        <v>YES</v>
      </c>
      <c r="Q902" t="s">
        <v>1839</v>
      </c>
      <c r="R902">
        <v>355.5</v>
      </c>
    </row>
    <row r="903" spans="1:18">
      <c r="A903" t="s">
        <v>992</v>
      </c>
      <c r="B903" t="s">
        <v>1471</v>
      </c>
      <c r="C903" t="s">
        <v>994</v>
      </c>
      <c r="D903">
        <v>164</v>
      </c>
      <c r="E903" s="128">
        <v>36526</v>
      </c>
      <c r="F903" s="128">
        <v>47483</v>
      </c>
      <c r="G9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164</v>
      </c>
      <c r="H903" s="128" t="str">
        <f t="shared" ca="1" si="14"/>
        <v>YES</v>
      </c>
      <c r="Q903" t="s">
        <v>1840</v>
      </c>
      <c r="R903">
        <v>275.59999999999997</v>
      </c>
    </row>
    <row r="904" spans="1:18">
      <c r="A904" t="s">
        <v>992</v>
      </c>
      <c r="B904" t="s">
        <v>1471</v>
      </c>
      <c r="C904" t="s">
        <v>994</v>
      </c>
      <c r="D904">
        <v>135</v>
      </c>
      <c r="E904" s="128">
        <v>36526</v>
      </c>
      <c r="F904" s="128">
        <v>47483</v>
      </c>
      <c r="G9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135</v>
      </c>
      <c r="H904" s="128" t="str">
        <f t="shared" ca="1" si="14"/>
        <v>YES</v>
      </c>
      <c r="Q904" t="s">
        <v>1841</v>
      </c>
      <c r="R904">
        <v>260.67867999999999</v>
      </c>
    </row>
    <row r="905" spans="1:18">
      <c r="A905" t="s">
        <v>992</v>
      </c>
      <c r="B905" t="s">
        <v>1471</v>
      </c>
      <c r="C905" t="s">
        <v>994</v>
      </c>
      <c r="D905">
        <v>126</v>
      </c>
      <c r="E905" s="128">
        <v>36526</v>
      </c>
      <c r="F905" s="128">
        <v>47483</v>
      </c>
      <c r="G9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126</v>
      </c>
      <c r="H905" s="128" t="str">
        <f t="shared" ca="1" si="14"/>
        <v>YES</v>
      </c>
      <c r="Q905" t="s">
        <v>1842</v>
      </c>
      <c r="R905">
        <v>181.84220000000002</v>
      </c>
    </row>
    <row r="906" spans="1:18">
      <c r="A906" t="s">
        <v>992</v>
      </c>
      <c r="B906" t="s">
        <v>1472</v>
      </c>
      <c r="C906" t="s">
        <v>994</v>
      </c>
      <c r="D906">
        <v>195</v>
      </c>
      <c r="E906" s="128">
        <v>36526</v>
      </c>
      <c r="F906" s="128">
        <v>44784</v>
      </c>
      <c r="G9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</v>
      </c>
      <c r="H906" s="128" t="str">
        <f t="shared" ca="1" si="14"/>
        <v>NO</v>
      </c>
      <c r="Q906" t="s">
        <v>1843</v>
      </c>
      <c r="R906">
        <v>197.95669000000001</v>
      </c>
    </row>
    <row r="907" spans="1:18">
      <c r="A907" t="s">
        <v>992</v>
      </c>
      <c r="B907" t="s">
        <v>1472</v>
      </c>
      <c r="C907" t="s">
        <v>994</v>
      </c>
      <c r="D907">
        <v>309</v>
      </c>
      <c r="E907" s="128">
        <v>44785</v>
      </c>
      <c r="F907" s="128">
        <v>47483</v>
      </c>
      <c r="G9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309</v>
      </c>
      <c r="H907" s="128" t="str">
        <f t="shared" ca="1" si="14"/>
        <v>YES</v>
      </c>
      <c r="Q907" t="s">
        <v>1844</v>
      </c>
      <c r="R907">
        <v>10.23789</v>
      </c>
    </row>
    <row r="908" spans="1:18">
      <c r="A908" t="s">
        <v>992</v>
      </c>
      <c r="B908" t="s">
        <v>1473</v>
      </c>
      <c r="C908" t="s">
        <v>994</v>
      </c>
      <c r="D908">
        <v>569.07999999999993</v>
      </c>
      <c r="E908" s="128">
        <v>36526</v>
      </c>
      <c r="F908" s="128">
        <v>47483</v>
      </c>
      <c r="G9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569.07999999999993</v>
      </c>
      <c r="H908" s="128" t="str">
        <f t="shared" ca="1" si="14"/>
        <v>YES</v>
      </c>
      <c r="Q908" t="s">
        <v>1845</v>
      </c>
      <c r="R908">
        <v>311.78622999999999</v>
      </c>
    </row>
    <row r="909" spans="1:18">
      <c r="A909" t="s">
        <v>992</v>
      </c>
      <c r="B909" t="s">
        <v>1474</v>
      </c>
      <c r="C909" t="s">
        <v>994</v>
      </c>
      <c r="D909">
        <v>82</v>
      </c>
      <c r="E909" s="128">
        <v>36526</v>
      </c>
      <c r="F909" s="128">
        <v>47483</v>
      </c>
      <c r="G9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82</v>
      </c>
      <c r="H909" s="128" t="str">
        <f t="shared" ca="1" si="14"/>
        <v>YES</v>
      </c>
      <c r="Q909" t="s">
        <v>1846</v>
      </c>
      <c r="R909">
        <v>49.122239999999998</v>
      </c>
    </row>
    <row r="910" spans="1:18">
      <c r="A910" t="s">
        <v>992</v>
      </c>
      <c r="B910" t="s">
        <v>1474</v>
      </c>
      <c r="C910" t="s">
        <v>994</v>
      </c>
      <c r="D910">
        <v>69</v>
      </c>
      <c r="E910" s="128">
        <v>36526</v>
      </c>
      <c r="F910" s="128">
        <v>47483</v>
      </c>
      <c r="G9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</v>
      </c>
      <c r="H910" s="128" t="str">
        <f t="shared" ca="1" si="14"/>
        <v>YES</v>
      </c>
      <c r="Q910" t="s">
        <v>1847</v>
      </c>
      <c r="R910">
        <v>111.87106</v>
      </c>
    </row>
    <row r="911" spans="1:18">
      <c r="A911" t="s">
        <v>992</v>
      </c>
      <c r="B911" t="s">
        <v>1475</v>
      </c>
      <c r="C911" t="s">
        <v>994</v>
      </c>
      <c r="D911">
        <v>314</v>
      </c>
      <c r="E911" s="128">
        <v>36526</v>
      </c>
      <c r="F911" s="128">
        <v>43131</v>
      </c>
      <c r="G9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314</v>
      </c>
      <c r="H911" s="128" t="str">
        <f t="shared" ca="1" si="14"/>
        <v>NO</v>
      </c>
      <c r="Q911" t="s">
        <v>1848</v>
      </c>
      <c r="R911">
        <v>259.91088000000002</v>
      </c>
    </row>
    <row r="912" spans="1:18">
      <c r="A912" t="s">
        <v>992</v>
      </c>
      <c r="B912" t="s">
        <v>1475</v>
      </c>
      <c r="C912" t="s">
        <v>994</v>
      </c>
      <c r="D912">
        <v>326</v>
      </c>
      <c r="E912" s="128">
        <v>43497</v>
      </c>
      <c r="F912" s="128">
        <v>47483</v>
      </c>
      <c r="G9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326</v>
      </c>
      <c r="H912" s="128" t="str">
        <f t="shared" ca="1" si="14"/>
        <v>YES</v>
      </c>
      <c r="Q912" t="s">
        <v>1849</v>
      </c>
      <c r="R912">
        <v>153.95396</v>
      </c>
    </row>
    <row r="913" spans="1:18">
      <c r="A913" t="s">
        <v>992</v>
      </c>
      <c r="B913" t="s">
        <v>1476</v>
      </c>
      <c r="C913" t="s">
        <v>994</v>
      </c>
      <c r="D913">
        <v>795</v>
      </c>
      <c r="E913" s="128">
        <v>36526</v>
      </c>
      <c r="F913" s="128">
        <v>47483</v>
      </c>
      <c r="G9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795</v>
      </c>
      <c r="H913" s="128" t="str">
        <f t="shared" ca="1" si="14"/>
        <v>YES</v>
      </c>
      <c r="Q913" t="s">
        <v>1850</v>
      </c>
      <c r="R913">
        <v>116.42358999999999</v>
      </c>
    </row>
    <row r="914" spans="1:18">
      <c r="A914" t="s">
        <v>992</v>
      </c>
      <c r="B914" t="s">
        <v>1477</v>
      </c>
      <c r="C914" t="s">
        <v>994</v>
      </c>
      <c r="D914">
        <v>326</v>
      </c>
      <c r="E914" s="128">
        <v>36526</v>
      </c>
      <c r="F914" s="128">
        <v>44834</v>
      </c>
      <c r="G9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326</v>
      </c>
      <c r="H914" s="128" t="str">
        <f t="shared" ca="1" si="14"/>
        <v>NO</v>
      </c>
      <c r="Q914" t="s">
        <v>1851</v>
      </c>
      <c r="R914">
        <v>102.93797000000001</v>
      </c>
    </row>
    <row r="915" spans="1:18">
      <c r="A915" t="s">
        <v>992</v>
      </c>
      <c r="B915" t="s">
        <v>1477</v>
      </c>
      <c r="C915" t="s">
        <v>994</v>
      </c>
      <c r="D915">
        <v>342.3</v>
      </c>
      <c r="E915" s="128">
        <v>44835</v>
      </c>
      <c r="F915" s="128">
        <v>45016</v>
      </c>
      <c r="G9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342.3</v>
      </c>
      <c r="H915" s="128" t="str">
        <f t="shared" ca="1" si="14"/>
        <v>NO</v>
      </c>
      <c r="Q915" t="s">
        <v>1852</v>
      </c>
      <c r="R915">
        <v>178.08291</v>
      </c>
    </row>
    <row r="916" spans="1:18">
      <c r="A916" t="s">
        <v>992</v>
      </c>
      <c r="B916" t="s">
        <v>1478</v>
      </c>
      <c r="C916" t="s">
        <v>994</v>
      </c>
      <c r="D916">
        <v>61.2</v>
      </c>
      <c r="E916" s="128">
        <v>36526</v>
      </c>
      <c r="F916" s="128">
        <v>47483</v>
      </c>
      <c r="G9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61.2</v>
      </c>
      <c r="H916" s="128" t="str">
        <f t="shared" ca="1" si="14"/>
        <v>YES</v>
      </c>
      <c r="Q916" t="s">
        <v>1853</v>
      </c>
      <c r="R916">
        <v>152.53689</v>
      </c>
    </row>
    <row r="917" spans="1:18">
      <c r="A917" t="s">
        <v>992</v>
      </c>
      <c r="B917" t="s">
        <v>1479</v>
      </c>
      <c r="C917" t="s">
        <v>994</v>
      </c>
      <c r="D917">
        <v>561</v>
      </c>
      <c r="E917" s="128">
        <v>36526</v>
      </c>
      <c r="F917" s="128">
        <v>47483</v>
      </c>
      <c r="G9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561</v>
      </c>
      <c r="H917" s="128" t="str">
        <f t="shared" ca="1" si="14"/>
        <v>YES</v>
      </c>
      <c r="Q917" t="s">
        <v>1854</v>
      </c>
      <c r="R917">
        <v>0</v>
      </c>
    </row>
    <row r="918" spans="1:18">
      <c r="A918" t="s">
        <v>992</v>
      </c>
      <c r="B918" t="s">
        <v>1480</v>
      </c>
      <c r="C918" t="s">
        <v>994</v>
      </c>
      <c r="D918">
        <v>188</v>
      </c>
      <c r="E918" s="128">
        <v>36526</v>
      </c>
      <c r="F918" s="128">
        <v>47847</v>
      </c>
      <c r="G9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188</v>
      </c>
      <c r="H918" s="128" t="str">
        <f t="shared" ca="1" si="14"/>
        <v>YES</v>
      </c>
      <c r="Q918" t="s">
        <v>1855</v>
      </c>
      <c r="R918">
        <v>37.304459999999999</v>
      </c>
    </row>
    <row r="919" spans="1:18">
      <c r="A919" t="s">
        <v>992</v>
      </c>
      <c r="B919" t="s">
        <v>1481</v>
      </c>
      <c r="C919" t="s">
        <v>994</v>
      </c>
      <c r="D919">
        <v>217.99999999999997</v>
      </c>
      <c r="E919" s="128">
        <v>36526</v>
      </c>
      <c r="F919" s="128">
        <v>47483</v>
      </c>
      <c r="G9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217.99999999999997</v>
      </c>
      <c r="H919" s="128" t="str">
        <f t="shared" ca="1" si="14"/>
        <v>YES</v>
      </c>
      <c r="Q919" t="s">
        <v>1856</v>
      </c>
      <c r="R919">
        <v>140.05437000000001</v>
      </c>
    </row>
    <row r="920" spans="1:18">
      <c r="A920" t="s">
        <v>992</v>
      </c>
      <c r="B920" t="s">
        <v>1482</v>
      </c>
      <c r="C920" t="s">
        <v>994</v>
      </c>
      <c r="D920">
        <v>233</v>
      </c>
      <c r="E920" s="128">
        <v>36526</v>
      </c>
      <c r="F920" s="128">
        <v>47483</v>
      </c>
      <c r="G9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233</v>
      </c>
      <c r="H920" s="128" t="str">
        <f t="shared" ca="1" si="14"/>
        <v>YES</v>
      </c>
      <c r="Q920" t="s">
        <v>1857</v>
      </c>
      <c r="R920">
        <v>89.30874</v>
      </c>
    </row>
    <row r="921" spans="1:18">
      <c r="A921" t="s">
        <v>992</v>
      </c>
      <c r="B921" t="s">
        <v>1483</v>
      </c>
      <c r="C921" t="s">
        <v>994</v>
      </c>
      <c r="D921">
        <v>258</v>
      </c>
      <c r="E921" s="128">
        <v>36526</v>
      </c>
      <c r="F921" s="128">
        <v>47483</v>
      </c>
      <c r="G9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258</v>
      </c>
      <c r="H921" s="128" t="str">
        <f t="shared" ca="1" si="14"/>
        <v>YES</v>
      </c>
      <c r="Q921" t="s">
        <v>1858</v>
      </c>
      <c r="R921">
        <v>360.31689</v>
      </c>
    </row>
    <row r="922" spans="1:18">
      <c r="A922" t="s">
        <v>992</v>
      </c>
      <c r="B922" t="s">
        <v>1484</v>
      </c>
      <c r="C922" t="s">
        <v>994</v>
      </c>
      <c r="D922">
        <v>363</v>
      </c>
      <c r="E922" s="128">
        <v>36526</v>
      </c>
      <c r="F922" s="128">
        <v>47483</v>
      </c>
      <c r="G9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363</v>
      </c>
      <c r="H922" s="128" t="str">
        <f t="shared" ca="1" si="14"/>
        <v>YES</v>
      </c>
      <c r="Q922" t="s">
        <v>1859</v>
      </c>
      <c r="R922">
        <v>418.66002000000003</v>
      </c>
    </row>
    <row r="923" spans="1:18">
      <c r="A923" t="s">
        <v>992</v>
      </c>
      <c r="B923" t="s">
        <v>1486</v>
      </c>
      <c r="C923" t="s">
        <v>994</v>
      </c>
      <c r="D923">
        <v>367</v>
      </c>
      <c r="E923" s="128">
        <v>36526</v>
      </c>
      <c r="F923" s="128">
        <v>47483</v>
      </c>
      <c r="G9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367</v>
      </c>
      <c r="H923" s="128" t="str">
        <f t="shared" ca="1" si="14"/>
        <v>YES</v>
      </c>
      <c r="Q923" t="s">
        <v>1860</v>
      </c>
      <c r="R923">
        <v>102.98274000000001</v>
      </c>
    </row>
    <row r="924" spans="1:18">
      <c r="A924" t="s">
        <v>992</v>
      </c>
      <c r="B924" t="s">
        <v>1488</v>
      </c>
      <c r="C924" t="s">
        <v>994</v>
      </c>
      <c r="D924">
        <v>375</v>
      </c>
      <c r="E924" s="128">
        <v>36526</v>
      </c>
      <c r="F924" s="128">
        <v>47483</v>
      </c>
      <c r="G9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375</v>
      </c>
      <c r="H924" s="128" t="str">
        <f t="shared" ca="1" si="14"/>
        <v>YES</v>
      </c>
      <c r="Q924" t="s">
        <v>1861</v>
      </c>
      <c r="R924">
        <v>99.009360000000001</v>
      </c>
    </row>
    <row r="925" spans="1:18">
      <c r="A925" t="s">
        <v>992</v>
      </c>
      <c r="B925" t="s">
        <v>1490</v>
      </c>
      <c r="C925" t="s">
        <v>994</v>
      </c>
      <c r="D925">
        <v>4556</v>
      </c>
      <c r="E925" s="128">
        <v>44866</v>
      </c>
      <c r="F925" s="128">
        <v>47483</v>
      </c>
      <c r="G9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4556</v>
      </c>
      <c r="H925" s="128" t="str">
        <f t="shared" ca="1" si="14"/>
        <v>YES</v>
      </c>
      <c r="Q925" t="s">
        <v>1862</v>
      </c>
      <c r="R925">
        <v>136.50126</v>
      </c>
    </row>
    <row r="926" spans="1:18">
      <c r="A926" t="s">
        <v>992</v>
      </c>
      <c r="B926" t="s">
        <v>1492</v>
      </c>
      <c r="C926" t="s">
        <v>994</v>
      </c>
      <c r="D926">
        <v>6086</v>
      </c>
      <c r="E926" s="128">
        <v>36526</v>
      </c>
      <c r="F926" s="128">
        <v>47483</v>
      </c>
      <c r="G9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6086</v>
      </c>
      <c r="H926" s="128" t="str">
        <f t="shared" ca="1" si="14"/>
        <v>YES</v>
      </c>
      <c r="Q926" t="s">
        <v>1863</v>
      </c>
      <c r="R926">
        <v>47.2209</v>
      </c>
    </row>
    <row r="927" spans="1:18">
      <c r="A927" t="s">
        <v>992</v>
      </c>
      <c r="B927" t="s">
        <v>1493</v>
      </c>
      <c r="C927" t="s">
        <v>994</v>
      </c>
      <c r="D927">
        <v>142.80000000000001</v>
      </c>
      <c r="E927" s="128">
        <v>36526</v>
      </c>
      <c r="F927" s="128">
        <v>44803</v>
      </c>
      <c r="G9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142.80000000000001</v>
      </c>
      <c r="H927" s="128" t="str">
        <f t="shared" ca="1" si="14"/>
        <v>NO</v>
      </c>
      <c r="Q927" t="s">
        <v>1864</v>
      </c>
      <c r="R927">
        <v>65.13006</v>
      </c>
    </row>
    <row r="928" spans="1:18">
      <c r="A928" t="s">
        <v>992</v>
      </c>
      <c r="B928" t="s">
        <v>1493</v>
      </c>
      <c r="C928" t="s">
        <v>994</v>
      </c>
      <c r="D928">
        <v>170</v>
      </c>
      <c r="E928" s="128">
        <v>44804</v>
      </c>
      <c r="F928" s="128">
        <v>47483</v>
      </c>
      <c r="G9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170</v>
      </c>
      <c r="H928" s="128" t="str">
        <f t="shared" ca="1" si="14"/>
        <v>YES</v>
      </c>
      <c r="Q928" t="s">
        <v>1865</v>
      </c>
      <c r="R928">
        <v>58.765260000000005</v>
      </c>
    </row>
    <row r="929" spans="1:18">
      <c r="A929" t="s">
        <v>992</v>
      </c>
      <c r="B929" t="s">
        <v>1495</v>
      </c>
      <c r="C929" t="s">
        <v>994</v>
      </c>
      <c r="D929">
        <v>458.99999999999994</v>
      </c>
      <c r="E929" s="128">
        <v>36526</v>
      </c>
      <c r="F929" s="128">
        <v>47483</v>
      </c>
      <c r="G9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458.99999999999994</v>
      </c>
      <c r="H929" s="128" t="str">
        <f t="shared" ca="1" si="14"/>
        <v>YES</v>
      </c>
      <c r="Q929" t="s">
        <v>1866</v>
      </c>
      <c r="R929">
        <v>103.35135999999999</v>
      </c>
    </row>
    <row r="930" spans="1:18">
      <c r="A930" t="s">
        <v>992</v>
      </c>
      <c r="B930" t="s">
        <v>1497</v>
      </c>
      <c r="C930" t="s">
        <v>994</v>
      </c>
      <c r="D930">
        <v>220</v>
      </c>
      <c r="E930" s="128">
        <v>36526</v>
      </c>
      <c r="F930" s="128">
        <v>47483</v>
      </c>
      <c r="G9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220</v>
      </c>
      <c r="H930" s="128" t="str">
        <f t="shared" ca="1" si="14"/>
        <v>YES</v>
      </c>
      <c r="Q930" t="s">
        <v>1867</v>
      </c>
      <c r="R930">
        <v>63.755099999999999</v>
      </c>
    </row>
    <row r="931" spans="1:18">
      <c r="A931" t="s">
        <v>992</v>
      </c>
      <c r="B931" t="s">
        <v>1497</v>
      </c>
      <c r="C931" t="s">
        <v>994</v>
      </c>
      <c r="D931">
        <v>187</v>
      </c>
      <c r="E931" s="128">
        <v>36526</v>
      </c>
      <c r="F931" s="128">
        <v>47483</v>
      </c>
      <c r="G9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187</v>
      </c>
      <c r="H931" s="128" t="str">
        <f t="shared" ca="1" si="14"/>
        <v>YES</v>
      </c>
      <c r="Q931" t="s">
        <v>1868</v>
      </c>
      <c r="R931">
        <v>77.769549999999995</v>
      </c>
    </row>
    <row r="932" spans="1:18">
      <c r="A932" t="s">
        <v>992</v>
      </c>
      <c r="B932" t="s">
        <v>1498</v>
      </c>
      <c r="C932" t="s">
        <v>994</v>
      </c>
      <c r="D932">
        <v>320</v>
      </c>
      <c r="E932" s="128">
        <v>36526</v>
      </c>
      <c r="F932" s="128">
        <v>47483</v>
      </c>
      <c r="G9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320</v>
      </c>
      <c r="H932" s="128" t="str">
        <f t="shared" ca="1" si="14"/>
        <v>YES</v>
      </c>
      <c r="Q932" t="s">
        <v>1869</v>
      </c>
      <c r="R932">
        <v>180.40512000000001</v>
      </c>
    </row>
    <row r="933" spans="1:18">
      <c r="A933" t="s">
        <v>992</v>
      </c>
      <c r="B933" t="s">
        <v>1498</v>
      </c>
      <c r="C933" t="s">
        <v>994</v>
      </c>
      <c r="D933">
        <v>253.29999999999998</v>
      </c>
      <c r="E933" s="128">
        <v>36526</v>
      </c>
      <c r="F933" s="128">
        <v>47483</v>
      </c>
      <c r="G9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253.29999999999998</v>
      </c>
      <c r="H933" s="128" t="str">
        <f t="shared" ca="1" si="14"/>
        <v>YES</v>
      </c>
      <c r="Q933" t="s">
        <v>1870</v>
      </c>
      <c r="R933">
        <v>167.90818999999999</v>
      </c>
    </row>
    <row r="934" spans="1:18">
      <c r="A934" t="s">
        <v>992</v>
      </c>
      <c r="B934" t="s">
        <v>1499</v>
      </c>
      <c r="C934" t="s">
        <v>994</v>
      </c>
      <c r="D934">
        <v>255</v>
      </c>
      <c r="E934" s="128">
        <v>36526</v>
      </c>
      <c r="F934" s="128">
        <v>47483</v>
      </c>
      <c r="G9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</v>
      </c>
      <c r="H934" s="128" t="str">
        <f t="shared" ca="1" si="14"/>
        <v>YES</v>
      </c>
      <c r="Q934" t="s">
        <v>1871</v>
      </c>
      <c r="R934">
        <v>53.50206</v>
      </c>
    </row>
    <row r="935" spans="1:18">
      <c r="A935" t="s">
        <v>992</v>
      </c>
      <c r="B935" t="s">
        <v>1501</v>
      </c>
      <c r="C935" t="s">
        <v>994</v>
      </c>
      <c r="D935">
        <v>2269.5</v>
      </c>
      <c r="E935" s="128">
        <v>36526</v>
      </c>
      <c r="F935" s="128">
        <v>47483</v>
      </c>
      <c r="G9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2269.5</v>
      </c>
      <c r="H935" s="128" t="str">
        <f t="shared" ca="1" si="14"/>
        <v>YES</v>
      </c>
      <c r="Q935" t="s">
        <v>1872</v>
      </c>
      <c r="R935">
        <v>46.026479999999999</v>
      </c>
    </row>
    <row r="936" spans="1:18">
      <c r="A936" t="s">
        <v>992</v>
      </c>
      <c r="B936" t="s">
        <v>1503</v>
      </c>
      <c r="C936" t="s">
        <v>994</v>
      </c>
      <c r="D936">
        <v>431.04</v>
      </c>
      <c r="E936" s="128">
        <v>36526</v>
      </c>
      <c r="F936" s="128">
        <v>44915</v>
      </c>
      <c r="G9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431.04</v>
      </c>
      <c r="H936" s="128" t="str">
        <f t="shared" ca="1" si="14"/>
        <v>NO</v>
      </c>
      <c r="Q936" t="s">
        <v>1873</v>
      </c>
      <c r="R936">
        <v>133.72908999999999</v>
      </c>
    </row>
    <row r="937" spans="1:18">
      <c r="A937" t="s">
        <v>992</v>
      </c>
      <c r="B937" t="s">
        <v>1503</v>
      </c>
      <c r="C937" t="s">
        <v>994</v>
      </c>
      <c r="D937">
        <v>474</v>
      </c>
      <c r="E937" s="128">
        <v>44916</v>
      </c>
      <c r="F937" s="128">
        <v>47483</v>
      </c>
      <c r="G9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474</v>
      </c>
      <c r="H937" s="128" t="str">
        <f t="shared" ca="1" si="14"/>
        <v>YES</v>
      </c>
      <c r="Q937" t="s">
        <v>1874</v>
      </c>
      <c r="R937">
        <v>154.99818000000002</v>
      </c>
    </row>
    <row r="938" spans="1:18">
      <c r="A938" t="s">
        <v>992</v>
      </c>
      <c r="B938" t="s">
        <v>1504</v>
      </c>
      <c r="C938" t="s">
        <v>994</v>
      </c>
      <c r="D938">
        <v>241.99999999999997</v>
      </c>
      <c r="E938" s="128">
        <v>36526</v>
      </c>
      <c r="F938" s="128">
        <v>44104</v>
      </c>
      <c r="G9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241.99999999999997</v>
      </c>
      <c r="H938" s="128" t="str">
        <f t="shared" ca="1" si="14"/>
        <v>NO</v>
      </c>
      <c r="Q938" t="s">
        <v>1875</v>
      </c>
      <c r="R938">
        <v>267.86540000000002</v>
      </c>
    </row>
    <row r="939" spans="1:18">
      <c r="A939" t="s">
        <v>992</v>
      </c>
      <c r="B939" t="s">
        <v>1504</v>
      </c>
      <c r="C939" t="s">
        <v>994</v>
      </c>
      <c r="D939">
        <v>285</v>
      </c>
      <c r="E939" s="128">
        <v>44105</v>
      </c>
      <c r="F939" s="128">
        <v>47483</v>
      </c>
      <c r="G9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285</v>
      </c>
      <c r="H939" s="128" t="str">
        <f t="shared" ca="1" si="14"/>
        <v>YES</v>
      </c>
      <c r="Q939" t="s">
        <v>1876</v>
      </c>
      <c r="R939">
        <v>180.05036999999999</v>
      </c>
    </row>
    <row r="940" spans="1:18">
      <c r="A940" t="s">
        <v>992</v>
      </c>
      <c r="B940" t="s">
        <v>1505</v>
      </c>
      <c r="C940" t="s">
        <v>994</v>
      </c>
      <c r="D940">
        <v>727.01</v>
      </c>
      <c r="E940" s="128">
        <v>36526</v>
      </c>
      <c r="F940" s="128">
        <v>47483</v>
      </c>
      <c r="G9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727.01</v>
      </c>
      <c r="H940" s="128" t="str">
        <f t="shared" ca="1" si="14"/>
        <v>YES</v>
      </c>
      <c r="Q940" t="s">
        <v>1877</v>
      </c>
      <c r="R940">
        <v>94.003410000000002</v>
      </c>
    </row>
    <row r="941" spans="1:18">
      <c r="A941" t="s">
        <v>992</v>
      </c>
      <c r="B941" t="s">
        <v>1506</v>
      </c>
      <c r="C941" t="s">
        <v>994</v>
      </c>
      <c r="D941">
        <v>496</v>
      </c>
      <c r="E941" s="128">
        <v>36526</v>
      </c>
      <c r="F941" s="128">
        <v>47483</v>
      </c>
      <c r="G9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496</v>
      </c>
      <c r="H941" s="128" t="str">
        <f t="shared" ca="1" si="14"/>
        <v>YES</v>
      </c>
      <c r="Q941" t="s">
        <v>1878</v>
      </c>
      <c r="R941">
        <v>130.52778000000001</v>
      </c>
    </row>
    <row r="942" spans="1:18">
      <c r="A942" t="s">
        <v>992</v>
      </c>
      <c r="B942" t="s">
        <v>809</v>
      </c>
      <c r="C942" t="s">
        <v>994</v>
      </c>
      <c r="D942">
        <v>340</v>
      </c>
      <c r="E942" s="128">
        <v>36526</v>
      </c>
      <c r="F942" s="128">
        <v>47483</v>
      </c>
      <c r="G9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340</v>
      </c>
      <c r="H942" s="128" t="str">
        <f t="shared" ca="1" si="14"/>
        <v>YES</v>
      </c>
      <c r="Q942" t="s">
        <v>1879</v>
      </c>
      <c r="R942">
        <v>109.53882</v>
      </c>
    </row>
    <row r="943" spans="1:18">
      <c r="A943" t="s">
        <v>992</v>
      </c>
      <c r="B943" t="s">
        <v>1507</v>
      </c>
      <c r="C943" t="s">
        <v>994</v>
      </c>
      <c r="D943">
        <v>566</v>
      </c>
      <c r="E943" s="128">
        <v>36526</v>
      </c>
      <c r="F943" s="128">
        <v>44561</v>
      </c>
      <c r="G9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566</v>
      </c>
      <c r="H943" s="128" t="str">
        <f t="shared" ca="1" si="14"/>
        <v>NO</v>
      </c>
      <c r="Q943" t="s">
        <v>1880</v>
      </c>
      <c r="R943">
        <v>382.50681000000003</v>
      </c>
    </row>
    <row r="944" spans="1:18">
      <c r="A944" t="s">
        <v>992</v>
      </c>
      <c r="B944" t="s">
        <v>1507</v>
      </c>
      <c r="C944" t="s">
        <v>994</v>
      </c>
      <c r="D944">
        <v>610</v>
      </c>
      <c r="E944" s="128">
        <v>44222</v>
      </c>
      <c r="F944" s="128">
        <v>44561</v>
      </c>
      <c r="G9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610</v>
      </c>
      <c r="H944" s="128" t="str">
        <f t="shared" ca="1" si="14"/>
        <v>NO</v>
      </c>
      <c r="Q944" t="s">
        <v>1881</v>
      </c>
      <c r="R944">
        <v>198.67345999999998</v>
      </c>
    </row>
    <row r="945" spans="1:18">
      <c r="A945" t="s">
        <v>992</v>
      </c>
      <c r="B945" t="s">
        <v>1507</v>
      </c>
      <c r="C945" t="s">
        <v>994</v>
      </c>
      <c r="D945">
        <v>2125</v>
      </c>
      <c r="E945" s="128">
        <v>44562</v>
      </c>
      <c r="F945" s="128">
        <v>47483</v>
      </c>
      <c r="G9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2125</v>
      </c>
      <c r="H945" s="128" t="str">
        <f t="shared" ca="1" si="14"/>
        <v>YES</v>
      </c>
      <c r="Q945" t="s">
        <v>1882</v>
      </c>
      <c r="R945">
        <v>258.74605000000003</v>
      </c>
    </row>
    <row r="946" spans="1:18">
      <c r="A946" t="s">
        <v>992</v>
      </c>
      <c r="B946" t="s">
        <v>1508</v>
      </c>
      <c r="C946" t="s">
        <v>994</v>
      </c>
      <c r="D946">
        <v>382.5</v>
      </c>
      <c r="E946" s="128">
        <v>36526</v>
      </c>
      <c r="F946" s="128">
        <v>47483</v>
      </c>
      <c r="G9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382.5</v>
      </c>
      <c r="H946" s="128" t="str">
        <f t="shared" ca="1" si="14"/>
        <v>YES</v>
      </c>
      <c r="Q946" t="s">
        <v>1883</v>
      </c>
      <c r="R946">
        <v>108.42776000000001</v>
      </c>
    </row>
    <row r="947" spans="1:18">
      <c r="A947" t="s">
        <v>992</v>
      </c>
      <c r="B947" t="s">
        <v>1509</v>
      </c>
      <c r="C947" t="s">
        <v>994</v>
      </c>
      <c r="D947">
        <v>723.31999999999994</v>
      </c>
      <c r="E947" s="128">
        <v>36526</v>
      </c>
      <c r="F947" s="128">
        <v>47483</v>
      </c>
      <c r="G9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723.31999999999994</v>
      </c>
      <c r="H947" s="128" t="str">
        <f t="shared" ca="1" si="14"/>
        <v>YES</v>
      </c>
      <c r="Q947" t="s">
        <v>1884</v>
      </c>
      <c r="R947">
        <v>123.00490000000001</v>
      </c>
    </row>
    <row r="948" spans="1:18">
      <c r="A948" t="s">
        <v>992</v>
      </c>
      <c r="B948" t="s">
        <v>1510</v>
      </c>
      <c r="C948" t="s">
        <v>994</v>
      </c>
      <c r="D948">
        <v>1159.57</v>
      </c>
      <c r="E948" s="128">
        <v>36526</v>
      </c>
      <c r="F948" s="128">
        <v>47483</v>
      </c>
      <c r="G9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1159.57</v>
      </c>
      <c r="H948" s="128" t="str">
        <f t="shared" ca="1" si="14"/>
        <v>YES</v>
      </c>
      <c r="Q948" t="s">
        <v>1885</v>
      </c>
      <c r="R948">
        <v>3265.3453800000002</v>
      </c>
    </row>
    <row r="949" spans="1:18">
      <c r="A949" t="s">
        <v>992</v>
      </c>
      <c r="B949" t="s">
        <v>1511</v>
      </c>
      <c r="C949" t="s">
        <v>994</v>
      </c>
      <c r="D949">
        <v>969.00000000000011</v>
      </c>
      <c r="E949" s="128">
        <v>36526</v>
      </c>
      <c r="F949" s="128">
        <v>47483</v>
      </c>
      <c r="G9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969.00000000000011</v>
      </c>
      <c r="H949" s="128" t="str">
        <f t="shared" ca="1" si="14"/>
        <v>YES</v>
      </c>
      <c r="Q949" t="s">
        <v>1886</v>
      </c>
      <c r="R949">
        <v>3212.5991399999998</v>
      </c>
    </row>
    <row r="950" spans="1:18">
      <c r="A950" t="s">
        <v>992</v>
      </c>
      <c r="B950" t="s">
        <v>1512</v>
      </c>
      <c r="C950" t="s">
        <v>994</v>
      </c>
      <c r="D950">
        <v>535.5</v>
      </c>
      <c r="E950" s="128">
        <v>36526</v>
      </c>
      <c r="F950" s="128">
        <v>47483</v>
      </c>
      <c r="G9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535.5</v>
      </c>
      <c r="H950" s="128" t="str">
        <f t="shared" ca="1" si="14"/>
        <v>YES</v>
      </c>
      <c r="Q950" t="s">
        <v>1887</v>
      </c>
      <c r="R950">
        <v>116.70027999999999</v>
      </c>
    </row>
    <row r="951" spans="1:18">
      <c r="A951" t="s">
        <v>992</v>
      </c>
      <c r="B951" t="s">
        <v>1513</v>
      </c>
      <c r="C951" t="s">
        <v>994</v>
      </c>
      <c r="D951">
        <v>527</v>
      </c>
      <c r="E951" s="128">
        <v>36526</v>
      </c>
      <c r="F951" s="128">
        <v>47483</v>
      </c>
      <c r="G9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527</v>
      </c>
      <c r="H951" s="128" t="str">
        <f t="shared" ca="1" si="14"/>
        <v>YES</v>
      </c>
      <c r="Q951" t="s">
        <v>1888</v>
      </c>
      <c r="R951">
        <v>468.72091</v>
      </c>
    </row>
    <row r="952" spans="1:18">
      <c r="A952" t="s">
        <v>992</v>
      </c>
      <c r="B952" t="s">
        <v>1514</v>
      </c>
      <c r="C952" t="s">
        <v>994</v>
      </c>
      <c r="D952">
        <v>501.5</v>
      </c>
      <c r="E952" s="128">
        <v>36526</v>
      </c>
      <c r="F952" s="128">
        <v>47483</v>
      </c>
      <c r="G9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501.5</v>
      </c>
      <c r="H952" s="128" t="str">
        <f t="shared" ca="1" si="14"/>
        <v>YES</v>
      </c>
      <c r="Q952" t="s">
        <v>1889</v>
      </c>
      <c r="R952">
        <v>128.79322999999999</v>
      </c>
    </row>
    <row r="953" spans="1:18">
      <c r="A953" t="s">
        <v>992</v>
      </c>
      <c r="B953" t="s">
        <v>1515</v>
      </c>
      <c r="C953" t="s">
        <v>994</v>
      </c>
      <c r="D953">
        <v>705.5</v>
      </c>
      <c r="E953" s="128">
        <v>36526</v>
      </c>
      <c r="F953" s="128">
        <v>47483</v>
      </c>
      <c r="G9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705.5</v>
      </c>
      <c r="H953" s="128" t="str">
        <f t="shared" ca="1" si="14"/>
        <v>YES</v>
      </c>
      <c r="Q953" t="s">
        <v>1890</v>
      </c>
      <c r="R953">
        <v>376.42964000000001</v>
      </c>
    </row>
    <row r="954" spans="1:18">
      <c r="A954" t="s">
        <v>992</v>
      </c>
      <c r="B954" t="s">
        <v>1516</v>
      </c>
      <c r="C954" t="s">
        <v>994</v>
      </c>
      <c r="D954">
        <v>603.5</v>
      </c>
      <c r="E954" s="128">
        <v>36526</v>
      </c>
      <c r="F954" s="128">
        <v>47483</v>
      </c>
      <c r="G9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603.5</v>
      </c>
      <c r="H954" s="128" t="str">
        <f t="shared" ca="1" si="14"/>
        <v>YES</v>
      </c>
      <c r="Q954" t="s">
        <v>1891</v>
      </c>
      <c r="R954">
        <v>72.160409999999999</v>
      </c>
    </row>
    <row r="955" spans="1:18">
      <c r="A955" t="s">
        <v>992</v>
      </c>
      <c r="B955" t="s">
        <v>1517</v>
      </c>
      <c r="C955" t="s">
        <v>994</v>
      </c>
      <c r="D955">
        <v>501.5</v>
      </c>
      <c r="E955" s="128">
        <v>36526</v>
      </c>
      <c r="F955" s="128">
        <v>47483</v>
      </c>
      <c r="G9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501.5</v>
      </c>
      <c r="H955" s="128" t="str">
        <f t="shared" ca="1" si="14"/>
        <v>YES</v>
      </c>
      <c r="Q955" t="s">
        <v>1892</v>
      </c>
      <c r="R955">
        <v>103.54437</v>
      </c>
    </row>
    <row r="956" spans="1:18">
      <c r="A956" t="s">
        <v>992</v>
      </c>
      <c r="B956" t="s">
        <v>1519</v>
      </c>
      <c r="C956" t="s">
        <v>994</v>
      </c>
      <c r="D956">
        <v>536.35</v>
      </c>
      <c r="E956" s="128">
        <v>36526</v>
      </c>
      <c r="F956" s="128">
        <v>47483</v>
      </c>
      <c r="G9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536.35</v>
      </c>
      <c r="H956" s="128" t="str">
        <f t="shared" ca="1" si="14"/>
        <v>YES</v>
      </c>
      <c r="Q956" t="s">
        <v>1893</v>
      </c>
      <c r="R956">
        <v>878.73415</v>
      </c>
    </row>
    <row r="957" spans="1:18">
      <c r="A957" t="s">
        <v>992</v>
      </c>
      <c r="B957" t="s">
        <v>1521</v>
      </c>
      <c r="C957" t="s">
        <v>994</v>
      </c>
      <c r="D957">
        <v>3338.2000000000003</v>
      </c>
      <c r="E957" s="128">
        <v>36526</v>
      </c>
      <c r="F957" s="128">
        <v>47483</v>
      </c>
      <c r="G9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3338.2000000000003</v>
      </c>
      <c r="H957" s="128" t="str">
        <f t="shared" ca="1" si="14"/>
        <v>YES</v>
      </c>
      <c r="Q957" t="s">
        <v>1894</v>
      </c>
      <c r="R957">
        <v>716.38825000000008</v>
      </c>
    </row>
    <row r="958" spans="1:18">
      <c r="A958" t="s">
        <v>992</v>
      </c>
      <c r="B958" t="s">
        <v>1522</v>
      </c>
      <c r="C958" t="s">
        <v>994</v>
      </c>
      <c r="D958">
        <v>1010</v>
      </c>
      <c r="E958" s="128">
        <v>36526</v>
      </c>
      <c r="F958" s="128">
        <v>47483</v>
      </c>
      <c r="G9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1010</v>
      </c>
      <c r="H958" s="128" t="str">
        <f t="shared" ca="1" si="14"/>
        <v>YES</v>
      </c>
      <c r="Q958" t="s">
        <v>1895</v>
      </c>
      <c r="R958">
        <v>1002.51915</v>
      </c>
    </row>
    <row r="959" spans="1:18">
      <c r="A959" t="s">
        <v>992</v>
      </c>
      <c r="B959" t="s">
        <v>1523</v>
      </c>
      <c r="C959" t="s">
        <v>994</v>
      </c>
      <c r="D959">
        <v>608.4</v>
      </c>
      <c r="E959" s="128">
        <v>36526</v>
      </c>
      <c r="F959" s="128">
        <v>42735</v>
      </c>
      <c r="G9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608.4</v>
      </c>
      <c r="H959" s="128" t="str">
        <f t="shared" ca="1" si="14"/>
        <v>NO</v>
      </c>
      <c r="Q959" t="s">
        <v>1896</v>
      </c>
      <c r="R959">
        <v>620</v>
      </c>
    </row>
    <row r="960" spans="1:18">
      <c r="A960" t="s">
        <v>992</v>
      </c>
      <c r="B960" t="s">
        <v>1523</v>
      </c>
      <c r="C960" t="s">
        <v>994</v>
      </c>
      <c r="D960">
        <v>570</v>
      </c>
      <c r="E960" s="128">
        <v>42736</v>
      </c>
      <c r="F960" s="128">
        <v>47483</v>
      </c>
      <c r="G9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570</v>
      </c>
      <c r="H960" s="128" t="str">
        <f t="shared" ca="1" si="14"/>
        <v>YES</v>
      </c>
      <c r="Q960" t="s">
        <v>1897</v>
      </c>
      <c r="R960">
        <v>880</v>
      </c>
    </row>
    <row r="961" spans="1:18">
      <c r="A961" t="s">
        <v>992</v>
      </c>
      <c r="B961" t="s">
        <v>1524</v>
      </c>
      <c r="C961" t="s">
        <v>994</v>
      </c>
      <c r="D961">
        <v>917.99999999999989</v>
      </c>
      <c r="E961" s="128">
        <v>36526</v>
      </c>
      <c r="F961" s="128">
        <v>47483</v>
      </c>
      <c r="G9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917.99999999999989</v>
      </c>
      <c r="H961" s="128" t="str">
        <f t="shared" ca="1" si="14"/>
        <v>YES</v>
      </c>
      <c r="Q961" t="s">
        <v>1898</v>
      </c>
      <c r="R961">
        <v>158.34282999999999</v>
      </c>
    </row>
    <row r="962" spans="1:18">
      <c r="A962" t="s">
        <v>992</v>
      </c>
      <c r="B962" t="s">
        <v>1525</v>
      </c>
      <c r="C962" t="s">
        <v>1085</v>
      </c>
      <c r="D962">
        <v>373</v>
      </c>
      <c r="E962" s="128">
        <v>36526</v>
      </c>
      <c r="F962" s="128">
        <v>47483</v>
      </c>
      <c r="G9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328.24</v>
      </c>
      <c r="H962" s="128" t="str">
        <f t="shared" ref="H962:H1025" ca="1" si="15">IF(OR(F962=0,F962&gt;TODAY()),"YES","NO")</f>
        <v>YES</v>
      </c>
      <c r="Q962" t="s">
        <v>1899</v>
      </c>
      <c r="R962">
        <v>80.337239999999994</v>
      </c>
    </row>
    <row r="963" spans="1:18">
      <c r="A963" t="s">
        <v>992</v>
      </c>
      <c r="B963" t="s">
        <v>1525</v>
      </c>
      <c r="C963" t="s">
        <v>994</v>
      </c>
      <c r="D963">
        <v>344.2</v>
      </c>
      <c r="E963" s="128">
        <v>36526</v>
      </c>
      <c r="F963" s="128">
        <v>43657</v>
      </c>
      <c r="G9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344.2</v>
      </c>
      <c r="H963" s="128" t="str">
        <f t="shared" ca="1" si="15"/>
        <v>NO</v>
      </c>
      <c r="Q963" t="s">
        <v>1900</v>
      </c>
      <c r="R963">
        <v>118.49155</v>
      </c>
    </row>
    <row r="964" spans="1:18">
      <c r="A964" t="s">
        <v>992</v>
      </c>
      <c r="B964" t="s">
        <v>1525</v>
      </c>
      <c r="C964" t="s">
        <v>994</v>
      </c>
      <c r="D964">
        <v>380.00000000000006</v>
      </c>
      <c r="E964" s="128">
        <v>43658</v>
      </c>
      <c r="F964" s="128">
        <v>47483</v>
      </c>
      <c r="G9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964" s="128" t="str">
        <f t="shared" ca="1" si="15"/>
        <v>YES</v>
      </c>
      <c r="Q964" t="s">
        <v>1901</v>
      </c>
      <c r="R964">
        <v>87.882760000000005</v>
      </c>
    </row>
    <row r="965" spans="1:18">
      <c r="A965" t="s">
        <v>992</v>
      </c>
      <c r="B965" t="s">
        <v>1526</v>
      </c>
      <c r="C965" t="s">
        <v>994</v>
      </c>
      <c r="D965">
        <v>3362.8399999999997</v>
      </c>
      <c r="E965" s="128">
        <v>36526</v>
      </c>
      <c r="F965" s="128">
        <v>47483</v>
      </c>
      <c r="G9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3362.8399999999997</v>
      </c>
      <c r="H965" s="128" t="str">
        <f t="shared" ca="1" si="15"/>
        <v>YES</v>
      </c>
      <c r="Q965" t="s">
        <v>1902</v>
      </c>
      <c r="R965">
        <v>199.43295000000001</v>
      </c>
    </row>
    <row r="966" spans="1:18">
      <c r="A966" t="s">
        <v>992</v>
      </c>
      <c r="B966" t="s">
        <v>1527</v>
      </c>
      <c r="C966" t="s">
        <v>994</v>
      </c>
      <c r="D966">
        <v>267.75</v>
      </c>
      <c r="E966" s="128">
        <v>36526</v>
      </c>
      <c r="F966" s="128">
        <v>47483</v>
      </c>
      <c r="G9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267.75</v>
      </c>
      <c r="H966" s="128" t="str">
        <f t="shared" ca="1" si="15"/>
        <v>YES</v>
      </c>
      <c r="Q966" t="s">
        <v>1903</v>
      </c>
      <c r="R966">
        <v>16.115320000000001</v>
      </c>
    </row>
    <row r="967" spans="1:18">
      <c r="A967" t="s">
        <v>992</v>
      </c>
      <c r="B967" t="s">
        <v>1528</v>
      </c>
      <c r="C967" t="s">
        <v>994</v>
      </c>
      <c r="D967">
        <v>1068.3699999999999</v>
      </c>
      <c r="E967" s="128">
        <v>36526</v>
      </c>
      <c r="F967" s="128">
        <v>43496</v>
      </c>
      <c r="G9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1068.3699999999999</v>
      </c>
      <c r="H967" s="128" t="str">
        <f t="shared" ca="1" si="15"/>
        <v>NO</v>
      </c>
      <c r="Q967" t="s">
        <v>1904</v>
      </c>
      <c r="R967">
        <v>247.31013000000002</v>
      </c>
    </row>
    <row r="968" spans="1:18">
      <c r="A968" t="s">
        <v>992</v>
      </c>
      <c r="B968" t="s">
        <v>1528</v>
      </c>
      <c r="C968" t="s">
        <v>994</v>
      </c>
      <c r="D968">
        <v>1036.24</v>
      </c>
      <c r="E968" s="128">
        <v>43497</v>
      </c>
      <c r="F968" s="128">
        <v>47483</v>
      </c>
      <c r="G9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1036.24</v>
      </c>
      <c r="H968" s="128" t="str">
        <f t="shared" ca="1" si="15"/>
        <v>YES</v>
      </c>
      <c r="Q968" t="s">
        <v>1905</v>
      </c>
      <c r="R968">
        <v>39.132249999999999</v>
      </c>
    </row>
    <row r="969" spans="1:18">
      <c r="A969" t="s">
        <v>992</v>
      </c>
      <c r="B969" t="s">
        <v>1528</v>
      </c>
      <c r="C969" t="s">
        <v>994</v>
      </c>
      <c r="D969">
        <v>986.55</v>
      </c>
      <c r="E969" s="128">
        <v>43591</v>
      </c>
      <c r="F969" s="128">
        <v>47483</v>
      </c>
      <c r="G9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986.55</v>
      </c>
      <c r="H969" s="128" t="str">
        <f t="shared" ca="1" si="15"/>
        <v>YES</v>
      </c>
      <c r="Q969" t="s">
        <v>1906</v>
      </c>
      <c r="R969">
        <v>65.663929999999993</v>
      </c>
    </row>
    <row r="970" spans="1:18">
      <c r="A970" t="s">
        <v>992</v>
      </c>
      <c r="B970" t="s">
        <v>1529</v>
      </c>
      <c r="C970" t="s">
        <v>994</v>
      </c>
      <c r="D970">
        <v>1641.52</v>
      </c>
      <c r="E970" s="128">
        <v>36526</v>
      </c>
      <c r="F970" s="128">
        <v>43496</v>
      </c>
      <c r="G9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1641.52</v>
      </c>
      <c r="H970" s="128" t="str">
        <f t="shared" ca="1" si="15"/>
        <v>NO</v>
      </c>
      <c r="Q970" t="s">
        <v>1907</v>
      </c>
      <c r="R970">
        <v>43.924710000000005</v>
      </c>
    </row>
    <row r="971" spans="1:18">
      <c r="A971" t="s">
        <v>992</v>
      </c>
      <c r="B971" t="s">
        <v>1529</v>
      </c>
      <c r="C971" t="s">
        <v>994</v>
      </c>
      <c r="D971">
        <v>1592.22</v>
      </c>
      <c r="E971" s="128">
        <v>43497</v>
      </c>
      <c r="F971" s="128">
        <v>47483</v>
      </c>
      <c r="G9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1592.22</v>
      </c>
      <c r="H971" s="128" t="str">
        <f t="shared" ca="1" si="15"/>
        <v>YES</v>
      </c>
      <c r="Q971" t="s">
        <v>1908</v>
      </c>
      <c r="R971">
        <v>99.180800000000005</v>
      </c>
    </row>
    <row r="972" spans="1:18">
      <c r="A972" t="s">
        <v>992</v>
      </c>
      <c r="B972" t="s">
        <v>1529</v>
      </c>
      <c r="C972" t="s">
        <v>994</v>
      </c>
      <c r="D972">
        <v>1517.3000000000002</v>
      </c>
      <c r="E972" s="128">
        <v>43591</v>
      </c>
      <c r="F972" s="128">
        <v>47483</v>
      </c>
      <c r="G9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1517.3000000000002</v>
      </c>
      <c r="H972" s="128" t="str">
        <f t="shared" ca="1" si="15"/>
        <v>YES</v>
      </c>
      <c r="Q972" t="s">
        <v>1909</v>
      </c>
      <c r="R972">
        <v>33.471260000000001</v>
      </c>
    </row>
    <row r="973" spans="1:18">
      <c r="A973" t="s">
        <v>992</v>
      </c>
      <c r="B973" t="s">
        <v>256</v>
      </c>
      <c r="C973" t="s">
        <v>994</v>
      </c>
      <c r="D973">
        <v>726</v>
      </c>
      <c r="E973" s="128">
        <v>36526</v>
      </c>
      <c r="F973" s="128">
        <v>42735</v>
      </c>
      <c r="G9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726</v>
      </c>
      <c r="H973" s="128" t="str">
        <f t="shared" ca="1" si="15"/>
        <v>NO</v>
      </c>
      <c r="Q973" t="s">
        <v>1910</v>
      </c>
      <c r="R973">
        <v>63.097619999999999</v>
      </c>
    </row>
    <row r="974" spans="1:18">
      <c r="A974" t="s">
        <v>992</v>
      </c>
      <c r="B974" t="s">
        <v>256</v>
      </c>
      <c r="C974" t="s">
        <v>994</v>
      </c>
      <c r="D974">
        <v>718.74</v>
      </c>
      <c r="E974" s="128">
        <v>42736</v>
      </c>
      <c r="F974" s="128">
        <v>43100</v>
      </c>
      <c r="G9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718.74</v>
      </c>
      <c r="H974" s="128" t="str">
        <f t="shared" ca="1" si="15"/>
        <v>NO</v>
      </c>
      <c r="Q974" t="s">
        <v>1911</v>
      </c>
      <c r="R974">
        <v>71.055809999999994</v>
      </c>
    </row>
    <row r="975" spans="1:18">
      <c r="A975" t="s">
        <v>992</v>
      </c>
      <c r="B975" t="s">
        <v>256</v>
      </c>
      <c r="C975" t="s">
        <v>994</v>
      </c>
      <c r="D975">
        <v>718.69999999999993</v>
      </c>
      <c r="E975" s="128">
        <v>43101</v>
      </c>
      <c r="F975" s="128">
        <v>43465</v>
      </c>
      <c r="G9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718.69999999999993</v>
      </c>
      <c r="H975" s="128" t="str">
        <f t="shared" ca="1" si="15"/>
        <v>NO</v>
      </c>
      <c r="Q975" t="s">
        <v>1912</v>
      </c>
      <c r="R975">
        <v>67.2166</v>
      </c>
    </row>
    <row r="976" spans="1:18">
      <c r="A976" t="s">
        <v>992</v>
      </c>
      <c r="B976" t="s">
        <v>256</v>
      </c>
      <c r="C976" t="s">
        <v>994</v>
      </c>
      <c r="D976">
        <v>707.91</v>
      </c>
      <c r="E976" s="128">
        <v>43482</v>
      </c>
      <c r="F976" s="128">
        <v>44834</v>
      </c>
      <c r="G9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707.91</v>
      </c>
      <c r="H976" s="128" t="str">
        <f t="shared" ca="1" si="15"/>
        <v>NO</v>
      </c>
      <c r="Q976" t="s">
        <v>1913</v>
      </c>
      <c r="R976">
        <v>63.09816</v>
      </c>
    </row>
    <row r="977" spans="1:18">
      <c r="A977" t="s">
        <v>992</v>
      </c>
      <c r="B977" t="s">
        <v>256</v>
      </c>
      <c r="C977" t="s">
        <v>994</v>
      </c>
      <c r="D977">
        <v>743.31</v>
      </c>
      <c r="E977" s="128">
        <v>44835</v>
      </c>
      <c r="F977" s="128">
        <v>45016</v>
      </c>
      <c r="G9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743.31</v>
      </c>
      <c r="H977" s="128" t="str">
        <f t="shared" ca="1" si="15"/>
        <v>NO</v>
      </c>
      <c r="Q977" t="s">
        <v>1914</v>
      </c>
      <c r="R977">
        <v>49.835610000000003</v>
      </c>
    </row>
    <row r="978" spans="1:18">
      <c r="A978" t="s">
        <v>992</v>
      </c>
      <c r="B978" t="s">
        <v>1530</v>
      </c>
      <c r="C978" t="s">
        <v>994</v>
      </c>
      <c r="D978">
        <v>1378.6999999999998</v>
      </c>
      <c r="E978" s="128">
        <v>36526</v>
      </c>
      <c r="F978" s="128">
        <v>47483</v>
      </c>
      <c r="G9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1378.6999999999998</v>
      </c>
      <c r="H978" s="128" t="str">
        <f t="shared" ca="1" si="15"/>
        <v>YES</v>
      </c>
      <c r="Q978" t="s">
        <v>1915</v>
      </c>
      <c r="R978">
        <v>60.216200000000001</v>
      </c>
    </row>
    <row r="979" spans="1:18">
      <c r="A979" t="s">
        <v>992</v>
      </c>
      <c r="B979" t="s">
        <v>256</v>
      </c>
      <c r="C979" t="s">
        <v>994</v>
      </c>
      <c r="D979">
        <v>707.91</v>
      </c>
      <c r="E979" s="128">
        <v>45017</v>
      </c>
      <c r="F979" s="128">
        <v>54789</v>
      </c>
      <c r="G9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707.91</v>
      </c>
      <c r="H979" s="128" t="str">
        <f t="shared" ca="1" si="15"/>
        <v>YES</v>
      </c>
      <c r="Q979" t="s">
        <v>1916</v>
      </c>
      <c r="R979">
        <v>67.215919999999997</v>
      </c>
    </row>
    <row r="980" spans="1:18">
      <c r="A980" t="s">
        <v>992</v>
      </c>
      <c r="B980" t="s">
        <v>805</v>
      </c>
      <c r="C980" t="s">
        <v>994</v>
      </c>
      <c r="D980">
        <v>792.19999999999993</v>
      </c>
      <c r="E980" s="128">
        <v>36526</v>
      </c>
      <c r="F980" s="128">
        <v>47483</v>
      </c>
      <c r="G9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792.19999999999993</v>
      </c>
      <c r="H980" s="128" t="str">
        <f t="shared" ca="1" si="15"/>
        <v>YES</v>
      </c>
      <c r="Q980" t="s">
        <v>1917</v>
      </c>
      <c r="R980">
        <v>49.836370000000002</v>
      </c>
    </row>
    <row r="981" spans="1:18">
      <c r="A981" t="s">
        <v>992</v>
      </c>
      <c r="B981" t="s">
        <v>1531</v>
      </c>
      <c r="C981" t="s">
        <v>994</v>
      </c>
      <c r="D981">
        <v>1312</v>
      </c>
      <c r="E981" s="128">
        <v>36526</v>
      </c>
      <c r="F981" s="128">
        <v>47483</v>
      </c>
      <c r="G9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1312</v>
      </c>
      <c r="H981" s="128" t="str">
        <f t="shared" ca="1" si="15"/>
        <v>YES</v>
      </c>
      <c r="Q981" t="s">
        <v>1918</v>
      </c>
      <c r="R981">
        <v>116.09732000000001</v>
      </c>
    </row>
    <row r="982" spans="1:18">
      <c r="A982" t="s">
        <v>992</v>
      </c>
      <c r="B982" t="s">
        <v>1533</v>
      </c>
      <c r="C982" t="s">
        <v>994</v>
      </c>
      <c r="D982">
        <v>1071</v>
      </c>
      <c r="E982" s="128">
        <v>36526</v>
      </c>
      <c r="F982" s="128">
        <v>47483</v>
      </c>
      <c r="G9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1071</v>
      </c>
      <c r="H982" s="128" t="str">
        <f t="shared" ca="1" si="15"/>
        <v>YES</v>
      </c>
      <c r="Q982" t="s">
        <v>1919</v>
      </c>
      <c r="R982">
        <v>67.215789999999998</v>
      </c>
    </row>
    <row r="983" spans="1:18">
      <c r="A983" t="s">
        <v>992</v>
      </c>
      <c r="B983" t="s">
        <v>1534</v>
      </c>
      <c r="C983" t="s">
        <v>994</v>
      </c>
      <c r="D983">
        <v>1552.95</v>
      </c>
      <c r="E983" s="128">
        <v>36526</v>
      </c>
      <c r="F983" s="128">
        <v>47483</v>
      </c>
      <c r="G9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1552.95</v>
      </c>
      <c r="H983" s="128" t="str">
        <f t="shared" ca="1" si="15"/>
        <v>YES</v>
      </c>
      <c r="Q983" t="s">
        <v>1920</v>
      </c>
      <c r="R983">
        <v>243.61699999999999</v>
      </c>
    </row>
    <row r="984" spans="1:18">
      <c r="A984" t="s">
        <v>992</v>
      </c>
      <c r="B984" t="s">
        <v>1535</v>
      </c>
      <c r="C984" t="s">
        <v>994</v>
      </c>
      <c r="D984">
        <v>1657.5</v>
      </c>
      <c r="E984" s="128">
        <v>36526</v>
      </c>
      <c r="F984" s="128">
        <v>47483</v>
      </c>
      <c r="G9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1657.5</v>
      </c>
      <c r="H984" s="128" t="str">
        <f t="shared" ca="1" si="15"/>
        <v>YES</v>
      </c>
      <c r="Q984" t="s">
        <v>1921</v>
      </c>
      <c r="R984">
        <v>204.55485999999999</v>
      </c>
    </row>
    <row r="985" spans="1:18">
      <c r="A985" t="s">
        <v>992</v>
      </c>
      <c r="B985" t="s">
        <v>1536</v>
      </c>
      <c r="C985" t="s">
        <v>994</v>
      </c>
      <c r="D985">
        <v>2180</v>
      </c>
      <c r="E985" s="128">
        <v>36526</v>
      </c>
      <c r="F985" s="128">
        <v>47483</v>
      </c>
      <c r="G9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2180</v>
      </c>
      <c r="H985" s="128" t="str">
        <f t="shared" ca="1" si="15"/>
        <v>YES</v>
      </c>
      <c r="Q985" t="s">
        <v>1922</v>
      </c>
      <c r="R985">
        <v>1.9603999999999999</v>
      </c>
    </row>
    <row r="986" spans="1:18">
      <c r="A986" t="s">
        <v>992</v>
      </c>
      <c r="B986" t="s">
        <v>1537</v>
      </c>
      <c r="C986" t="s">
        <v>994</v>
      </c>
      <c r="D986">
        <v>1141</v>
      </c>
      <c r="E986" s="128">
        <v>36526</v>
      </c>
      <c r="F986" s="128">
        <v>47483</v>
      </c>
      <c r="G9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1141</v>
      </c>
      <c r="H986" s="128" t="str">
        <f t="shared" ca="1" si="15"/>
        <v>YES</v>
      </c>
      <c r="Q986" t="s">
        <v>1923</v>
      </c>
      <c r="R986">
        <v>65.663929999999993</v>
      </c>
    </row>
    <row r="987" spans="1:18">
      <c r="A987" t="s">
        <v>992</v>
      </c>
      <c r="B987" t="s">
        <v>1538</v>
      </c>
      <c r="C987" t="s">
        <v>994</v>
      </c>
      <c r="D987">
        <v>1326</v>
      </c>
      <c r="E987" s="128">
        <v>36526</v>
      </c>
      <c r="F987" s="128">
        <v>47483</v>
      </c>
      <c r="G9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1326</v>
      </c>
      <c r="H987" s="128" t="str">
        <f t="shared" ca="1" si="15"/>
        <v>YES</v>
      </c>
      <c r="Q987" t="s">
        <v>1924</v>
      </c>
      <c r="R987">
        <v>44.616509999999998</v>
      </c>
    </row>
    <row r="988" spans="1:18">
      <c r="A988" t="s">
        <v>992</v>
      </c>
      <c r="B988" t="s">
        <v>1539</v>
      </c>
      <c r="C988" t="s">
        <v>994</v>
      </c>
      <c r="D988">
        <v>1014.7</v>
      </c>
      <c r="E988" s="128">
        <v>36526</v>
      </c>
      <c r="F988" s="128">
        <v>47483</v>
      </c>
      <c r="G9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1014.7</v>
      </c>
      <c r="H988" s="128" t="str">
        <f t="shared" ca="1" si="15"/>
        <v>YES</v>
      </c>
      <c r="Q988" t="s">
        <v>1925</v>
      </c>
      <c r="R988">
        <v>67.2166</v>
      </c>
    </row>
    <row r="989" spans="1:18">
      <c r="A989" t="s">
        <v>992</v>
      </c>
      <c r="B989" t="s">
        <v>1540</v>
      </c>
      <c r="C989" t="s">
        <v>994</v>
      </c>
      <c r="D989">
        <v>706.35</v>
      </c>
      <c r="E989" s="128">
        <v>36526</v>
      </c>
      <c r="F989" s="128">
        <v>47483</v>
      </c>
      <c r="G9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706.35</v>
      </c>
      <c r="H989" s="128" t="str">
        <f t="shared" ca="1" si="15"/>
        <v>YES</v>
      </c>
      <c r="Q989" t="s">
        <v>1926</v>
      </c>
      <c r="R989">
        <v>67.215919999999997</v>
      </c>
    </row>
    <row r="990" spans="1:18">
      <c r="A990" t="s">
        <v>992</v>
      </c>
      <c r="B990" t="s">
        <v>1541</v>
      </c>
      <c r="C990" t="s">
        <v>994</v>
      </c>
      <c r="D990">
        <v>1153.71</v>
      </c>
      <c r="E990" s="128">
        <v>36526</v>
      </c>
      <c r="F990" s="128">
        <v>47483</v>
      </c>
      <c r="G9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1153.71</v>
      </c>
      <c r="H990" s="128" t="str">
        <f t="shared" ca="1" si="15"/>
        <v>YES</v>
      </c>
      <c r="Q990" t="s">
        <v>1927</v>
      </c>
      <c r="R990">
        <v>67.215789999999998</v>
      </c>
    </row>
    <row r="991" spans="1:18">
      <c r="A991" t="s">
        <v>992</v>
      </c>
      <c r="B991" t="s">
        <v>1542</v>
      </c>
      <c r="C991" t="s">
        <v>994</v>
      </c>
      <c r="D991">
        <v>1886.6000000000001</v>
      </c>
      <c r="E991" s="128">
        <v>36526</v>
      </c>
      <c r="F991" s="128">
        <v>44411</v>
      </c>
      <c r="G9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1886.6000000000001</v>
      </c>
      <c r="H991" s="128" t="str">
        <f t="shared" ca="1" si="15"/>
        <v>NO</v>
      </c>
      <c r="Q991" t="s">
        <v>1928</v>
      </c>
      <c r="R991">
        <v>50.794809999999998</v>
      </c>
    </row>
    <row r="992" spans="1:18">
      <c r="A992" t="s">
        <v>992</v>
      </c>
      <c r="B992" t="s">
        <v>1542</v>
      </c>
      <c r="C992" t="s">
        <v>994</v>
      </c>
      <c r="D992">
        <v>1450</v>
      </c>
      <c r="E992" s="128">
        <v>44412</v>
      </c>
      <c r="F992" s="128">
        <v>47483</v>
      </c>
      <c r="G9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1450</v>
      </c>
      <c r="H992" s="128" t="str">
        <f t="shared" ca="1" si="15"/>
        <v>YES</v>
      </c>
      <c r="Q992" t="s">
        <v>1929</v>
      </c>
      <c r="R992">
        <v>56.950559999999996</v>
      </c>
    </row>
    <row r="993" spans="1:18">
      <c r="A993" t="s">
        <v>992</v>
      </c>
      <c r="B993" t="s">
        <v>1543</v>
      </c>
      <c r="C993" t="s">
        <v>994</v>
      </c>
      <c r="D993">
        <v>283.2</v>
      </c>
      <c r="E993" s="128">
        <v>36526</v>
      </c>
      <c r="F993" s="128">
        <v>47483</v>
      </c>
      <c r="G9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283.2</v>
      </c>
      <c r="H993" s="128" t="str">
        <f t="shared" ca="1" si="15"/>
        <v>YES</v>
      </c>
      <c r="Q993" t="s">
        <v>1930</v>
      </c>
      <c r="R993">
        <v>41.483460000000001</v>
      </c>
    </row>
    <row r="994" spans="1:18">
      <c r="A994" t="s">
        <v>992</v>
      </c>
      <c r="B994" t="s">
        <v>1544</v>
      </c>
      <c r="C994" t="s">
        <v>994</v>
      </c>
      <c r="D994">
        <v>702</v>
      </c>
      <c r="E994" s="128">
        <v>36526</v>
      </c>
      <c r="F994" s="128">
        <v>47483</v>
      </c>
      <c r="G9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702</v>
      </c>
      <c r="H994" s="128" t="str">
        <f t="shared" ca="1" si="15"/>
        <v>YES</v>
      </c>
      <c r="Q994" t="s">
        <v>1931</v>
      </c>
      <c r="R994">
        <v>48.607750000000003</v>
      </c>
    </row>
    <row r="995" spans="1:18">
      <c r="A995" t="s">
        <v>992</v>
      </c>
      <c r="B995" t="s">
        <v>1545</v>
      </c>
      <c r="C995" t="s">
        <v>1085</v>
      </c>
      <c r="D995">
        <v>819.45</v>
      </c>
      <c r="E995" s="128">
        <v>36526</v>
      </c>
      <c r="F995" s="128">
        <v>47483</v>
      </c>
      <c r="G9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721.1160000000001</v>
      </c>
      <c r="H995" s="128" t="str">
        <f t="shared" ca="1" si="15"/>
        <v>YES</v>
      </c>
      <c r="Q995" t="s">
        <v>1932</v>
      </c>
      <c r="R995">
        <v>15.064199999999998</v>
      </c>
    </row>
    <row r="996" spans="1:18">
      <c r="A996" t="s">
        <v>992</v>
      </c>
      <c r="B996" t="s">
        <v>258</v>
      </c>
      <c r="C996" t="s">
        <v>994</v>
      </c>
      <c r="D996">
        <v>1636</v>
      </c>
      <c r="E996" s="128">
        <v>36526</v>
      </c>
      <c r="F996" s="128">
        <v>42544</v>
      </c>
      <c r="G9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1636</v>
      </c>
      <c r="H996" s="128" t="str">
        <f t="shared" ca="1" si="15"/>
        <v>NO</v>
      </c>
      <c r="Q996" t="s">
        <v>1933</v>
      </c>
      <c r="R996">
        <v>56.950559999999996</v>
      </c>
    </row>
    <row r="997" spans="1:18">
      <c r="A997" t="s">
        <v>992</v>
      </c>
      <c r="B997" t="s">
        <v>258</v>
      </c>
      <c r="C997" t="s">
        <v>994</v>
      </c>
      <c r="D997">
        <v>1305</v>
      </c>
      <c r="E997" s="128">
        <v>42545</v>
      </c>
      <c r="F997" s="128">
        <v>47483</v>
      </c>
      <c r="G9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1305</v>
      </c>
      <c r="H997" s="128" t="str">
        <f t="shared" ca="1" si="15"/>
        <v>YES</v>
      </c>
      <c r="Q997" t="s">
        <v>1934</v>
      </c>
      <c r="R997">
        <v>48.37715</v>
      </c>
    </row>
    <row r="998" spans="1:18">
      <c r="A998" t="s">
        <v>992</v>
      </c>
      <c r="B998" t="s">
        <v>258</v>
      </c>
      <c r="C998" t="s">
        <v>994</v>
      </c>
      <c r="D998">
        <v>1240.3</v>
      </c>
      <c r="E998" s="128">
        <v>42736</v>
      </c>
      <c r="F998" s="128">
        <v>43100</v>
      </c>
      <c r="G9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1240.3</v>
      </c>
      <c r="H998" s="128" t="str">
        <f t="shared" ca="1" si="15"/>
        <v>NO</v>
      </c>
      <c r="Q998" t="s">
        <v>1935</v>
      </c>
      <c r="R998">
        <v>66.411969999999997</v>
      </c>
    </row>
    <row r="999" spans="1:18">
      <c r="A999" t="s">
        <v>992</v>
      </c>
      <c r="B999" t="s">
        <v>258</v>
      </c>
      <c r="C999" t="s">
        <v>994</v>
      </c>
      <c r="D999">
        <v>1179</v>
      </c>
      <c r="E999" s="128">
        <v>43101</v>
      </c>
      <c r="F999" s="128">
        <v>43434</v>
      </c>
      <c r="G9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1179</v>
      </c>
      <c r="H999" s="128" t="str">
        <f t="shared" ca="1" si="15"/>
        <v>NO</v>
      </c>
      <c r="Q999" t="s">
        <v>1936</v>
      </c>
      <c r="R999">
        <v>65.663929999999993</v>
      </c>
    </row>
    <row r="1000" spans="1:18">
      <c r="A1000" t="s">
        <v>992</v>
      </c>
      <c r="B1000" t="s">
        <v>258</v>
      </c>
      <c r="C1000" t="s">
        <v>994</v>
      </c>
      <c r="D1000">
        <v>1150</v>
      </c>
      <c r="E1000" s="128">
        <v>43435</v>
      </c>
      <c r="F1000" s="128">
        <v>47483</v>
      </c>
      <c r="G10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1150</v>
      </c>
      <c r="H1000" s="128" t="str">
        <f t="shared" ca="1" si="15"/>
        <v>YES</v>
      </c>
      <c r="Q1000" t="s">
        <v>1937</v>
      </c>
      <c r="R1000">
        <v>43.957450000000001</v>
      </c>
    </row>
    <row r="1001" spans="1:18">
      <c r="A1001" t="s">
        <v>992</v>
      </c>
      <c r="B1001" t="s">
        <v>258</v>
      </c>
      <c r="C1001" t="s">
        <v>994</v>
      </c>
      <c r="D1001">
        <v>1370.25</v>
      </c>
      <c r="E1001" s="128">
        <v>44835</v>
      </c>
      <c r="F1001" s="128">
        <v>45016</v>
      </c>
      <c r="G10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1370.25</v>
      </c>
      <c r="H1001" s="128" t="str">
        <f t="shared" ca="1" si="15"/>
        <v>NO</v>
      </c>
      <c r="Q1001" t="s">
        <v>1938</v>
      </c>
      <c r="R1001">
        <v>99.180800000000005</v>
      </c>
    </row>
    <row r="1002" spans="1:18">
      <c r="A1002" t="s">
        <v>992</v>
      </c>
      <c r="B1002" t="s">
        <v>1546</v>
      </c>
      <c r="C1002" t="s">
        <v>994</v>
      </c>
      <c r="D1002">
        <v>912</v>
      </c>
      <c r="E1002" s="128">
        <v>36526</v>
      </c>
      <c r="F1002" s="128">
        <v>43830</v>
      </c>
      <c r="G10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912</v>
      </c>
      <c r="H1002" s="128" t="str">
        <f t="shared" ca="1" si="15"/>
        <v>NO</v>
      </c>
      <c r="Q1002" t="s">
        <v>1939</v>
      </c>
      <c r="R1002">
        <v>23.08257</v>
      </c>
    </row>
    <row r="1003" spans="1:18">
      <c r="A1003" t="s">
        <v>992</v>
      </c>
      <c r="B1003" t="s">
        <v>1546</v>
      </c>
      <c r="C1003" t="s">
        <v>994</v>
      </c>
      <c r="D1003">
        <v>893.8</v>
      </c>
      <c r="E1003" s="128">
        <v>43831</v>
      </c>
      <c r="F1003" s="128">
        <v>44561</v>
      </c>
      <c r="G10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893.8</v>
      </c>
      <c r="H1003" s="128" t="str">
        <f t="shared" ca="1" si="15"/>
        <v>NO</v>
      </c>
      <c r="Q1003" t="s">
        <v>1940</v>
      </c>
      <c r="R1003">
        <v>49.65681</v>
      </c>
    </row>
    <row r="1004" spans="1:18">
      <c r="A1004" t="s">
        <v>992</v>
      </c>
      <c r="B1004" t="s">
        <v>1546</v>
      </c>
      <c r="C1004" t="s">
        <v>994</v>
      </c>
      <c r="D1004">
        <v>884.8</v>
      </c>
      <c r="E1004" s="128">
        <v>44562</v>
      </c>
      <c r="F1004" s="128">
        <v>44834</v>
      </c>
      <c r="G10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884.8</v>
      </c>
      <c r="H1004" s="128" t="str">
        <f t="shared" ca="1" si="15"/>
        <v>NO</v>
      </c>
      <c r="Q1004" t="s">
        <v>1941</v>
      </c>
      <c r="R1004">
        <v>33.471260000000001</v>
      </c>
    </row>
    <row r="1005" spans="1:18">
      <c r="A1005" t="s">
        <v>992</v>
      </c>
      <c r="B1005" t="s">
        <v>1546</v>
      </c>
      <c r="C1005" t="s">
        <v>994</v>
      </c>
      <c r="D1005">
        <v>929.04000000000008</v>
      </c>
      <c r="E1005" s="128">
        <v>44835</v>
      </c>
      <c r="F1005" s="128">
        <v>45016</v>
      </c>
      <c r="G10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929.04000000000008</v>
      </c>
      <c r="H1005" s="128" t="str">
        <f t="shared" ca="1" si="15"/>
        <v>NO</v>
      </c>
      <c r="Q1005" t="s">
        <v>1942</v>
      </c>
      <c r="R1005">
        <v>51.765779999999999</v>
      </c>
    </row>
    <row r="1006" spans="1:18">
      <c r="A1006" t="s">
        <v>992</v>
      </c>
      <c r="B1006" t="s">
        <v>1547</v>
      </c>
      <c r="C1006" t="s">
        <v>994</v>
      </c>
      <c r="D1006">
        <v>1121</v>
      </c>
      <c r="E1006" s="128">
        <v>36526</v>
      </c>
      <c r="F1006" s="128">
        <v>47483</v>
      </c>
      <c r="G10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1121</v>
      </c>
      <c r="H1006" s="128" t="str">
        <f t="shared" ca="1" si="15"/>
        <v>YES</v>
      </c>
      <c r="Q1006" t="s">
        <v>1943</v>
      </c>
      <c r="R1006">
        <v>1.9610799999999999</v>
      </c>
    </row>
    <row r="1007" spans="1:18">
      <c r="A1007" t="s">
        <v>992</v>
      </c>
      <c r="B1007" t="s">
        <v>1548</v>
      </c>
      <c r="C1007" t="s">
        <v>994</v>
      </c>
      <c r="D1007">
        <v>10000</v>
      </c>
      <c r="E1007" s="128">
        <v>36526</v>
      </c>
      <c r="F1007" s="128">
        <v>47483</v>
      </c>
      <c r="G10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10000</v>
      </c>
      <c r="H1007" s="128" t="str">
        <f t="shared" ca="1" si="15"/>
        <v>YES</v>
      </c>
      <c r="Q1007" t="s">
        <v>1944</v>
      </c>
      <c r="R1007">
        <v>28.819229999999997</v>
      </c>
    </row>
    <row r="1008" spans="1:18">
      <c r="A1008" t="s">
        <v>992</v>
      </c>
      <c r="B1008" t="s">
        <v>1549</v>
      </c>
      <c r="C1008" t="s">
        <v>994</v>
      </c>
      <c r="D1008">
        <v>691.48</v>
      </c>
      <c r="E1008" s="128">
        <v>36526</v>
      </c>
      <c r="F1008" s="128">
        <v>42735</v>
      </c>
      <c r="G10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691.48</v>
      </c>
      <c r="H1008" s="128" t="str">
        <f t="shared" ca="1" si="15"/>
        <v>NO</v>
      </c>
      <c r="Q1008" t="s">
        <v>1945</v>
      </c>
      <c r="R1008">
        <v>2.8835999999999999</v>
      </c>
    </row>
    <row r="1009" spans="1:18">
      <c r="A1009" t="s">
        <v>992</v>
      </c>
      <c r="B1009" t="s">
        <v>1549</v>
      </c>
      <c r="C1009" t="s">
        <v>994</v>
      </c>
      <c r="D1009">
        <v>663.82</v>
      </c>
      <c r="E1009" s="128">
        <v>42736</v>
      </c>
      <c r="F1009" s="128">
        <v>43100</v>
      </c>
      <c r="G10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663.82</v>
      </c>
      <c r="H1009" s="128" t="str">
        <f t="shared" ca="1" si="15"/>
        <v>NO</v>
      </c>
      <c r="Q1009" t="s">
        <v>1946</v>
      </c>
      <c r="R1009">
        <v>2.0855000000000001</v>
      </c>
    </row>
    <row r="1010" spans="1:18">
      <c r="A1010" t="s">
        <v>992</v>
      </c>
      <c r="B1010" t="s">
        <v>1549</v>
      </c>
      <c r="C1010" t="s">
        <v>994</v>
      </c>
      <c r="D1010">
        <v>637.2672</v>
      </c>
      <c r="E1010" s="128">
        <v>43101</v>
      </c>
      <c r="F1010" s="128">
        <v>43465</v>
      </c>
      <c r="G10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637.2672</v>
      </c>
      <c r="H1010" s="128" t="str">
        <f t="shared" ca="1" si="15"/>
        <v>NO</v>
      </c>
      <c r="Q1010" t="s">
        <v>1947</v>
      </c>
      <c r="R1010">
        <v>2.8824999999999998</v>
      </c>
    </row>
    <row r="1011" spans="1:18">
      <c r="A1011" t="s">
        <v>992</v>
      </c>
      <c r="B1011" t="s">
        <v>1549</v>
      </c>
      <c r="C1011" t="s">
        <v>994</v>
      </c>
      <c r="D1011">
        <v>627.70000000000005</v>
      </c>
      <c r="E1011" s="128">
        <v>43482</v>
      </c>
      <c r="F1011" s="128">
        <v>47483</v>
      </c>
      <c r="G10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627.70000000000005</v>
      </c>
      <c r="H1011" s="128" t="str">
        <f t="shared" ca="1" si="15"/>
        <v>YES</v>
      </c>
      <c r="Q1011" t="s">
        <v>1948</v>
      </c>
      <c r="R1011">
        <v>5.8001199999999997</v>
      </c>
    </row>
    <row r="1012" spans="1:18">
      <c r="A1012" t="s">
        <v>992</v>
      </c>
      <c r="B1012" t="s">
        <v>1550</v>
      </c>
      <c r="C1012" t="s">
        <v>994</v>
      </c>
      <c r="D1012">
        <v>911</v>
      </c>
      <c r="E1012" s="128">
        <v>36526</v>
      </c>
      <c r="F1012" s="128">
        <v>43646</v>
      </c>
      <c r="G10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911</v>
      </c>
      <c r="H1012" s="128" t="str">
        <f t="shared" ca="1" si="15"/>
        <v>NO</v>
      </c>
      <c r="Q1012" t="s">
        <v>1949</v>
      </c>
      <c r="R1012">
        <v>32.666449999999998</v>
      </c>
    </row>
    <row r="1013" spans="1:18">
      <c r="A1013" t="s">
        <v>992</v>
      </c>
      <c r="B1013" t="s">
        <v>1550</v>
      </c>
      <c r="C1013" t="s">
        <v>994</v>
      </c>
      <c r="D1013">
        <v>965.99999999999989</v>
      </c>
      <c r="E1013" s="128">
        <v>43647</v>
      </c>
      <c r="F1013" s="128">
        <v>44834</v>
      </c>
      <c r="G10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965.99999999999989</v>
      </c>
      <c r="H1013" s="128" t="str">
        <f t="shared" ca="1" si="15"/>
        <v>NO</v>
      </c>
      <c r="Q1013" t="s">
        <v>1950</v>
      </c>
      <c r="R1013">
        <v>1.9609099999999999</v>
      </c>
    </row>
    <row r="1014" spans="1:18">
      <c r="A1014" t="s">
        <v>992</v>
      </c>
      <c r="B1014" t="s">
        <v>1550</v>
      </c>
      <c r="C1014" t="s">
        <v>994</v>
      </c>
      <c r="D1014">
        <v>1014.3</v>
      </c>
      <c r="E1014" s="128">
        <v>44835</v>
      </c>
      <c r="F1014" s="128">
        <v>45016</v>
      </c>
      <c r="G10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1014.3</v>
      </c>
      <c r="H1014" s="128" t="str">
        <f t="shared" ca="1" si="15"/>
        <v>NO</v>
      </c>
      <c r="Q1014" t="s">
        <v>1951</v>
      </c>
      <c r="R1014">
        <v>12.968769999999999</v>
      </c>
    </row>
    <row r="1015" spans="1:18">
      <c r="A1015" t="s">
        <v>992</v>
      </c>
      <c r="B1015" t="s">
        <v>1551</v>
      </c>
      <c r="C1015" t="s">
        <v>994</v>
      </c>
      <c r="D1015">
        <v>149</v>
      </c>
      <c r="E1015" s="128">
        <v>36526</v>
      </c>
      <c r="F1015" s="128">
        <v>44227</v>
      </c>
      <c r="G10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149</v>
      </c>
      <c r="H1015" s="128" t="str">
        <f t="shared" ca="1" si="15"/>
        <v>NO</v>
      </c>
      <c r="Q1015" t="s">
        <v>1952</v>
      </c>
      <c r="R1015">
        <v>24.982289999999999</v>
      </c>
    </row>
    <row r="1016" spans="1:18">
      <c r="A1016" t="s">
        <v>992</v>
      </c>
      <c r="B1016" t="s">
        <v>1551</v>
      </c>
      <c r="C1016" t="s">
        <v>994</v>
      </c>
      <c r="D1016">
        <v>255</v>
      </c>
      <c r="E1016" s="128">
        <v>43862</v>
      </c>
      <c r="F1016" s="128">
        <v>54789</v>
      </c>
      <c r="G10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</v>
      </c>
      <c r="H1016" s="128" t="str">
        <f t="shared" ca="1" si="15"/>
        <v>YES</v>
      </c>
      <c r="Q1016" t="s">
        <v>1953</v>
      </c>
      <c r="R1016">
        <v>34.590000000000003</v>
      </c>
    </row>
    <row r="1017" spans="1:18">
      <c r="A1017" t="s">
        <v>992</v>
      </c>
      <c r="B1017" t="s">
        <v>1552</v>
      </c>
      <c r="C1017" t="s">
        <v>994</v>
      </c>
      <c r="D1017">
        <v>230.00000000000003</v>
      </c>
      <c r="E1017" s="128">
        <v>36526</v>
      </c>
      <c r="F1017" s="128">
        <v>44987</v>
      </c>
      <c r="G10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230.00000000000003</v>
      </c>
      <c r="H1017" s="128" t="str">
        <f t="shared" ca="1" si="15"/>
        <v>NO</v>
      </c>
      <c r="Q1017" t="s">
        <v>1954</v>
      </c>
      <c r="R1017">
        <v>34.590000000000003</v>
      </c>
    </row>
    <row r="1018" spans="1:18">
      <c r="A1018" t="s">
        <v>992</v>
      </c>
      <c r="B1018" t="s">
        <v>1552</v>
      </c>
      <c r="C1018" t="s">
        <v>994</v>
      </c>
      <c r="D1018">
        <v>350</v>
      </c>
      <c r="E1018" s="128">
        <v>44988</v>
      </c>
      <c r="F1018" s="128">
        <v>54834</v>
      </c>
      <c r="G10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1018" s="128" t="str">
        <f t="shared" ca="1" si="15"/>
        <v>YES</v>
      </c>
      <c r="Q1018" t="s">
        <v>1955</v>
      </c>
      <c r="R1018">
        <v>4.8431600000000001</v>
      </c>
    </row>
    <row r="1019" spans="1:18">
      <c r="A1019" t="s">
        <v>992</v>
      </c>
      <c r="B1019" t="s">
        <v>259</v>
      </c>
      <c r="C1019" t="s">
        <v>994</v>
      </c>
      <c r="D1019">
        <v>310</v>
      </c>
      <c r="E1019" s="128">
        <v>36526</v>
      </c>
      <c r="F1019" s="128">
        <v>44834</v>
      </c>
      <c r="G10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310</v>
      </c>
      <c r="H1019" s="128" t="str">
        <f t="shared" ca="1" si="15"/>
        <v>NO</v>
      </c>
      <c r="Q1019" t="s">
        <v>1956</v>
      </c>
      <c r="R1019">
        <v>29.785450000000001</v>
      </c>
    </row>
    <row r="1020" spans="1:18">
      <c r="A1020" t="s">
        <v>992</v>
      </c>
      <c r="B1020" t="s">
        <v>259</v>
      </c>
      <c r="C1020" t="s">
        <v>994</v>
      </c>
      <c r="D1020">
        <v>325.5</v>
      </c>
      <c r="E1020" s="128">
        <v>44835</v>
      </c>
      <c r="F1020" s="128">
        <v>45016</v>
      </c>
      <c r="G10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325.5</v>
      </c>
      <c r="H1020" s="128" t="str">
        <f t="shared" ca="1" si="15"/>
        <v>NO</v>
      </c>
      <c r="Q1020" t="s">
        <v>1957</v>
      </c>
      <c r="R1020">
        <v>10.5684</v>
      </c>
    </row>
    <row r="1021" spans="1:18">
      <c r="A1021" t="s">
        <v>992</v>
      </c>
      <c r="B1021" t="s">
        <v>1553</v>
      </c>
      <c r="C1021" t="s">
        <v>994</v>
      </c>
      <c r="D1021">
        <v>925.2</v>
      </c>
      <c r="E1021" s="128">
        <v>42736</v>
      </c>
      <c r="F1021" s="128">
        <v>43100</v>
      </c>
      <c r="G10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925.2</v>
      </c>
      <c r="H1021" s="128" t="str">
        <f t="shared" ca="1" si="15"/>
        <v>NO</v>
      </c>
      <c r="Q1021" t="s">
        <v>1958</v>
      </c>
      <c r="R1021">
        <v>43.231369999999998</v>
      </c>
    </row>
    <row r="1022" spans="1:18">
      <c r="A1022" t="s">
        <v>992</v>
      </c>
      <c r="B1022" t="s">
        <v>1553</v>
      </c>
      <c r="C1022" t="s">
        <v>994</v>
      </c>
      <c r="D1022">
        <v>915.9</v>
      </c>
      <c r="E1022" s="128">
        <v>43101</v>
      </c>
      <c r="F1022" s="128">
        <v>43465</v>
      </c>
      <c r="G10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915.9</v>
      </c>
      <c r="H1022" s="128" t="str">
        <f t="shared" ca="1" si="15"/>
        <v>NO</v>
      </c>
      <c r="Q1022" t="s">
        <v>1959</v>
      </c>
      <c r="R1022">
        <v>1.96086</v>
      </c>
    </row>
    <row r="1023" spans="1:18">
      <c r="A1023" t="s">
        <v>992</v>
      </c>
      <c r="B1023" t="s">
        <v>1553</v>
      </c>
      <c r="C1023" t="s">
        <v>994</v>
      </c>
      <c r="D1023">
        <v>884</v>
      </c>
      <c r="E1023" s="128">
        <v>43466</v>
      </c>
      <c r="F1023" s="128">
        <v>43830</v>
      </c>
      <c r="G10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884</v>
      </c>
      <c r="H1023" s="128" t="str">
        <f t="shared" ca="1" si="15"/>
        <v>NO</v>
      </c>
      <c r="Q1023" t="s">
        <v>1960</v>
      </c>
      <c r="R1023">
        <v>1.9612000000000001</v>
      </c>
    </row>
    <row r="1024" spans="1:18">
      <c r="A1024" t="s">
        <v>992</v>
      </c>
      <c r="B1024" t="s">
        <v>1553</v>
      </c>
      <c r="C1024" t="s">
        <v>994</v>
      </c>
      <c r="D1024">
        <v>880</v>
      </c>
      <c r="E1024" s="128">
        <v>43831</v>
      </c>
      <c r="F1024" s="128">
        <v>44196</v>
      </c>
      <c r="G10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880</v>
      </c>
      <c r="H1024" s="128" t="str">
        <f t="shared" ca="1" si="15"/>
        <v>NO</v>
      </c>
      <c r="Q1024" t="s">
        <v>1961</v>
      </c>
      <c r="R1024">
        <v>20.172540000000001</v>
      </c>
    </row>
    <row r="1025" spans="1:18">
      <c r="A1025" t="s">
        <v>992</v>
      </c>
      <c r="B1025" t="s">
        <v>1553</v>
      </c>
      <c r="C1025" t="s">
        <v>994</v>
      </c>
      <c r="D1025">
        <v>865</v>
      </c>
      <c r="E1025" s="128">
        <v>44197</v>
      </c>
      <c r="F1025" s="128">
        <v>44834</v>
      </c>
      <c r="G10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865</v>
      </c>
      <c r="H1025" s="128" t="str">
        <f t="shared" ca="1" si="15"/>
        <v>NO</v>
      </c>
      <c r="Q1025" t="s">
        <v>1962</v>
      </c>
      <c r="R1025">
        <v>1.9602299999999999</v>
      </c>
    </row>
    <row r="1026" spans="1:18">
      <c r="A1026" t="s">
        <v>992</v>
      </c>
      <c r="B1026" t="s">
        <v>1553</v>
      </c>
      <c r="C1026" t="s">
        <v>994</v>
      </c>
      <c r="D1026">
        <v>908.25000000000011</v>
      </c>
      <c r="E1026" s="128">
        <v>44835</v>
      </c>
      <c r="F1026" s="128">
        <v>45016</v>
      </c>
      <c r="G10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908.25000000000011</v>
      </c>
      <c r="H1026" s="128" t="str">
        <f t="shared" ref="H1026:H1089" ca="1" si="16">IF(OR(F1026=0,F1026&gt;TODAY()),"YES","NO")</f>
        <v>NO</v>
      </c>
      <c r="Q1026" t="s">
        <v>1963</v>
      </c>
      <c r="R1026">
        <v>97.668779999999998</v>
      </c>
    </row>
    <row r="1027" spans="1:18">
      <c r="A1027" t="s">
        <v>992</v>
      </c>
      <c r="B1027" t="s">
        <v>1554</v>
      </c>
      <c r="C1027" t="s">
        <v>994</v>
      </c>
      <c r="D1027">
        <v>565</v>
      </c>
      <c r="E1027" s="128">
        <v>36526</v>
      </c>
      <c r="F1027" s="128">
        <v>43100</v>
      </c>
      <c r="G10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565</v>
      </c>
      <c r="H1027" s="128" t="str">
        <f t="shared" ca="1" si="16"/>
        <v>NO</v>
      </c>
      <c r="Q1027" t="s">
        <v>1964</v>
      </c>
      <c r="R1027">
        <v>161.86836</v>
      </c>
    </row>
    <row r="1028" spans="1:18">
      <c r="A1028" t="s">
        <v>992</v>
      </c>
      <c r="B1028" t="s">
        <v>1554</v>
      </c>
      <c r="C1028" t="s">
        <v>994</v>
      </c>
      <c r="D1028">
        <v>542.4</v>
      </c>
      <c r="E1028" s="128">
        <v>43101</v>
      </c>
      <c r="F1028" s="128">
        <v>43465</v>
      </c>
      <c r="G10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542.4</v>
      </c>
      <c r="H1028" s="128" t="str">
        <f t="shared" ca="1" si="16"/>
        <v>NO</v>
      </c>
      <c r="Q1028" t="s">
        <v>1965</v>
      </c>
      <c r="R1028">
        <v>93.904510000000002</v>
      </c>
    </row>
    <row r="1029" spans="1:18">
      <c r="A1029" t="s">
        <v>992</v>
      </c>
      <c r="B1029" t="s">
        <v>1554</v>
      </c>
      <c r="C1029" t="s">
        <v>994</v>
      </c>
      <c r="D1029">
        <v>531.54999999999995</v>
      </c>
      <c r="E1029" s="128">
        <v>43466</v>
      </c>
      <c r="F1029" s="128">
        <v>43657</v>
      </c>
      <c r="G10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531.54999999999995</v>
      </c>
      <c r="H1029" s="128" t="str">
        <f t="shared" ca="1" si="16"/>
        <v>NO</v>
      </c>
      <c r="Q1029" t="s">
        <v>1966</v>
      </c>
      <c r="R1029">
        <v>96.790469999999985</v>
      </c>
    </row>
    <row r="1030" spans="1:18">
      <c r="A1030" t="s">
        <v>992</v>
      </c>
      <c r="B1030" t="s">
        <v>1554</v>
      </c>
      <c r="C1030" t="s">
        <v>994</v>
      </c>
      <c r="D1030">
        <v>621.59999999999991</v>
      </c>
      <c r="E1030" s="128">
        <v>43658</v>
      </c>
      <c r="F1030" s="128">
        <v>47483</v>
      </c>
      <c r="G10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621.59999999999991</v>
      </c>
      <c r="H1030" s="128" t="str">
        <f t="shared" ca="1" si="16"/>
        <v>YES</v>
      </c>
      <c r="Q1030" t="s">
        <v>1967</v>
      </c>
      <c r="R1030">
        <v>82.364820000000009</v>
      </c>
    </row>
    <row r="1031" spans="1:18">
      <c r="A1031" t="s">
        <v>992</v>
      </c>
      <c r="B1031" t="s">
        <v>1555</v>
      </c>
      <c r="C1031" t="s">
        <v>994</v>
      </c>
      <c r="D1031">
        <v>1801</v>
      </c>
      <c r="E1031" s="128">
        <v>36526</v>
      </c>
      <c r="F1031" s="128">
        <v>47483</v>
      </c>
      <c r="G10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1801</v>
      </c>
      <c r="H1031" s="128" t="str">
        <f t="shared" ca="1" si="16"/>
        <v>YES</v>
      </c>
      <c r="Q1031" t="s">
        <v>1968</v>
      </c>
      <c r="R1031">
        <v>60.889000000000003</v>
      </c>
    </row>
    <row r="1032" spans="1:18">
      <c r="A1032" t="s">
        <v>992</v>
      </c>
      <c r="B1032" t="s">
        <v>1556</v>
      </c>
      <c r="C1032" t="s">
        <v>994</v>
      </c>
      <c r="D1032">
        <v>1079</v>
      </c>
      <c r="E1032" s="128">
        <v>36526</v>
      </c>
      <c r="F1032" s="128">
        <v>47483</v>
      </c>
      <c r="G10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1079</v>
      </c>
      <c r="H1032" s="128" t="str">
        <f t="shared" ca="1" si="16"/>
        <v>YES</v>
      </c>
      <c r="Q1032" t="s">
        <v>1969</v>
      </c>
      <c r="R1032">
        <v>62.860640000000004</v>
      </c>
    </row>
    <row r="1033" spans="1:18">
      <c r="A1033" t="s">
        <v>992</v>
      </c>
      <c r="B1033" t="s">
        <v>1557</v>
      </c>
      <c r="C1033" t="s">
        <v>994</v>
      </c>
      <c r="D1033">
        <v>1500</v>
      </c>
      <c r="E1033" s="128">
        <v>36526</v>
      </c>
      <c r="F1033" s="128">
        <v>44797</v>
      </c>
      <c r="G10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1500</v>
      </c>
      <c r="H1033" s="128" t="str">
        <f t="shared" ca="1" si="16"/>
        <v>NO</v>
      </c>
      <c r="Q1033" t="s">
        <v>1970</v>
      </c>
      <c r="R1033">
        <v>67.664389999999997</v>
      </c>
    </row>
    <row r="1034" spans="1:18">
      <c r="A1034" t="s">
        <v>992</v>
      </c>
      <c r="B1034" t="s">
        <v>1557</v>
      </c>
      <c r="C1034" t="s">
        <v>994</v>
      </c>
      <c r="D1034">
        <v>1620.0000000000002</v>
      </c>
      <c r="E1034" s="128">
        <v>44798</v>
      </c>
      <c r="F1034" s="128">
        <v>47483</v>
      </c>
      <c r="G10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1620.0000000000002</v>
      </c>
      <c r="H1034" s="128" t="str">
        <f t="shared" ca="1" si="16"/>
        <v>YES</v>
      </c>
      <c r="Q1034" t="s">
        <v>1971</v>
      </c>
      <c r="R1034">
        <v>81.108829999999998</v>
      </c>
    </row>
    <row r="1035" spans="1:18">
      <c r="A1035" t="s">
        <v>992</v>
      </c>
      <c r="B1035" t="s">
        <v>1558</v>
      </c>
      <c r="C1035" t="s">
        <v>994</v>
      </c>
      <c r="D1035">
        <v>843</v>
      </c>
      <c r="E1035" s="128">
        <v>36526</v>
      </c>
      <c r="F1035" s="128">
        <v>47483</v>
      </c>
      <c r="G10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843</v>
      </c>
      <c r="H1035" s="128" t="str">
        <f t="shared" ca="1" si="16"/>
        <v>YES</v>
      </c>
      <c r="Q1035" t="s">
        <v>1972</v>
      </c>
      <c r="R1035">
        <v>99.396429999999995</v>
      </c>
    </row>
    <row r="1036" spans="1:18">
      <c r="A1036" t="s">
        <v>992</v>
      </c>
      <c r="B1036" t="s">
        <v>1559</v>
      </c>
      <c r="C1036" t="s">
        <v>994</v>
      </c>
      <c r="D1036">
        <v>4731</v>
      </c>
      <c r="E1036" s="128">
        <v>36526</v>
      </c>
      <c r="F1036" s="128">
        <v>47483</v>
      </c>
      <c r="G10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4731</v>
      </c>
      <c r="H1036" s="128" t="str">
        <f t="shared" ca="1" si="16"/>
        <v>YES</v>
      </c>
      <c r="Q1036" t="s">
        <v>1973</v>
      </c>
      <c r="R1036">
        <v>70.141229999999993</v>
      </c>
    </row>
    <row r="1037" spans="1:18">
      <c r="A1037" t="s">
        <v>992</v>
      </c>
      <c r="B1037" t="s">
        <v>1560</v>
      </c>
      <c r="C1037" t="s">
        <v>994</v>
      </c>
      <c r="D1037">
        <v>1400</v>
      </c>
      <c r="E1037" s="128">
        <v>36526</v>
      </c>
      <c r="F1037" s="128">
        <v>47483</v>
      </c>
      <c r="G10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1400</v>
      </c>
      <c r="H1037" s="128" t="str">
        <f t="shared" ca="1" si="16"/>
        <v>YES</v>
      </c>
      <c r="Q1037" t="s">
        <v>1974</v>
      </c>
      <c r="R1037">
        <v>129.33623</v>
      </c>
    </row>
    <row r="1038" spans="1:18">
      <c r="A1038" t="s">
        <v>992</v>
      </c>
      <c r="B1038" t="s">
        <v>1560</v>
      </c>
      <c r="C1038" t="s">
        <v>994</v>
      </c>
      <c r="D1038">
        <v>1300</v>
      </c>
      <c r="E1038" s="128">
        <v>36526</v>
      </c>
      <c r="F1038" s="128">
        <v>47483</v>
      </c>
      <c r="G10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1300</v>
      </c>
      <c r="H1038" s="128" t="str">
        <f t="shared" ca="1" si="16"/>
        <v>YES</v>
      </c>
      <c r="Q1038" t="s">
        <v>1975</v>
      </c>
      <c r="R1038">
        <v>1.96086</v>
      </c>
    </row>
    <row r="1039" spans="1:18">
      <c r="A1039" t="s">
        <v>992</v>
      </c>
      <c r="B1039" t="s">
        <v>1560</v>
      </c>
      <c r="C1039" t="s">
        <v>994</v>
      </c>
      <c r="D1039">
        <v>1058</v>
      </c>
      <c r="E1039" s="128">
        <v>36526</v>
      </c>
      <c r="F1039" s="128">
        <v>47483</v>
      </c>
      <c r="G10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1058</v>
      </c>
      <c r="H1039" s="128" t="str">
        <f t="shared" ca="1" si="16"/>
        <v>YES</v>
      </c>
      <c r="Q1039" t="s">
        <v>1976</v>
      </c>
      <c r="R1039">
        <v>314.75200999999998</v>
      </c>
    </row>
    <row r="1040" spans="1:18">
      <c r="A1040" t="s">
        <v>992</v>
      </c>
      <c r="B1040" t="s">
        <v>260</v>
      </c>
      <c r="C1040" t="s">
        <v>994</v>
      </c>
      <c r="D1040">
        <v>1852</v>
      </c>
      <c r="E1040" s="128">
        <v>36526</v>
      </c>
      <c r="F1040" s="128">
        <v>43434</v>
      </c>
      <c r="G10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1852</v>
      </c>
      <c r="H1040" s="128" t="str">
        <f t="shared" ca="1" si="16"/>
        <v>NO</v>
      </c>
      <c r="Q1040" t="s">
        <v>1977</v>
      </c>
      <c r="R1040">
        <v>116.09732000000001</v>
      </c>
    </row>
    <row r="1041" spans="1:18">
      <c r="A1041" t="s">
        <v>992</v>
      </c>
      <c r="B1041" t="s">
        <v>260</v>
      </c>
      <c r="C1041" t="s">
        <v>994</v>
      </c>
      <c r="D1041">
        <v>1815</v>
      </c>
      <c r="E1041" s="128">
        <v>43435</v>
      </c>
      <c r="F1041" s="128">
        <v>47483</v>
      </c>
      <c r="G10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1815</v>
      </c>
      <c r="H1041" s="128" t="str">
        <f t="shared" ca="1" si="16"/>
        <v>YES</v>
      </c>
      <c r="Q1041" t="s">
        <v>1978</v>
      </c>
      <c r="R1041">
        <v>0.96045000000000003</v>
      </c>
    </row>
    <row r="1042" spans="1:18">
      <c r="A1042" t="s">
        <v>992</v>
      </c>
      <c r="B1042" t="s">
        <v>1091</v>
      </c>
      <c r="C1042" t="s">
        <v>994</v>
      </c>
      <c r="D1042">
        <v>1895</v>
      </c>
      <c r="E1042" s="128">
        <v>44824</v>
      </c>
      <c r="F1042" s="128">
        <v>44834</v>
      </c>
      <c r="G10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1895</v>
      </c>
      <c r="H1042" s="128" t="str">
        <f t="shared" ca="1" si="16"/>
        <v>NO</v>
      </c>
      <c r="Q1042" t="s">
        <v>1979</v>
      </c>
      <c r="R1042">
        <v>0.95699000000000001</v>
      </c>
    </row>
    <row r="1043" spans="1:18">
      <c r="A1043" t="s">
        <v>992</v>
      </c>
      <c r="B1043" t="s">
        <v>1091</v>
      </c>
      <c r="C1043" t="s">
        <v>994</v>
      </c>
      <c r="D1043">
        <v>1989.0000000000002</v>
      </c>
      <c r="E1043" s="128">
        <v>44835</v>
      </c>
      <c r="F1043" s="128">
        <v>44971</v>
      </c>
      <c r="G10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1989.0000000000002</v>
      </c>
      <c r="H1043" s="128" t="str">
        <f t="shared" ca="1" si="16"/>
        <v>NO</v>
      </c>
      <c r="Q1043" t="s">
        <v>1980</v>
      </c>
      <c r="R1043">
        <v>135.98708000000002</v>
      </c>
    </row>
    <row r="1044" spans="1:18">
      <c r="A1044" t="s">
        <v>992</v>
      </c>
      <c r="B1044" t="s">
        <v>1091</v>
      </c>
      <c r="C1044" t="s">
        <v>994</v>
      </c>
      <c r="D1044">
        <v>1999.9999999999998</v>
      </c>
      <c r="E1044" s="128">
        <v>44972</v>
      </c>
      <c r="F1044" s="128">
        <v>45412</v>
      </c>
      <c r="G10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1999.9999999999998</v>
      </c>
      <c r="H1044" s="128" t="str">
        <f t="shared" ca="1" si="16"/>
        <v>NO</v>
      </c>
      <c r="Q1044" t="s">
        <v>1981</v>
      </c>
      <c r="R1044">
        <v>315.67440999999997</v>
      </c>
    </row>
    <row r="1045" spans="1:18">
      <c r="A1045" t="s">
        <v>992</v>
      </c>
      <c r="B1045" t="s">
        <v>1561</v>
      </c>
      <c r="C1045" t="s">
        <v>994</v>
      </c>
      <c r="D1045">
        <v>1472</v>
      </c>
      <c r="E1045" s="128">
        <v>36526</v>
      </c>
      <c r="F1045" s="128">
        <v>44971</v>
      </c>
      <c r="G10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1472</v>
      </c>
      <c r="H1045" s="128" t="str">
        <f t="shared" ca="1" si="16"/>
        <v>NO</v>
      </c>
      <c r="Q1045" t="s">
        <v>1982</v>
      </c>
      <c r="R1045">
        <v>3.8625500000000001</v>
      </c>
    </row>
    <row r="1046" spans="1:18">
      <c r="A1046" t="s">
        <v>992</v>
      </c>
      <c r="B1046" t="s">
        <v>1561</v>
      </c>
      <c r="C1046" t="s">
        <v>994</v>
      </c>
      <c r="D1046">
        <v>1600</v>
      </c>
      <c r="E1046" s="128">
        <v>44972</v>
      </c>
      <c r="F1046" s="128">
        <v>45016</v>
      </c>
      <c r="G10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1600</v>
      </c>
      <c r="H1046" s="128" t="str">
        <f t="shared" ca="1" si="16"/>
        <v>NO</v>
      </c>
      <c r="Q1046" t="s">
        <v>1983</v>
      </c>
      <c r="R1046">
        <v>2.0519400000000001</v>
      </c>
    </row>
    <row r="1047" spans="1:18">
      <c r="A1047" t="s">
        <v>992</v>
      </c>
      <c r="B1047" t="s">
        <v>1562</v>
      </c>
      <c r="C1047" t="s">
        <v>994</v>
      </c>
      <c r="D1047">
        <v>1229</v>
      </c>
      <c r="E1047" s="128">
        <v>36526</v>
      </c>
      <c r="F1047" s="128">
        <v>47483</v>
      </c>
      <c r="G10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1229</v>
      </c>
      <c r="H1047" s="128" t="str">
        <f t="shared" ca="1" si="16"/>
        <v>YES</v>
      </c>
      <c r="Q1047" t="s">
        <v>1984</v>
      </c>
      <c r="R1047">
        <v>1.9610799999999999</v>
      </c>
    </row>
    <row r="1048" spans="1:18">
      <c r="A1048" t="s">
        <v>992</v>
      </c>
      <c r="B1048" t="s">
        <v>1563</v>
      </c>
      <c r="C1048" t="s">
        <v>994</v>
      </c>
      <c r="D1048">
        <v>1890</v>
      </c>
      <c r="E1048" s="128">
        <v>43831</v>
      </c>
      <c r="F1048" s="128">
        <v>51501</v>
      </c>
      <c r="G10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1890</v>
      </c>
      <c r="H1048" s="128" t="str">
        <f t="shared" ca="1" si="16"/>
        <v>YES</v>
      </c>
      <c r="Q1048" t="s">
        <v>1985</v>
      </c>
      <c r="R1048">
        <v>1.9603999999999999</v>
      </c>
    </row>
    <row r="1049" spans="1:18">
      <c r="A1049" t="s">
        <v>992</v>
      </c>
      <c r="B1049" t="s">
        <v>1564</v>
      </c>
      <c r="C1049" t="s">
        <v>994</v>
      </c>
      <c r="D1049">
        <v>1690.9999999999998</v>
      </c>
      <c r="E1049" s="128">
        <v>36526</v>
      </c>
      <c r="F1049" s="128">
        <v>47483</v>
      </c>
      <c r="G10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1690.9999999999998</v>
      </c>
      <c r="H1049" s="128" t="str">
        <f t="shared" ca="1" si="16"/>
        <v>YES</v>
      </c>
      <c r="Q1049" t="s">
        <v>1986</v>
      </c>
      <c r="R1049">
        <v>105.26501</v>
      </c>
    </row>
    <row r="1050" spans="1:18">
      <c r="A1050" t="s">
        <v>992</v>
      </c>
      <c r="B1050" t="s">
        <v>1565</v>
      </c>
      <c r="C1050" t="s">
        <v>994</v>
      </c>
      <c r="D1050">
        <v>1100</v>
      </c>
      <c r="E1050" s="128">
        <v>36526</v>
      </c>
      <c r="F1050" s="128">
        <v>47483</v>
      </c>
      <c r="G10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1100</v>
      </c>
      <c r="H1050" s="128" t="str">
        <f t="shared" ca="1" si="16"/>
        <v>YES</v>
      </c>
      <c r="Q1050" t="s">
        <v>1987</v>
      </c>
      <c r="R1050">
        <v>0.95699000000000001</v>
      </c>
    </row>
    <row r="1051" spans="1:18">
      <c r="A1051" t="s">
        <v>992</v>
      </c>
      <c r="B1051" t="s">
        <v>1565</v>
      </c>
      <c r="C1051" t="s">
        <v>994</v>
      </c>
      <c r="D1051">
        <v>1155</v>
      </c>
      <c r="E1051" s="128">
        <v>43101</v>
      </c>
      <c r="F1051" s="128">
        <v>54789</v>
      </c>
      <c r="G10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1155</v>
      </c>
      <c r="H1051" s="128" t="str">
        <f t="shared" ca="1" si="16"/>
        <v>YES</v>
      </c>
      <c r="Q1051" t="s">
        <v>1988</v>
      </c>
      <c r="R1051">
        <v>0.95699000000000001</v>
      </c>
    </row>
    <row r="1052" spans="1:18">
      <c r="A1052" t="s">
        <v>992</v>
      </c>
      <c r="B1052" t="s">
        <v>1565</v>
      </c>
      <c r="C1052" t="s">
        <v>994</v>
      </c>
      <c r="D1052">
        <v>1100</v>
      </c>
      <c r="E1052" s="128">
        <v>43101</v>
      </c>
      <c r="F1052" s="128">
        <v>54789</v>
      </c>
      <c r="G10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1100</v>
      </c>
      <c r="H1052" s="128" t="str">
        <f t="shared" ca="1" si="16"/>
        <v>YES</v>
      </c>
      <c r="Q1052" t="s">
        <v>1989</v>
      </c>
      <c r="R1052">
        <v>0.95699000000000001</v>
      </c>
    </row>
    <row r="1053" spans="1:18">
      <c r="A1053" t="s">
        <v>992</v>
      </c>
      <c r="B1053" t="s">
        <v>1566</v>
      </c>
      <c r="C1053" t="s">
        <v>994</v>
      </c>
      <c r="D1053">
        <v>999.99999999999989</v>
      </c>
      <c r="E1053" s="128">
        <v>36526</v>
      </c>
      <c r="F1053" s="128">
        <v>47483</v>
      </c>
      <c r="G10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999.99999999999989</v>
      </c>
      <c r="H1053" s="128" t="str">
        <f t="shared" ca="1" si="16"/>
        <v>YES</v>
      </c>
      <c r="Q1053" t="s">
        <v>1990</v>
      </c>
      <c r="R1053">
        <v>67.216340000000002</v>
      </c>
    </row>
    <row r="1054" spans="1:18">
      <c r="A1054" t="s">
        <v>992</v>
      </c>
      <c r="B1054" t="s">
        <v>1566</v>
      </c>
      <c r="C1054" t="s">
        <v>994</v>
      </c>
      <c r="D1054">
        <v>956</v>
      </c>
      <c r="E1054" s="128">
        <v>43776</v>
      </c>
      <c r="F1054" s="128">
        <v>43851</v>
      </c>
      <c r="G10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956</v>
      </c>
      <c r="H1054" s="128" t="str">
        <f t="shared" ca="1" si="16"/>
        <v>NO</v>
      </c>
      <c r="Q1054" t="s">
        <v>1991</v>
      </c>
      <c r="R1054">
        <v>244.50261</v>
      </c>
    </row>
    <row r="1055" spans="1:18">
      <c r="A1055" t="s">
        <v>992</v>
      </c>
      <c r="B1055" t="s">
        <v>1566</v>
      </c>
      <c r="C1055" t="s">
        <v>994</v>
      </c>
      <c r="D1055">
        <v>1062.5</v>
      </c>
      <c r="E1055" s="128">
        <v>43852</v>
      </c>
      <c r="F1055" s="128">
        <v>47483</v>
      </c>
      <c r="G10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1062.5</v>
      </c>
      <c r="H1055" s="128" t="str">
        <f t="shared" ca="1" si="16"/>
        <v>YES</v>
      </c>
      <c r="Q1055" t="s">
        <v>1992</v>
      </c>
      <c r="R1055">
        <v>248.46894</v>
      </c>
    </row>
    <row r="1056" spans="1:18">
      <c r="A1056" t="s">
        <v>992</v>
      </c>
      <c r="B1056" t="s">
        <v>1567</v>
      </c>
      <c r="C1056" t="s">
        <v>994</v>
      </c>
      <c r="D1056">
        <v>1308</v>
      </c>
      <c r="E1056" s="128">
        <v>36526</v>
      </c>
      <c r="F1056" s="128">
        <v>47483</v>
      </c>
      <c r="G10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1308</v>
      </c>
      <c r="H1056" s="128" t="str">
        <f t="shared" ca="1" si="16"/>
        <v>YES</v>
      </c>
      <c r="Q1056" t="s">
        <v>1993</v>
      </c>
      <c r="R1056">
        <v>247.85347999999999</v>
      </c>
    </row>
    <row r="1057" spans="1:18">
      <c r="A1057" t="s">
        <v>992</v>
      </c>
      <c r="B1057" t="s">
        <v>1568</v>
      </c>
      <c r="C1057" t="s">
        <v>994</v>
      </c>
      <c r="D1057">
        <v>980</v>
      </c>
      <c r="E1057" s="128">
        <v>36526</v>
      </c>
      <c r="F1057" s="128">
        <v>47483</v>
      </c>
      <c r="G10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980</v>
      </c>
      <c r="H1057" s="128" t="str">
        <f t="shared" ca="1" si="16"/>
        <v>YES</v>
      </c>
      <c r="Q1057" t="s">
        <v>1994</v>
      </c>
      <c r="R1057">
        <v>194.2071</v>
      </c>
    </row>
    <row r="1058" spans="1:18">
      <c r="A1058" t="s">
        <v>992</v>
      </c>
      <c r="B1058" t="s">
        <v>1568</v>
      </c>
      <c r="C1058" t="s">
        <v>994</v>
      </c>
      <c r="D1058">
        <v>693</v>
      </c>
      <c r="E1058" s="128">
        <v>36526</v>
      </c>
      <c r="F1058" s="128">
        <v>47483</v>
      </c>
      <c r="G10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693</v>
      </c>
      <c r="H1058" s="128" t="str">
        <f t="shared" ca="1" si="16"/>
        <v>YES</v>
      </c>
      <c r="Q1058" t="s">
        <v>1995</v>
      </c>
      <c r="R1058">
        <v>194.17635000000001</v>
      </c>
    </row>
    <row r="1059" spans="1:18">
      <c r="A1059" t="s">
        <v>992</v>
      </c>
      <c r="B1059" t="s">
        <v>1569</v>
      </c>
      <c r="C1059" t="s">
        <v>994</v>
      </c>
      <c r="D1059">
        <v>1279</v>
      </c>
      <c r="E1059" s="128">
        <v>36526</v>
      </c>
      <c r="F1059" s="128">
        <v>47483</v>
      </c>
      <c r="G10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1279</v>
      </c>
      <c r="H1059" s="128" t="str">
        <f t="shared" ca="1" si="16"/>
        <v>YES</v>
      </c>
      <c r="Q1059" t="s">
        <v>1996</v>
      </c>
      <c r="R1059">
        <v>196.22063</v>
      </c>
    </row>
    <row r="1060" spans="1:18">
      <c r="A1060" t="s">
        <v>992</v>
      </c>
      <c r="B1060" t="s">
        <v>1569</v>
      </c>
      <c r="C1060" t="s">
        <v>994</v>
      </c>
      <c r="D1060">
        <v>941</v>
      </c>
      <c r="E1060" s="128">
        <v>36526</v>
      </c>
      <c r="F1060" s="128">
        <v>47483</v>
      </c>
      <c r="G10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941</v>
      </c>
      <c r="H1060" s="128" t="str">
        <f t="shared" ca="1" si="16"/>
        <v>YES</v>
      </c>
      <c r="Q1060" t="s">
        <v>1997</v>
      </c>
      <c r="R1060">
        <v>99.274839999999998</v>
      </c>
    </row>
    <row r="1061" spans="1:18">
      <c r="A1061" t="s">
        <v>992</v>
      </c>
      <c r="B1061" t="s">
        <v>1570</v>
      </c>
      <c r="C1061" t="s">
        <v>994</v>
      </c>
      <c r="D1061">
        <v>850</v>
      </c>
      <c r="E1061" s="128">
        <v>43714</v>
      </c>
      <c r="F1061" s="128">
        <v>43714</v>
      </c>
      <c r="G10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850</v>
      </c>
      <c r="H1061" s="128" t="str">
        <f t="shared" ca="1" si="16"/>
        <v>NO</v>
      </c>
      <c r="Q1061" t="s">
        <v>1998</v>
      </c>
      <c r="R1061">
        <v>100.5958</v>
      </c>
    </row>
    <row r="1062" spans="1:18">
      <c r="A1062" t="s">
        <v>992</v>
      </c>
      <c r="B1062" t="s">
        <v>1570</v>
      </c>
      <c r="C1062" t="s">
        <v>994</v>
      </c>
      <c r="D1062">
        <v>779</v>
      </c>
      <c r="E1062" s="128">
        <v>43715</v>
      </c>
      <c r="F1062" s="128">
        <v>45078</v>
      </c>
      <c r="G10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779</v>
      </c>
      <c r="H1062" s="128" t="str">
        <f t="shared" ca="1" si="16"/>
        <v>NO</v>
      </c>
      <c r="Q1062" t="s">
        <v>1999</v>
      </c>
      <c r="R1062">
        <v>83.570539999999994</v>
      </c>
    </row>
    <row r="1063" spans="1:18">
      <c r="A1063" t="s">
        <v>992</v>
      </c>
      <c r="B1063" t="s">
        <v>1572</v>
      </c>
      <c r="C1063" t="s">
        <v>994</v>
      </c>
      <c r="D1063">
        <v>1578</v>
      </c>
      <c r="E1063" s="128">
        <v>36526</v>
      </c>
      <c r="F1063" s="128">
        <v>47483</v>
      </c>
      <c r="G10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1578</v>
      </c>
      <c r="H1063" s="128" t="str">
        <f t="shared" ca="1" si="16"/>
        <v>YES</v>
      </c>
      <c r="Q1063" t="s">
        <v>2000</v>
      </c>
      <c r="R1063">
        <v>69.465050000000005</v>
      </c>
    </row>
    <row r="1064" spans="1:18">
      <c r="A1064" t="s">
        <v>992</v>
      </c>
      <c r="B1064" t="s">
        <v>867</v>
      </c>
      <c r="C1064" t="s">
        <v>994</v>
      </c>
      <c r="D1064">
        <v>299</v>
      </c>
      <c r="E1064" s="128">
        <v>36526</v>
      </c>
      <c r="F1064" s="128">
        <v>43496</v>
      </c>
      <c r="G10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299</v>
      </c>
      <c r="H1064" s="128" t="str">
        <f t="shared" ca="1" si="16"/>
        <v>NO</v>
      </c>
      <c r="Q1064" t="s">
        <v>2001</v>
      </c>
      <c r="R1064">
        <v>103.44123999999999</v>
      </c>
    </row>
    <row r="1065" spans="1:18">
      <c r="A1065" t="s">
        <v>992</v>
      </c>
      <c r="B1065" t="s">
        <v>867</v>
      </c>
      <c r="C1065" t="s">
        <v>994</v>
      </c>
      <c r="D1065">
        <v>327</v>
      </c>
      <c r="E1065" s="128">
        <v>43497</v>
      </c>
      <c r="F1065" s="128">
        <v>43646</v>
      </c>
      <c r="G10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327</v>
      </c>
      <c r="H1065" s="128" t="str">
        <f t="shared" ca="1" si="16"/>
        <v>NO</v>
      </c>
      <c r="Q1065" t="s">
        <v>2002</v>
      </c>
      <c r="R1065">
        <v>84.399550000000005</v>
      </c>
    </row>
    <row r="1066" spans="1:18">
      <c r="A1066" t="s">
        <v>992</v>
      </c>
      <c r="B1066" t="s">
        <v>867</v>
      </c>
      <c r="C1066" t="s">
        <v>994</v>
      </c>
      <c r="D1066">
        <v>347</v>
      </c>
      <c r="E1066" s="128">
        <v>43647</v>
      </c>
      <c r="F1066" s="128">
        <v>46387</v>
      </c>
      <c r="G10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347</v>
      </c>
      <c r="H1066" s="128" t="str">
        <f t="shared" ca="1" si="16"/>
        <v>YES</v>
      </c>
      <c r="Q1066" t="s">
        <v>2003</v>
      </c>
      <c r="R1066">
        <v>46.259160000000001</v>
      </c>
    </row>
    <row r="1067" spans="1:18">
      <c r="A1067" t="s">
        <v>992</v>
      </c>
      <c r="B1067" t="s">
        <v>1573</v>
      </c>
      <c r="C1067" t="s">
        <v>994</v>
      </c>
      <c r="D1067">
        <v>267</v>
      </c>
      <c r="E1067" s="128">
        <v>36526</v>
      </c>
      <c r="F1067" s="128">
        <v>43646</v>
      </c>
      <c r="G10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267</v>
      </c>
      <c r="H1067" s="128" t="str">
        <f t="shared" ca="1" si="16"/>
        <v>NO</v>
      </c>
      <c r="Q1067" t="s">
        <v>2004</v>
      </c>
      <c r="R1067">
        <v>61.14329</v>
      </c>
    </row>
    <row r="1068" spans="1:18">
      <c r="A1068" t="s">
        <v>992</v>
      </c>
      <c r="B1068" t="s">
        <v>1573</v>
      </c>
      <c r="C1068" t="s">
        <v>994</v>
      </c>
      <c r="D1068">
        <v>283</v>
      </c>
      <c r="E1068" s="128">
        <v>43647</v>
      </c>
      <c r="F1068" s="128">
        <v>47483</v>
      </c>
      <c r="G10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283</v>
      </c>
      <c r="H1068" s="128" t="str">
        <f t="shared" ca="1" si="16"/>
        <v>YES</v>
      </c>
      <c r="Q1068" t="s">
        <v>2005</v>
      </c>
      <c r="R1068">
        <v>47.06315</v>
      </c>
    </row>
    <row r="1069" spans="1:18">
      <c r="A1069" t="s">
        <v>992</v>
      </c>
      <c r="B1069" t="s">
        <v>1574</v>
      </c>
      <c r="C1069" t="s">
        <v>994</v>
      </c>
      <c r="D1069">
        <v>373</v>
      </c>
      <c r="E1069" s="128">
        <v>36526</v>
      </c>
      <c r="F1069" s="128">
        <v>43646</v>
      </c>
      <c r="G10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373</v>
      </c>
      <c r="H1069" s="128" t="str">
        <f t="shared" ca="1" si="16"/>
        <v>NO</v>
      </c>
      <c r="Q1069" t="s">
        <v>2006</v>
      </c>
      <c r="R1069">
        <v>1494.8930599999999</v>
      </c>
    </row>
    <row r="1070" spans="1:18">
      <c r="A1070" t="s">
        <v>992</v>
      </c>
      <c r="B1070" t="s">
        <v>1574</v>
      </c>
      <c r="C1070" t="s">
        <v>994</v>
      </c>
      <c r="D1070">
        <v>394.99999999999994</v>
      </c>
      <c r="E1070" s="128">
        <v>43647</v>
      </c>
      <c r="F1070" s="128">
        <v>47483</v>
      </c>
      <c r="G10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394.99999999999994</v>
      </c>
      <c r="H1070" s="128" t="str">
        <f t="shared" ca="1" si="16"/>
        <v>YES</v>
      </c>
      <c r="Q1070" t="s">
        <v>2007</v>
      </c>
      <c r="R1070">
        <v>7.7572000000000001</v>
      </c>
    </row>
    <row r="1071" spans="1:18">
      <c r="A1071" t="s">
        <v>992</v>
      </c>
      <c r="B1071" t="s">
        <v>1576</v>
      </c>
      <c r="C1071" t="s">
        <v>994</v>
      </c>
      <c r="D1071">
        <v>624</v>
      </c>
      <c r="E1071" s="128">
        <v>43525</v>
      </c>
      <c r="F1071" s="128">
        <v>43830</v>
      </c>
      <c r="G10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624</v>
      </c>
      <c r="H1071" s="128" t="str">
        <f t="shared" ca="1" si="16"/>
        <v>NO</v>
      </c>
      <c r="Q1071" t="s">
        <v>2008</v>
      </c>
      <c r="R1071">
        <v>447.33487999999994</v>
      </c>
    </row>
    <row r="1072" spans="1:18">
      <c r="A1072" t="s">
        <v>992</v>
      </c>
      <c r="B1072" t="s">
        <v>1576</v>
      </c>
      <c r="C1072" t="s">
        <v>994</v>
      </c>
      <c r="D1072">
        <v>613</v>
      </c>
      <c r="E1072" s="128">
        <v>43831</v>
      </c>
      <c r="F1072" s="128">
        <v>44220</v>
      </c>
      <c r="G10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613</v>
      </c>
      <c r="H1072" s="128" t="str">
        <f t="shared" ca="1" si="16"/>
        <v>NO</v>
      </c>
      <c r="Q1072" t="s">
        <v>2009</v>
      </c>
      <c r="R1072">
        <v>16.74316</v>
      </c>
    </row>
    <row r="1073" spans="1:18">
      <c r="A1073" t="s">
        <v>992</v>
      </c>
      <c r="B1073" t="s">
        <v>1576</v>
      </c>
      <c r="C1073" t="s">
        <v>994</v>
      </c>
      <c r="D1073">
        <v>740</v>
      </c>
      <c r="E1073" s="128">
        <v>44221</v>
      </c>
      <c r="F1073" s="128">
        <v>47483</v>
      </c>
      <c r="G10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740</v>
      </c>
      <c r="H1073" s="128" t="str">
        <f t="shared" ca="1" si="16"/>
        <v>YES</v>
      </c>
      <c r="Q1073" t="s">
        <v>2010</v>
      </c>
      <c r="R1073">
        <v>57.240939999999995</v>
      </c>
    </row>
    <row r="1074" spans="1:18">
      <c r="A1074" t="s">
        <v>992</v>
      </c>
      <c r="B1074" t="s">
        <v>1576</v>
      </c>
      <c r="C1074" t="s">
        <v>994</v>
      </c>
      <c r="D1074">
        <v>777.00000000000011</v>
      </c>
      <c r="E1074" s="128">
        <v>44835</v>
      </c>
      <c r="F1074" s="128">
        <v>45016</v>
      </c>
      <c r="G10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777.00000000000011</v>
      </c>
      <c r="H1074" s="128" t="str">
        <f t="shared" ca="1" si="16"/>
        <v>NO</v>
      </c>
      <c r="Q1074" t="s">
        <v>2011</v>
      </c>
      <c r="R1074">
        <v>18.417020000000001</v>
      </c>
    </row>
    <row r="1075" spans="1:18">
      <c r="A1075" t="s">
        <v>992</v>
      </c>
      <c r="B1075" t="s">
        <v>907</v>
      </c>
      <c r="C1075" t="s">
        <v>994</v>
      </c>
      <c r="D1075">
        <v>528</v>
      </c>
      <c r="E1075" s="128">
        <v>43525</v>
      </c>
      <c r="F1075" s="128">
        <v>43830</v>
      </c>
      <c r="G10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528</v>
      </c>
      <c r="H1075" s="128" t="str">
        <f t="shared" ca="1" si="16"/>
        <v>NO</v>
      </c>
      <c r="Q1075" t="s">
        <v>2012</v>
      </c>
      <c r="R1075">
        <v>101.06407</v>
      </c>
    </row>
    <row r="1076" spans="1:18">
      <c r="A1076" t="s">
        <v>992</v>
      </c>
      <c r="B1076" t="s">
        <v>907</v>
      </c>
      <c r="C1076" t="s">
        <v>994</v>
      </c>
      <c r="D1076">
        <v>518</v>
      </c>
      <c r="E1076" s="128">
        <v>43831</v>
      </c>
      <c r="F1076" s="128">
        <v>44165</v>
      </c>
      <c r="G10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518</v>
      </c>
      <c r="H1076" s="128" t="str">
        <f t="shared" ca="1" si="16"/>
        <v>NO</v>
      </c>
      <c r="Q1076" t="s">
        <v>2013</v>
      </c>
      <c r="R1076">
        <v>1.4815799999999999</v>
      </c>
    </row>
    <row r="1077" spans="1:18">
      <c r="A1077" t="s">
        <v>992</v>
      </c>
      <c r="B1077" t="s">
        <v>907</v>
      </c>
      <c r="C1077" t="s">
        <v>994</v>
      </c>
      <c r="D1077">
        <v>503</v>
      </c>
      <c r="E1077" s="128">
        <v>44166</v>
      </c>
      <c r="F1077" s="128">
        <v>44561</v>
      </c>
      <c r="G10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503</v>
      </c>
      <c r="H1077" s="128" t="str">
        <f t="shared" ca="1" si="16"/>
        <v>NO</v>
      </c>
      <c r="Q1077" t="s">
        <v>2014</v>
      </c>
      <c r="R1077">
        <v>4544.3401800000001</v>
      </c>
    </row>
    <row r="1078" spans="1:18">
      <c r="A1078" t="s">
        <v>992</v>
      </c>
      <c r="B1078" t="s">
        <v>907</v>
      </c>
      <c r="C1078" t="s">
        <v>994</v>
      </c>
      <c r="D1078">
        <v>503</v>
      </c>
      <c r="E1078" s="128">
        <v>44562</v>
      </c>
      <c r="F1078" s="128">
        <v>45657</v>
      </c>
      <c r="G10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503</v>
      </c>
      <c r="H1078" s="128" t="str">
        <f t="shared" ca="1" si="16"/>
        <v>NO</v>
      </c>
      <c r="Q1078" t="s">
        <v>2015</v>
      </c>
      <c r="R1078">
        <v>33.791150000000002</v>
      </c>
    </row>
    <row r="1079" spans="1:18">
      <c r="A1079" t="s">
        <v>992</v>
      </c>
      <c r="B1079" t="s">
        <v>1577</v>
      </c>
      <c r="C1079" t="s">
        <v>994</v>
      </c>
      <c r="D1079">
        <v>1150</v>
      </c>
      <c r="E1079" s="128">
        <v>36526</v>
      </c>
      <c r="F1079" s="128">
        <v>47483</v>
      </c>
      <c r="G10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1150</v>
      </c>
      <c r="H1079" s="128" t="str">
        <f t="shared" ca="1" si="16"/>
        <v>YES</v>
      </c>
      <c r="Q1079" t="s">
        <v>2016</v>
      </c>
      <c r="R1079">
        <v>43.19462</v>
      </c>
    </row>
    <row r="1080" spans="1:18">
      <c r="A1080" t="s">
        <v>992</v>
      </c>
      <c r="B1080" t="s">
        <v>907</v>
      </c>
      <c r="C1080" t="s">
        <v>994</v>
      </c>
      <c r="D1080">
        <v>497.97</v>
      </c>
      <c r="E1080" s="128">
        <v>45658</v>
      </c>
      <c r="F1080" s="128">
        <v>46022</v>
      </c>
      <c r="G10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497.97</v>
      </c>
      <c r="H1080" s="128" t="str">
        <f t="shared" ca="1" si="16"/>
        <v>YES</v>
      </c>
      <c r="Q1080" t="s">
        <v>2017</v>
      </c>
      <c r="R1080">
        <v>20.256529999999998</v>
      </c>
    </row>
    <row r="1081" spans="1:18">
      <c r="A1081" t="s">
        <v>992</v>
      </c>
      <c r="B1081" t="s">
        <v>1577</v>
      </c>
      <c r="C1081" t="s">
        <v>994</v>
      </c>
      <c r="D1081">
        <v>1020</v>
      </c>
      <c r="E1081" s="128">
        <v>36526</v>
      </c>
      <c r="F1081" s="128">
        <v>47483</v>
      </c>
      <c r="G10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1020</v>
      </c>
      <c r="H1081" s="128" t="str">
        <f t="shared" ca="1" si="16"/>
        <v>YES</v>
      </c>
      <c r="Q1081" t="s">
        <v>2018</v>
      </c>
      <c r="R1081">
        <v>24.503590000000003</v>
      </c>
    </row>
    <row r="1082" spans="1:18">
      <c r="A1082" t="s">
        <v>992</v>
      </c>
      <c r="B1082" t="s">
        <v>1578</v>
      </c>
      <c r="C1082" t="s">
        <v>994</v>
      </c>
      <c r="D1082">
        <v>1436</v>
      </c>
      <c r="E1082" s="128">
        <v>36526</v>
      </c>
      <c r="F1082" s="128">
        <v>44834</v>
      </c>
      <c r="G10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1436</v>
      </c>
      <c r="H1082" s="128" t="str">
        <f t="shared" ca="1" si="16"/>
        <v>NO</v>
      </c>
      <c r="Q1082" t="s">
        <v>2019</v>
      </c>
      <c r="R1082">
        <v>1149.92154</v>
      </c>
    </row>
    <row r="1083" spans="1:18">
      <c r="A1083" t="s">
        <v>992</v>
      </c>
      <c r="B1083" t="s">
        <v>1578</v>
      </c>
      <c r="C1083" t="s">
        <v>994</v>
      </c>
      <c r="D1083">
        <v>1507.8</v>
      </c>
      <c r="E1083" s="128">
        <v>44835</v>
      </c>
      <c r="F1083" s="128">
        <v>45016</v>
      </c>
      <c r="G10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1507.8</v>
      </c>
      <c r="H1083" s="128" t="str">
        <f t="shared" ca="1" si="16"/>
        <v>NO</v>
      </c>
      <c r="Q1083" t="s">
        <v>2020</v>
      </c>
      <c r="R1083">
        <v>11.042860000000001</v>
      </c>
    </row>
    <row r="1084" spans="1:18">
      <c r="A1084" t="s">
        <v>992</v>
      </c>
      <c r="B1084" t="s">
        <v>801</v>
      </c>
      <c r="C1084" t="s">
        <v>994</v>
      </c>
      <c r="D1084">
        <v>826.19999999999993</v>
      </c>
      <c r="E1084" s="128">
        <v>36526</v>
      </c>
      <c r="F1084" s="128">
        <v>44834</v>
      </c>
      <c r="G10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826.19999999999993</v>
      </c>
      <c r="H1084" s="128" t="str">
        <f t="shared" ca="1" si="16"/>
        <v>NO</v>
      </c>
      <c r="Q1084" t="s">
        <v>2021</v>
      </c>
      <c r="R1084">
        <v>30.74475</v>
      </c>
    </row>
    <row r="1085" spans="1:18">
      <c r="A1085" t="s">
        <v>992</v>
      </c>
      <c r="B1085" t="s">
        <v>801</v>
      </c>
      <c r="C1085" t="s">
        <v>994</v>
      </c>
      <c r="D1085">
        <v>867.51</v>
      </c>
      <c r="E1085" s="128">
        <v>44835</v>
      </c>
      <c r="F1085" s="128">
        <v>45016</v>
      </c>
      <c r="G10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867.51</v>
      </c>
      <c r="H1085" s="128" t="str">
        <f t="shared" ca="1" si="16"/>
        <v>NO</v>
      </c>
      <c r="Q1085" t="s">
        <v>2022</v>
      </c>
      <c r="R1085">
        <v>23.05885</v>
      </c>
    </row>
    <row r="1086" spans="1:18">
      <c r="A1086" t="s">
        <v>992</v>
      </c>
      <c r="B1086" t="s">
        <v>1579</v>
      </c>
      <c r="C1086" t="s">
        <v>994</v>
      </c>
      <c r="D1086">
        <v>760.00000000000011</v>
      </c>
      <c r="E1086" s="128">
        <v>36526</v>
      </c>
      <c r="F1086" s="128">
        <v>47483</v>
      </c>
      <c r="G10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760.00000000000011</v>
      </c>
      <c r="H1086" s="128" t="str">
        <f t="shared" ca="1" si="16"/>
        <v>YES</v>
      </c>
      <c r="Q1086" t="s">
        <v>2023</v>
      </c>
      <c r="R1086">
        <v>73.755880000000005</v>
      </c>
    </row>
    <row r="1087" spans="1:18">
      <c r="A1087" t="s">
        <v>992</v>
      </c>
      <c r="B1087" t="s">
        <v>1580</v>
      </c>
      <c r="C1087" t="s">
        <v>994</v>
      </c>
      <c r="D1087">
        <v>747</v>
      </c>
      <c r="E1087" s="128">
        <v>36526</v>
      </c>
      <c r="F1087" s="128">
        <v>47483</v>
      </c>
      <c r="G10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747</v>
      </c>
      <c r="H1087" s="128" t="str">
        <f t="shared" ca="1" si="16"/>
        <v>YES</v>
      </c>
      <c r="Q1087" t="s">
        <v>2024</v>
      </c>
      <c r="R1087">
        <v>2.3206699999999998</v>
      </c>
    </row>
    <row r="1088" spans="1:18">
      <c r="A1088" t="s">
        <v>992</v>
      </c>
      <c r="B1088" t="s">
        <v>1581</v>
      </c>
      <c r="C1088" t="s">
        <v>994</v>
      </c>
      <c r="D1088">
        <v>670</v>
      </c>
      <c r="E1088" s="128">
        <v>36526</v>
      </c>
      <c r="F1088" s="128">
        <v>44521</v>
      </c>
      <c r="G10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670</v>
      </c>
      <c r="H1088" s="128" t="str">
        <f t="shared" ca="1" si="16"/>
        <v>NO</v>
      </c>
      <c r="Q1088" t="s">
        <v>2025</v>
      </c>
      <c r="R1088">
        <v>1418.3782900000001</v>
      </c>
    </row>
    <row r="1089" spans="1:18">
      <c r="A1089" t="s">
        <v>992</v>
      </c>
      <c r="B1089" t="s">
        <v>1581</v>
      </c>
      <c r="C1089" t="s">
        <v>994</v>
      </c>
      <c r="D1089">
        <v>690</v>
      </c>
      <c r="E1089" s="128">
        <v>44522</v>
      </c>
      <c r="F1089" s="128">
        <v>47483</v>
      </c>
      <c r="G10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690</v>
      </c>
      <c r="H1089" s="128" t="str">
        <f t="shared" ca="1" si="16"/>
        <v>YES</v>
      </c>
      <c r="Q1089" t="s">
        <v>2026</v>
      </c>
      <c r="R1089">
        <v>69.907510000000002</v>
      </c>
    </row>
    <row r="1090" spans="1:18">
      <c r="A1090" t="s">
        <v>992</v>
      </c>
      <c r="B1090" t="s">
        <v>1582</v>
      </c>
      <c r="C1090" t="s">
        <v>994</v>
      </c>
      <c r="D1090">
        <v>1899.9999999999998</v>
      </c>
      <c r="E1090" s="128">
        <v>36526</v>
      </c>
      <c r="F1090" s="128">
        <v>46387</v>
      </c>
      <c r="G10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1899.9999999999998</v>
      </c>
      <c r="H1090" s="128" t="str">
        <f t="shared" ref="H1090:H1153" ca="1" si="17">IF(OR(F1090=0,F1090&gt;TODAY()),"YES","NO")</f>
        <v>YES</v>
      </c>
      <c r="Q1090" t="s">
        <v>2027</v>
      </c>
      <c r="R1090">
        <v>2.3192200000000001</v>
      </c>
    </row>
    <row r="1091" spans="1:18">
      <c r="A1091" t="s">
        <v>992</v>
      </c>
      <c r="B1091" t="s">
        <v>1583</v>
      </c>
      <c r="C1091" t="s">
        <v>994</v>
      </c>
      <c r="D1091">
        <v>625</v>
      </c>
      <c r="E1091" s="128">
        <v>43831</v>
      </c>
      <c r="F1091" s="128">
        <v>44165</v>
      </c>
      <c r="G10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625</v>
      </c>
      <c r="H1091" s="128" t="str">
        <f t="shared" ca="1" si="17"/>
        <v>NO</v>
      </c>
      <c r="Q1091" t="s">
        <v>2028</v>
      </c>
      <c r="R1091">
        <v>12.97791</v>
      </c>
    </row>
    <row r="1092" spans="1:18">
      <c r="A1092" t="s">
        <v>992</v>
      </c>
      <c r="B1092" t="s">
        <v>1583</v>
      </c>
      <c r="C1092" t="s">
        <v>994</v>
      </c>
      <c r="D1092">
        <v>615</v>
      </c>
      <c r="E1092" s="128">
        <v>44166</v>
      </c>
      <c r="F1092" s="128">
        <v>44196</v>
      </c>
      <c r="G10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615</v>
      </c>
      <c r="H1092" s="128" t="str">
        <f t="shared" ca="1" si="17"/>
        <v>NO</v>
      </c>
      <c r="Q1092" t="s">
        <v>2029</v>
      </c>
      <c r="R1092">
        <v>73.75963999999999</v>
      </c>
    </row>
    <row r="1093" spans="1:18">
      <c r="A1093" t="s">
        <v>992</v>
      </c>
      <c r="B1093" t="s">
        <v>1583</v>
      </c>
      <c r="C1093" t="s">
        <v>994</v>
      </c>
      <c r="D1093">
        <v>605</v>
      </c>
      <c r="E1093" s="128">
        <v>44197</v>
      </c>
      <c r="F1093" s="128">
        <v>47483</v>
      </c>
      <c r="G10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605</v>
      </c>
      <c r="H1093" s="128" t="str">
        <f t="shared" ca="1" si="17"/>
        <v>YES</v>
      </c>
      <c r="Q1093" t="s">
        <v>2030</v>
      </c>
      <c r="R1093">
        <v>47.06315</v>
      </c>
    </row>
    <row r="1094" spans="1:18">
      <c r="A1094" t="s">
        <v>992</v>
      </c>
      <c r="B1094" t="s">
        <v>1584</v>
      </c>
      <c r="C1094" t="s">
        <v>994</v>
      </c>
      <c r="D1094">
        <v>1560</v>
      </c>
      <c r="E1094" s="128">
        <v>36526</v>
      </c>
      <c r="F1094" s="128">
        <v>47483</v>
      </c>
      <c r="G10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1560</v>
      </c>
      <c r="H1094" s="128" t="str">
        <f t="shared" ca="1" si="17"/>
        <v>YES</v>
      </c>
      <c r="Q1094" t="s">
        <v>2031</v>
      </c>
      <c r="R1094">
        <v>47.06315</v>
      </c>
    </row>
    <row r="1095" spans="1:18">
      <c r="A1095" t="s">
        <v>992</v>
      </c>
      <c r="B1095" t="s">
        <v>1585</v>
      </c>
      <c r="C1095" t="s">
        <v>994</v>
      </c>
      <c r="D1095">
        <v>894</v>
      </c>
      <c r="E1095" s="128">
        <v>36526</v>
      </c>
      <c r="F1095" s="128">
        <v>47848</v>
      </c>
      <c r="G10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894</v>
      </c>
      <c r="H1095" s="128" t="str">
        <f t="shared" ca="1" si="17"/>
        <v>YES</v>
      </c>
      <c r="Q1095" t="s">
        <v>2032</v>
      </c>
      <c r="R1095">
        <v>55.205829999999999</v>
      </c>
    </row>
    <row r="1096" spans="1:18">
      <c r="A1096" t="s">
        <v>992</v>
      </c>
      <c r="B1096" t="s">
        <v>1586</v>
      </c>
      <c r="C1096" t="s">
        <v>994</v>
      </c>
      <c r="D1096">
        <v>715</v>
      </c>
      <c r="E1096" s="128">
        <v>36526</v>
      </c>
      <c r="F1096" s="128">
        <v>47483</v>
      </c>
      <c r="G10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715</v>
      </c>
      <c r="H1096" s="128" t="str">
        <f t="shared" ca="1" si="17"/>
        <v>YES</v>
      </c>
      <c r="Q1096" t="s">
        <v>2033</v>
      </c>
      <c r="R1096">
        <v>8.7954599999999985</v>
      </c>
    </row>
    <row r="1097" spans="1:18">
      <c r="A1097" t="s">
        <v>992</v>
      </c>
      <c r="B1097" t="s">
        <v>1683</v>
      </c>
      <c r="C1097" t="s">
        <v>994</v>
      </c>
      <c r="D1097">
        <v>880</v>
      </c>
      <c r="E1097" s="128">
        <v>36526</v>
      </c>
      <c r="F1097" s="128">
        <v>44196</v>
      </c>
      <c r="G10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880</v>
      </c>
      <c r="H1097" s="128" t="str">
        <f t="shared" ca="1" si="17"/>
        <v>NO</v>
      </c>
      <c r="Q1097" t="s">
        <v>2034</v>
      </c>
      <c r="R1097">
        <v>60.080950000000001</v>
      </c>
    </row>
    <row r="1098" spans="1:18">
      <c r="A1098" t="s">
        <v>992</v>
      </c>
      <c r="B1098" t="s">
        <v>1683</v>
      </c>
      <c r="C1098" t="s">
        <v>994</v>
      </c>
      <c r="D1098">
        <v>853.99999999999989</v>
      </c>
      <c r="E1098" s="128">
        <v>44197</v>
      </c>
      <c r="F1098" s="128">
        <v>44561</v>
      </c>
      <c r="G10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853.99999999999989</v>
      </c>
      <c r="H1098" s="128" t="str">
        <f t="shared" ca="1" si="17"/>
        <v>NO</v>
      </c>
      <c r="Q1098" t="s">
        <v>2035</v>
      </c>
      <c r="R1098">
        <v>54.280160000000002</v>
      </c>
    </row>
    <row r="1099" spans="1:18">
      <c r="A1099" t="s">
        <v>992</v>
      </c>
      <c r="B1099" t="s">
        <v>1587</v>
      </c>
      <c r="C1099" t="s">
        <v>994</v>
      </c>
      <c r="D1099">
        <v>534</v>
      </c>
      <c r="E1099" s="128">
        <v>36526</v>
      </c>
      <c r="F1099" s="128">
        <v>47483</v>
      </c>
      <c r="G10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534</v>
      </c>
      <c r="H1099" s="128" t="str">
        <f t="shared" ca="1" si="17"/>
        <v>YES</v>
      </c>
      <c r="Q1099" t="s">
        <v>2036</v>
      </c>
      <c r="R1099">
        <v>66.155379999999994</v>
      </c>
    </row>
    <row r="1100" spans="1:18">
      <c r="A1100" t="s">
        <v>992</v>
      </c>
      <c r="B1100" t="s">
        <v>1587</v>
      </c>
      <c r="C1100" t="s">
        <v>994</v>
      </c>
      <c r="D1100">
        <v>464</v>
      </c>
      <c r="E1100" s="128">
        <v>36526</v>
      </c>
      <c r="F1100" s="128">
        <v>47483</v>
      </c>
      <c r="G11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464</v>
      </c>
      <c r="H1100" s="128" t="str">
        <f t="shared" ca="1" si="17"/>
        <v>YES</v>
      </c>
      <c r="Q1100" t="s">
        <v>2037</v>
      </c>
      <c r="R1100">
        <v>358.30002999999999</v>
      </c>
    </row>
    <row r="1101" spans="1:18">
      <c r="A1101" t="s">
        <v>992</v>
      </c>
      <c r="B1101" t="s">
        <v>1588</v>
      </c>
      <c r="C1101" t="s">
        <v>994</v>
      </c>
      <c r="D1101">
        <v>1448</v>
      </c>
      <c r="E1101" s="128">
        <v>36526</v>
      </c>
      <c r="F1101" s="128">
        <v>47483</v>
      </c>
      <c r="G11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1448</v>
      </c>
      <c r="H1101" s="128" t="str">
        <f t="shared" ca="1" si="17"/>
        <v>YES</v>
      </c>
      <c r="Q1101" t="s">
        <v>2038</v>
      </c>
      <c r="R1101">
        <v>50.886159999999997</v>
      </c>
    </row>
    <row r="1102" spans="1:18">
      <c r="A1102" t="s">
        <v>992</v>
      </c>
      <c r="B1102" t="s">
        <v>1589</v>
      </c>
      <c r="C1102" t="s">
        <v>994</v>
      </c>
      <c r="D1102">
        <v>1536</v>
      </c>
      <c r="E1102" s="128">
        <v>36526</v>
      </c>
      <c r="F1102" s="128">
        <v>47483</v>
      </c>
      <c r="G11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1536</v>
      </c>
      <c r="H1102" s="128" t="str">
        <f t="shared" ca="1" si="17"/>
        <v>YES</v>
      </c>
      <c r="Q1102" t="s">
        <v>2039</v>
      </c>
      <c r="R1102">
        <v>1517.8355799999999</v>
      </c>
    </row>
    <row r="1103" spans="1:18">
      <c r="A1103" t="s">
        <v>992</v>
      </c>
      <c r="B1103" t="s">
        <v>1590</v>
      </c>
      <c r="C1103" t="s">
        <v>994</v>
      </c>
      <c r="D1103">
        <v>1862</v>
      </c>
      <c r="E1103" s="128">
        <v>36526</v>
      </c>
      <c r="F1103" s="128">
        <v>44834</v>
      </c>
      <c r="G11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1862</v>
      </c>
      <c r="H1103" s="128" t="str">
        <f t="shared" ca="1" si="17"/>
        <v>NO</v>
      </c>
      <c r="Q1103" t="s">
        <v>2040</v>
      </c>
      <c r="R1103">
        <v>114.91701999999999</v>
      </c>
    </row>
    <row r="1104" spans="1:18">
      <c r="A1104" t="s">
        <v>992</v>
      </c>
      <c r="B1104" t="s">
        <v>1590</v>
      </c>
      <c r="C1104" t="s">
        <v>994</v>
      </c>
      <c r="D1104">
        <v>1955.1000000000001</v>
      </c>
      <c r="E1104" s="128">
        <v>44835</v>
      </c>
      <c r="F1104" s="128">
        <v>45016</v>
      </c>
      <c r="G11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1955.1000000000001</v>
      </c>
      <c r="H1104" s="128" t="str">
        <f t="shared" ca="1" si="17"/>
        <v>NO</v>
      </c>
      <c r="Q1104" t="s">
        <v>2041</v>
      </c>
      <c r="R1104">
        <v>92.010870000000011</v>
      </c>
    </row>
    <row r="1105" spans="1:18">
      <c r="A1105" t="s">
        <v>992</v>
      </c>
      <c r="B1105" t="s">
        <v>1591</v>
      </c>
      <c r="C1105" t="s">
        <v>994</v>
      </c>
      <c r="D1105">
        <v>1466</v>
      </c>
      <c r="E1105" s="128">
        <v>36526</v>
      </c>
      <c r="F1105" s="128">
        <v>47483</v>
      </c>
      <c r="G11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1466</v>
      </c>
      <c r="H1105" s="128" t="str">
        <f t="shared" ca="1" si="17"/>
        <v>YES</v>
      </c>
      <c r="Q1105" t="s">
        <v>2042</v>
      </c>
      <c r="R1105">
        <v>151.35617999999999</v>
      </c>
    </row>
    <row r="1106" spans="1:18">
      <c r="A1106" t="s">
        <v>992</v>
      </c>
      <c r="B1106" t="s">
        <v>1592</v>
      </c>
      <c r="C1106" t="s">
        <v>994</v>
      </c>
      <c r="D1106">
        <v>1621</v>
      </c>
      <c r="E1106" s="128">
        <v>36526</v>
      </c>
      <c r="F1106" s="128">
        <v>47483</v>
      </c>
      <c r="G11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1621</v>
      </c>
      <c r="H1106" s="128" t="str">
        <f t="shared" ca="1" si="17"/>
        <v>YES</v>
      </c>
      <c r="Q1106" t="s">
        <v>2043</v>
      </c>
      <c r="R1106">
        <v>39.236260000000001</v>
      </c>
    </row>
    <row r="1107" spans="1:18">
      <c r="A1107" t="s">
        <v>992</v>
      </c>
      <c r="B1107" t="s">
        <v>1593</v>
      </c>
      <c r="C1107" t="s">
        <v>994</v>
      </c>
      <c r="D1107">
        <v>1264</v>
      </c>
      <c r="E1107" s="128">
        <v>36526</v>
      </c>
      <c r="F1107" s="128">
        <v>47483</v>
      </c>
      <c r="G11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1264</v>
      </c>
      <c r="H1107" s="128" t="str">
        <f t="shared" ca="1" si="17"/>
        <v>YES</v>
      </c>
      <c r="Q1107" t="s">
        <v>2044</v>
      </c>
      <c r="R1107">
        <v>61.167820000000006</v>
      </c>
    </row>
    <row r="1108" spans="1:18">
      <c r="A1108" t="s">
        <v>992</v>
      </c>
      <c r="B1108" t="s">
        <v>1593</v>
      </c>
      <c r="C1108" t="s">
        <v>994</v>
      </c>
      <c r="D1108">
        <v>1168</v>
      </c>
      <c r="E1108" s="128">
        <v>36526</v>
      </c>
      <c r="F1108" s="128">
        <v>47483</v>
      </c>
      <c r="G11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1168</v>
      </c>
      <c r="H1108" s="128" t="str">
        <f t="shared" ca="1" si="17"/>
        <v>YES</v>
      </c>
      <c r="Q1108" t="s">
        <v>2045</v>
      </c>
      <c r="R1108">
        <v>71.055809999999994</v>
      </c>
    </row>
    <row r="1109" spans="1:18">
      <c r="A1109" t="s">
        <v>992</v>
      </c>
      <c r="B1109" t="s">
        <v>1594</v>
      </c>
      <c r="C1109" t="s">
        <v>994</v>
      </c>
      <c r="D1109">
        <v>384</v>
      </c>
      <c r="E1109" s="128">
        <v>36526</v>
      </c>
      <c r="F1109" s="128">
        <v>44834</v>
      </c>
      <c r="G11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384</v>
      </c>
      <c r="H1109" s="128" t="str">
        <f t="shared" ca="1" si="17"/>
        <v>NO</v>
      </c>
      <c r="Q1109" t="s">
        <v>2046</v>
      </c>
      <c r="R1109">
        <v>67.2166</v>
      </c>
    </row>
    <row r="1110" spans="1:18">
      <c r="A1110" t="s">
        <v>992</v>
      </c>
      <c r="B1110" t="s">
        <v>1594</v>
      </c>
      <c r="C1110" t="s">
        <v>994</v>
      </c>
      <c r="D1110">
        <v>403.2</v>
      </c>
      <c r="E1110" s="128">
        <v>44835</v>
      </c>
      <c r="F1110" s="128">
        <v>45016</v>
      </c>
      <c r="G11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403.2</v>
      </c>
      <c r="H1110" s="128" t="str">
        <f t="shared" ca="1" si="17"/>
        <v>NO</v>
      </c>
      <c r="Q1110" t="s">
        <v>2047</v>
      </c>
      <c r="R1110">
        <v>63.09816</v>
      </c>
    </row>
    <row r="1111" spans="1:18">
      <c r="A1111" t="s">
        <v>992</v>
      </c>
      <c r="B1111" t="s">
        <v>1595</v>
      </c>
      <c r="C1111" t="s">
        <v>994</v>
      </c>
      <c r="D1111">
        <v>365</v>
      </c>
      <c r="E1111" s="128">
        <v>36526</v>
      </c>
      <c r="F1111" s="128">
        <v>44834</v>
      </c>
      <c r="G11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365</v>
      </c>
      <c r="H1111" s="128" t="str">
        <f t="shared" ca="1" si="17"/>
        <v>NO</v>
      </c>
      <c r="Q1111" t="s">
        <v>2048</v>
      </c>
      <c r="R1111">
        <v>49.8932</v>
      </c>
    </row>
    <row r="1112" spans="1:18">
      <c r="A1112" t="s">
        <v>992</v>
      </c>
      <c r="B1112" t="s">
        <v>1595</v>
      </c>
      <c r="C1112" t="s">
        <v>994</v>
      </c>
      <c r="D1112">
        <v>383.24999999999994</v>
      </c>
      <c r="E1112" s="128">
        <v>44835</v>
      </c>
      <c r="F1112" s="128">
        <v>45016</v>
      </c>
      <c r="G11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383.24999999999994</v>
      </c>
      <c r="H1112" s="128" t="str">
        <f t="shared" ca="1" si="17"/>
        <v>NO</v>
      </c>
      <c r="Q1112" t="s">
        <v>2049</v>
      </c>
      <c r="R1112">
        <v>60.216200000000001</v>
      </c>
    </row>
    <row r="1113" spans="1:18">
      <c r="A1113" t="s">
        <v>992</v>
      </c>
      <c r="B1113" t="s">
        <v>1596</v>
      </c>
      <c r="C1113" t="s">
        <v>994</v>
      </c>
      <c r="D1113">
        <v>1326</v>
      </c>
      <c r="E1113" s="128">
        <v>36526</v>
      </c>
      <c r="F1113" s="128">
        <v>47483</v>
      </c>
      <c r="G11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1326</v>
      </c>
      <c r="H1113" s="128" t="str">
        <f t="shared" ca="1" si="17"/>
        <v>YES</v>
      </c>
      <c r="Q1113" t="s">
        <v>2050</v>
      </c>
      <c r="R1113">
        <v>67.215919999999997</v>
      </c>
    </row>
    <row r="1114" spans="1:18">
      <c r="A1114" t="s">
        <v>992</v>
      </c>
      <c r="B1114" t="s">
        <v>1596</v>
      </c>
      <c r="C1114" t="s">
        <v>994</v>
      </c>
      <c r="D1114">
        <v>1261</v>
      </c>
      <c r="E1114" s="128">
        <v>36526</v>
      </c>
      <c r="F1114" s="128">
        <v>47483</v>
      </c>
      <c r="G11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1261</v>
      </c>
      <c r="H1114" s="128" t="str">
        <f t="shared" ca="1" si="17"/>
        <v>YES</v>
      </c>
      <c r="Q1114" t="s">
        <v>2051</v>
      </c>
      <c r="R1114">
        <v>55.601590000000002</v>
      </c>
    </row>
    <row r="1115" spans="1:18">
      <c r="A1115" t="s">
        <v>992</v>
      </c>
      <c r="B1115" t="s">
        <v>1598</v>
      </c>
      <c r="C1115" t="s">
        <v>994</v>
      </c>
      <c r="D1115">
        <v>1456</v>
      </c>
      <c r="E1115" s="128">
        <v>36526</v>
      </c>
      <c r="F1115" s="128">
        <v>47483</v>
      </c>
      <c r="G11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1456</v>
      </c>
      <c r="H1115" s="128" t="str">
        <f t="shared" ca="1" si="17"/>
        <v>YES</v>
      </c>
      <c r="Q1115" t="s">
        <v>2052</v>
      </c>
      <c r="R1115">
        <v>152.64771000000002</v>
      </c>
    </row>
    <row r="1116" spans="1:18">
      <c r="A1116" t="s">
        <v>992</v>
      </c>
      <c r="B1116" t="s">
        <v>1598</v>
      </c>
      <c r="C1116" t="s">
        <v>994</v>
      </c>
      <c r="D1116">
        <v>1394</v>
      </c>
      <c r="E1116" s="128">
        <v>36526</v>
      </c>
      <c r="F1116" s="128">
        <v>47483</v>
      </c>
      <c r="G11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1394</v>
      </c>
      <c r="H1116" s="128" t="str">
        <f t="shared" ca="1" si="17"/>
        <v>YES</v>
      </c>
      <c r="Q1116" t="s">
        <v>2053</v>
      </c>
      <c r="R1116">
        <v>67.220429999999993</v>
      </c>
    </row>
    <row r="1117" spans="1:18">
      <c r="A1117" t="s">
        <v>992</v>
      </c>
      <c r="B1117" t="s">
        <v>1599</v>
      </c>
      <c r="C1117" t="s">
        <v>994</v>
      </c>
      <c r="D1117">
        <v>1817</v>
      </c>
      <c r="E1117" s="128">
        <v>36526</v>
      </c>
      <c r="F1117" s="128">
        <v>47483</v>
      </c>
      <c r="G11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1817</v>
      </c>
      <c r="H1117" s="128" t="str">
        <f t="shared" ca="1" si="17"/>
        <v>YES</v>
      </c>
      <c r="Q1117" t="s">
        <v>2054</v>
      </c>
      <c r="R1117">
        <v>268.48721</v>
      </c>
    </row>
    <row r="1118" spans="1:18">
      <c r="A1118" t="s">
        <v>992</v>
      </c>
      <c r="B1118" t="s">
        <v>1599</v>
      </c>
      <c r="C1118" t="s">
        <v>994</v>
      </c>
      <c r="D1118">
        <v>1760</v>
      </c>
      <c r="E1118" s="128">
        <v>36526</v>
      </c>
      <c r="F1118" s="128">
        <v>47483</v>
      </c>
      <c r="G11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1760</v>
      </c>
      <c r="H1118" s="128" t="str">
        <f t="shared" ca="1" si="17"/>
        <v>YES</v>
      </c>
      <c r="Q1118" t="s">
        <v>2055</v>
      </c>
      <c r="R1118">
        <v>230.49736000000001</v>
      </c>
    </row>
    <row r="1119" spans="1:18">
      <c r="A1119" t="s">
        <v>992</v>
      </c>
      <c r="B1119" t="s">
        <v>1600</v>
      </c>
      <c r="C1119" t="s">
        <v>994</v>
      </c>
      <c r="D1119">
        <v>1221</v>
      </c>
      <c r="E1119" s="128">
        <v>36526</v>
      </c>
      <c r="F1119" s="128">
        <v>47483</v>
      </c>
      <c r="G11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1221</v>
      </c>
      <c r="H1119" s="128" t="str">
        <f t="shared" ca="1" si="17"/>
        <v>YES</v>
      </c>
      <c r="Q1119" t="s">
        <v>2056</v>
      </c>
      <c r="R1119">
        <v>31.125579999999999</v>
      </c>
    </row>
    <row r="1120" spans="1:18">
      <c r="A1120" t="s">
        <v>992</v>
      </c>
      <c r="B1120" t="s">
        <v>1600</v>
      </c>
      <c r="C1120" t="s">
        <v>994</v>
      </c>
      <c r="D1120">
        <v>1171</v>
      </c>
      <c r="E1120" s="128">
        <v>36526</v>
      </c>
      <c r="F1120" s="128">
        <v>47483</v>
      </c>
      <c r="G11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1171</v>
      </c>
      <c r="H1120" s="128" t="str">
        <f t="shared" ca="1" si="17"/>
        <v>YES</v>
      </c>
      <c r="Q1120" t="s">
        <v>2057</v>
      </c>
      <c r="R1120">
        <v>114.91701999999999</v>
      </c>
    </row>
    <row r="1121" spans="1:18">
      <c r="A1121" t="s">
        <v>992</v>
      </c>
      <c r="B1121" t="s">
        <v>1601</v>
      </c>
      <c r="C1121" t="s">
        <v>994</v>
      </c>
      <c r="D1121">
        <v>1237</v>
      </c>
      <c r="E1121" s="128">
        <v>36526</v>
      </c>
      <c r="F1121" s="128">
        <v>47483</v>
      </c>
      <c r="G11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1237</v>
      </c>
      <c r="H1121" s="128" t="str">
        <f t="shared" ca="1" si="17"/>
        <v>YES</v>
      </c>
      <c r="Q1121" t="s">
        <v>2058</v>
      </c>
      <c r="R1121">
        <v>92.67931999999999</v>
      </c>
    </row>
    <row r="1122" spans="1:18">
      <c r="A1122" t="s">
        <v>992</v>
      </c>
      <c r="B1122" t="s">
        <v>1601</v>
      </c>
      <c r="C1122" t="s">
        <v>994</v>
      </c>
      <c r="D1122">
        <v>1180</v>
      </c>
      <c r="E1122" s="128">
        <v>36526</v>
      </c>
      <c r="F1122" s="128">
        <v>47483</v>
      </c>
      <c r="G11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1180</v>
      </c>
      <c r="H1122" s="128" t="str">
        <f t="shared" ca="1" si="17"/>
        <v>YES</v>
      </c>
      <c r="Q1122" t="s">
        <v>2059</v>
      </c>
      <c r="R1122">
        <v>67.2166</v>
      </c>
    </row>
    <row r="1123" spans="1:18">
      <c r="A1123" t="s">
        <v>992</v>
      </c>
      <c r="B1123" t="s">
        <v>934</v>
      </c>
      <c r="C1123" t="s">
        <v>994</v>
      </c>
      <c r="D1123">
        <v>1545.3000000000002</v>
      </c>
      <c r="E1123" s="128">
        <v>44562</v>
      </c>
      <c r="F1123" s="128">
        <v>44834</v>
      </c>
      <c r="G11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1545.3000000000002</v>
      </c>
      <c r="H1123" s="128" t="str">
        <f t="shared" ca="1" si="17"/>
        <v>NO</v>
      </c>
      <c r="Q1123" t="s">
        <v>2060</v>
      </c>
      <c r="R1123">
        <v>67.215919999999997</v>
      </c>
    </row>
    <row r="1124" spans="1:18">
      <c r="A1124" t="s">
        <v>992</v>
      </c>
      <c r="B1124" t="s">
        <v>934</v>
      </c>
      <c r="C1124" t="s">
        <v>994</v>
      </c>
      <c r="D1124">
        <v>1669.2</v>
      </c>
      <c r="E1124" s="128">
        <v>44835</v>
      </c>
      <c r="F1124" s="128">
        <v>44926</v>
      </c>
      <c r="G11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1669.2</v>
      </c>
      <c r="H1124" s="128" t="str">
        <f t="shared" ca="1" si="17"/>
        <v>NO</v>
      </c>
      <c r="Q1124" t="s">
        <v>2061</v>
      </c>
      <c r="R1124">
        <v>67.220429999999993</v>
      </c>
    </row>
    <row r="1125" spans="1:18">
      <c r="A1125" t="s">
        <v>992</v>
      </c>
      <c r="B1125" t="s">
        <v>934</v>
      </c>
      <c r="C1125" t="s">
        <v>994</v>
      </c>
      <c r="D1125">
        <v>1652.4999999999998</v>
      </c>
      <c r="E1125" s="128">
        <v>44927</v>
      </c>
      <c r="F1125" s="128">
        <v>45016</v>
      </c>
      <c r="G11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1652.4999999999998</v>
      </c>
      <c r="H1125" s="128" t="str">
        <f t="shared" ca="1" si="17"/>
        <v>NO</v>
      </c>
      <c r="Q1125" t="s">
        <v>2062</v>
      </c>
      <c r="R1125">
        <v>104.88126000000001</v>
      </c>
    </row>
    <row r="1126" spans="1:18">
      <c r="A1126" t="s">
        <v>992</v>
      </c>
      <c r="B1126" t="s">
        <v>1604</v>
      </c>
      <c r="C1126" t="s">
        <v>994</v>
      </c>
      <c r="D1126">
        <v>1074.8999999999999</v>
      </c>
      <c r="E1126" s="128">
        <v>36526</v>
      </c>
      <c r="F1126" s="128">
        <v>44691</v>
      </c>
      <c r="G11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1074.8999999999999</v>
      </c>
      <c r="H1126" s="128" t="str">
        <f t="shared" ca="1" si="17"/>
        <v>NO</v>
      </c>
      <c r="Q1126" t="s">
        <v>2063</v>
      </c>
      <c r="R1126">
        <v>95.588070000000002</v>
      </c>
    </row>
    <row r="1127" spans="1:18">
      <c r="A1127" t="s">
        <v>992</v>
      </c>
      <c r="B1127" t="s">
        <v>934</v>
      </c>
      <c r="C1127" t="s">
        <v>994</v>
      </c>
      <c r="D1127">
        <v>1536.8000000000002</v>
      </c>
      <c r="E1127" s="128">
        <v>45017</v>
      </c>
      <c r="F1127" s="128">
        <v>45657</v>
      </c>
      <c r="G11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1536.8000000000002</v>
      </c>
      <c r="H1127" s="128" t="str">
        <f t="shared" ca="1" si="17"/>
        <v>NO</v>
      </c>
      <c r="Q1127" t="s">
        <v>2064</v>
      </c>
      <c r="R1127">
        <v>102.23773</v>
      </c>
    </row>
    <row r="1128" spans="1:18">
      <c r="A1128" t="s">
        <v>992</v>
      </c>
      <c r="B1128" t="s">
        <v>1604</v>
      </c>
      <c r="C1128" t="s">
        <v>994</v>
      </c>
      <c r="D1128">
        <v>1116</v>
      </c>
      <c r="E1128" s="128">
        <v>44767</v>
      </c>
      <c r="F1128" s="128">
        <v>44834</v>
      </c>
      <c r="G11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1116</v>
      </c>
      <c r="H1128" s="128" t="str">
        <f t="shared" ca="1" si="17"/>
        <v>NO</v>
      </c>
      <c r="Q1128" t="s">
        <v>2065</v>
      </c>
      <c r="R1128">
        <v>100.27562</v>
      </c>
    </row>
    <row r="1129" spans="1:18">
      <c r="A1129" t="s">
        <v>992</v>
      </c>
      <c r="B1129" t="s">
        <v>1604</v>
      </c>
      <c r="C1129" t="s">
        <v>994</v>
      </c>
      <c r="D1129">
        <v>1160.6400000000001</v>
      </c>
      <c r="E1129" s="128">
        <v>44835</v>
      </c>
      <c r="F1129" s="128">
        <v>44926</v>
      </c>
      <c r="G11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1160.6400000000001</v>
      </c>
      <c r="H1129" s="128" t="str">
        <f t="shared" ca="1" si="17"/>
        <v>NO</v>
      </c>
      <c r="Q1129" t="s">
        <v>2066</v>
      </c>
      <c r="R1129">
        <v>107.92102000000001</v>
      </c>
    </row>
    <row r="1130" spans="1:18">
      <c r="A1130" t="s">
        <v>992</v>
      </c>
      <c r="B1130" t="s">
        <v>1687</v>
      </c>
      <c r="C1130" t="s">
        <v>994</v>
      </c>
      <c r="D1130">
        <v>1536.8000000000002</v>
      </c>
      <c r="E1130" s="128">
        <v>45261</v>
      </c>
      <c r="F1130" s="128">
        <v>47483</v>
      </c>
      <c r="G11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1536.8000000000002</v>
      </c>
      <c r="H1130" s="128" t="str">
        <f t="shared" ca="1" si="17"/>
        <v>YES</v>
      </c>
      <c r="Q1130" t="s">
        <v>2067</v>
      </c>
      <c r="R1130">
        <v>92.043610000000001</v>
      </c>
    </row>
    <row r="1131" spans="1:18">
      <c r="A1131" t="s">
        <v>992</v>
      </c>
      <c r="B1131" t="s">
        <v>1604</v>
      </c>
      <c r="C1131" t="s">
        <v>994</v>
      </c>
      <c r="D1131">
        <v>1149</v>
      </c>
      <c r="E1131" s="128">
        <v>44927</v>
      </c>
      <c r="F1131" s="128">
        <v>45016</v>
      </c>
      <c r="G11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1149</v>
      </c>
      <c r="H1131" s="128" t="str">
        <f t="shared" ca="1" si="17"/>
        <v>NO</v>
      </c>
      <c r="Q1131" t="s">
        <v>2068</v>
      </c>
      <c r="R1131">
        <v>151.35617999999999</v>
      </c>
    </row>
    <row r="1132" spans="1:18">
      <c r="A1132" t="s">
        <v>992</v>
      </c>
      <c r="B1132" t="s">
        <v>1687</v>
      </c>
      <c r="C1132" t="s">
        <v>994</v>
      </c>
      <c r="D1132">
        <v>1536</v>
      </c>
      <c r="E1132" s="128">
        <v>45292</v>
      </c>
      <c r="F1132" s="128">
        <v>45657</v>
      </c>
      <c r="G11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1536</v>
      </c>
      <c r="H1132" s="128" t="str">
        <f t="shared" ca="1" si="17"/>
        <v>NO</v>
      </c>
      <c r="Q1132" t="s">
        <v>2069</v>
      </c>
      <c r="R1132">
        <v>60.264410000000005</v>
      </c>
    </row>
    <row r="1133" spans="1:18">
      <c r="A1133" t="s">
        <v>992</v>
      </c>
      <c r="B1133" t="s">
        <v>1684</v>
      </c>
      <c r="C1133" t="s">
        <v>994</v>
      </c>
      <c r="D1133">
        <v>1756.9999999999998</v>
      </c>
      <c r="E1133" s="128">
        <v>36526</v>
      </c>
      <c r="F1133" s="128">
        <v>44834</v>
      </c>
      <c r="G11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1756.9999999999998</v>
      </c>
      <c r="H1133" s="128" t="str">
        <f t="shared" ca="1" si="17"/>
        <v>NO</v>
      </c>
      <c r="Q1133" t="s">
        <v>2070</v>
      </c>
      <c r="R1133">
        <v>39.236260000000001</v>
      </c>
    </row>
    <row r="1134" spans="1:18">
      <c r="A1134" t="s">
        <v>992</v>
      </c>
      <c r="B1134" t="s">
        <v>1604</v>
      </c>
      <c r="C1134" t="s">
        <v>994</v>
      </c>
      <c r="D1134">
        <v>1068.5999999999999</v>
      </c>
      <c r="E1134" s="128">
        <v>45017</v>
      </c>
      <c r="F1134" s="128">
        <v>45291</v>
      </c>
      <c r="G11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1068.5999999999999</v>
      </c>
      <c r="H1134" s="128" t="str">
        <f t="shared" ca="1" si="17"/>
        <v>NO</v>
      </c>
      <c r="Q1134" t="s">
        <v>2071</v>
      </c>
      <c r="R1134">
        <v>62.327260000000003</v>
      </c>
    </row>
    <row r="1135" spans="1:18">
      <c r="A1135" t="s">
        <v>992</v>
      </c>
      <c r="B1135" t="s">
        <v>1684</v>
      </c>
      <c r="C1135" t="s">
        <v>994</v>
      </c>
      <c r="D1135">
        <v>1827.28</v>
      </c>
      <c r="E1135" s="128">
        <v>44835</v>
      </c>
      <c r="F1135" s="128">
        <v>44926</v>
      </c>
      <c r="G11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1827.28</v>
      </c>
      <c r="H1135" s="128" t="str">
        <f t="shared" ca="1" si="17"/>
        <v>NO</v>
      </c>
      <c r="Q1135" t="s">
        <v>2072</v>
      </c>
      <c r="R1135">
        <v>1.9610799999999999</v>
      </c>
    </row>
    <row r="1136" spans="1:18">
      <c r="A1136" t="s">
        <v>992</v>
      </c>
      <c r="B1136" t="s">
        <v>1604</v>
      </c>
      <c r="C1136" t="s">
        <v>994</v>
      </c>
      <c r="D1136">
        <v>1068.1000000000001</v>
      </c>
      <c r="E1136" s="128">
        <v>45292</v>
      </c>
      <c r="F1136" s="128">
        <v>45657</v>
      </c>
      <c r="G11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1068.1000000000001</v>
      </c>
      <c r="H1136" s="128" t="str">
        <f t="shared" ca="1" si="17"/>
        <v>NO</v>
      </c>
      <c r="Q1136" t="s">
        <v>2073</v>
      </c>
      <c r="R1136">
        <v>2.8835999999999999</v>
      </c>
    </row>
    <row r="1137" spans="1:18">
      <c r="A1137" t="s">
        <v>992</v>
      </c>
      <c r="B1137" t="s">
        <v>1684</v>
      </c>
      <c r="C1137" t="s">
        <v>994</v>
      </c>
      <c r="D1137">
        <v>1809</v>
      </c>
      <c r="E1137" s="128">
        <v>44927</v>
      </c>
      <c r="F1137" s="128">
        <v>45382</v>
      </c>
      <c r="G11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1809</v>
      </c>
      <c r="H1137" s="128" t="str">
        <f t="shared" ca="1" si="17"/>
        <v>NO</v>
      </c>
      <c r="Q1137" t="s">
        <v>2074</v>
      </c>
      <c r="R1137">
        <v>19.380499999999998</v>
      </c>
    </row>
    <row r="1138" spans="1:18">
      <c r="A1138" t="s">
        <v>992</v>
      </c>
      <c r="B1138" t="s">
        <v>1688</v>
      </c>
      <c r="C1138" t="s">
        <v>994</v>
      </c>
      <c r="D1138">
        <v>1682.3999999999999</v>
      </c>
      <c r="E1138" s="128">
        <v>45261</v>
      </c>
      <c r="F1138" s="128">
        <v>45657</v>
      </c>
      <c r="G11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1682.3999999999999</v>
      </c>
      <c r="H1138" s="128" t="str">
        <f t="shared" ca="1" si="17"/>
        <v>NO</v>
      </c>
      <c r="Q1138" t="s">
        <v>2075</v>
      </c>
      <c r="R1138">
        <v>39.43289</v>
      </c>
    </row>
    <row r="1139" spans="1:18">
      <c r="A1139" t="s">
        <v>992</v>
      </c>
      <c r="B1139" t="s">
        <v>1605</v>
      </c>
      <c r="C1139" t="s">
        <v>994</v>
      </c>
      <c r="D1139">
        <v>1170</v>
      </c>
      <c r="E1139" s="128">
        <v>36526</v>
      </c>
      <c r="F1139" s="128">
        <v>44834</v>
      </c>
      <c r="G11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1170</v>
      </c>
      <c r="H1139" s="128" t="str">
        <f t="shared" ca="1" si="17"/>
        <v>NO</v>
      </c>
      <c r="Q1139" t="s">
        <v>2076</v>
      </c>
      <c r="R1139">
        <v>5.8001199999999997</v>
      </c>
    </row>
    <row r="1140" spans="1:18">
      <c r="A1140" t="s">
        <v>992</v>
      </c>
      <c r="B1140" t="s">
        <v>1605</v>
      </c>
      <c r="C1140" t="s">
        <v>994</v>
      </c>
      <c r="D1140">
        <v>1216.8</v>
      </c>
      <c r="E1140" s="128">
        <v>44835</v>
      </c>
      <c r="F1140" s="128">
        <v>44926</v>
      </c>
      <c r="G11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1216.8</v>
      </c>
      <c r="H1140" s="128" t="str">
        <f t="shared" ca="1" si="17"/>
        <v>NO</v>
      </c>
      <c r="Q1140" t="s">
        <v>2077</v>
      </c>
      <c r="R1140">
        <v>1.9609099999999999</v>
      </c>
    </row>
    <row r="1141" spans="1:18">
      <c r="A1141" t="s">
        <v>992</v>
      </c>
      <c r="B1141" t="s">
        <v>1605</v>
      </c>
      <c r="C1141" t="s">
        <v>994</v>
      </c>
      <c r="D1141">
        <v>1204.6320000000001</v>
      </c>
      <c r="E1141" s="128">
        <v>44927</v>
      </c>
      <c r="F1141" s="128">
        <v>45016</v>
      </c>
      <c r="G11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1204.6320000000001</v>
      </c>
      <c r="H1141" s="128" t="str">
        <f t="shared" ca="1" si="17"/>
        <v>NO</v>
      </c>
      <c r="Q1141" t="s">
        <v>2078</v>
      </c>
      <c r="R1141">
        <v>15.85127</v>
      </c>
    </row>
    <row r="1142" spans="1:18">
      <c r="A1142" t="s">
        <v>992</v>
      </c>
      <c r="B1142" t="s">
        <v>937</v>
      </c>
      <c r="C1142" t="s">
        <v>994</v>
      </c>
      <c r="D1142">
        <v>1143</v>
      </c>
      <c r="E1142" s="128">
        <v>36526</v>
      </c>
      <c r="F1142" s="128">
        <v>44834</v>
      </c>
      <c r="G11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1143</v>
      </c>
      <c r="H1142" s="128" t="str">
        <f t="shared" ca="1" si="17"/>
        <v>NO</v>
      </c>
      <c r="Q1142" t="s">
        <v>2079</v>
      </c>
      <c r="R1142">
        <v>4.8431600000000001</v>
      </c>
    </row>
    <row r="1143" spans="1:18">
      <c r="A1143" t="s">
        <v>992</v>
      </c>
      <c r="B1143" t="s">
        <v>1605</v>
      </c>
      <c r="C1143" t="s">
        <v>994</v>
      </c>
      <c r="D1143">
        <v>1120.3</v>
      </c>
      <c r="E1143" s="128">
        <v>45017</v>
      </c>
      <c r="F1143" s="128">
        <v>45657</v>
      </c>
      <c r="G11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1120.3</v>
      </c>
      <c r="H1143" s="128" t="str">
        <f t="shared" ca="1" si="17"/>
        <v>NO</v>
      </c>
      <c r="Q1143" t="s">
        <v>2080</v>
      </c>
      <c r="R1143">
        <v>1.9615100000000001</v>
      </c>
    </row>
    <row r="1144" spans="1:18">
      <c r="A1144" t="s">
        <v>992</v>
      </c>
      <c r="B1144" t="s">
        <v>937</v>
      </c>
      <c r="C1144" t="s">
        <v>994</v>
      </c>
      <c r="D1144">
        <v>1188.72</v>
      </c>
      <c r="E1144" s="128">
        <v>44835</v>
      </c>
      <c r="F1144" s="128">
        <v>44926</v>
      </c>
      <c r="G11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1188.72</v>
      </c>
      <c r="H1144" s="128" t="str">
        <f t="shared" ca="1" si="17"/>
        <v>NO</v>
      </c>
      <c r="Q1144" t="s">
        <v>2081</v>
      </c>
      <c r="R1144">
        <v>1.9612000000000001</v>
      </c>
    </row>
    <row r="1145" spans="1:18">
      <c r="A1145" t="s">
        <v>992</v>
      </c>
      <c r="B1145" t="s">
        <v>937</v>
      </c>
      <c r="C1145" t="s">
        <v>994</v>
      </c>
      <c r="D1145">
        <v>1176.8</v>
      </c>
      <c r="E1145" s="128">
        <v>44927</v>
      </c>
      <c r="F1145" s="128">
        <v>45016</v>
      </c>
      <c r="G11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1176.8</v>
      </c>
      <c r="H1145" s="128" t="str">
        <f t="shared" ca="1" si="17"/>
        <v>NO</v>
      </c>
      <c r="Q1145" t="s">
        <v>2082</v>
      </c>
      <c r="R1145">
        <v>1.9602299999999999</v>
      </c>
    </row>
    <row r="1146" spans="1:18">
      <c r="A1146" t="s">
        <v>992</v>
      </c>
      <c r="B1146" t="s">
        <v>1606</v>
      </c>
      <c r="C1146" t="s">
        <v>994</v>
      </c>
      <c r="D1146">
        <v>1185</v>
      </c>
      <c r="E1146" s="128">
        <v>36526</v>
      </c>
      <c r="F1146" s="128">
        <v>44834</v>
      </c>
      <c r="G11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1185</v>
      </c>
      <c r="H1146" s="128" t="str">
        <f t="shared" ca="1" si="17"/>
        <v>NO</v>
      </c>
      <c r="Q1146" t="s">
        <v>2083</v>
      </c>
      <c r="R1146">
        <v>1.9610799999999999</v>
      </c>
    </row>
    <row r="1147" spans="1:18">
      <c r="A1147" t="s">
        <v>992</v>
      </c>
      <c r="B1147" t="s">
        <v>937</v>
      </c>
      <c r="C1147" t="s">
        <v>994</v>
      </c>
      <c r="D1147">
        <v>1094.44</v>
      </c>
      <c r="E1147" s="128">
        <v>45017</v>
      </c>
      <c r="F1147" s="128">
        <v>45657</v>
      </c>
      <c r="G11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1094.44</v>
      </c>
      <c r="H1147" s="128" t="str">
        <f t="shared" ca="1" si="17"/>
        <v>NO</v>
      </c>
      <c r="Q1147" t="s">
        <v>2084</v>
      </c>
      <c r="R1147">
        <v>332.04701</v>
      </c>
    </row>
    <row r="1148" spans="1:18">
      <c r="A1148" t="s">
        <v>992</v>
      </c>
      <c r="B1148" t="s">
        <v>1606</v>
      </c>
      <c r="C1148" t="s">
        <v>994</v>
      </c>
      <c r="D1148">
        <v>1232.4000000000001</v>
      </c>
      <c r="E1148" s="128">
        <v>44835</v>
      </c>
      <c r="F1148" s="128">
        <v>44926</v>
      </c>
      <c r="G11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1232.4000000000001</v>
      </c>
      <c r="H1148" s="128" t="str">
        <f t="shared" ca="1" si="17"/>
        <v>NO</v>
      </c>
      <c r="Q1148" t="s">
        <v>2085</v>
      </c>
      <c r="R1148">
        <v>152.64771000000002</v>
      </c>
    </row>
    <row r="1149" spans="1:18">
      <c r="A1149" t="s">
        <v>992</v>
      </c>
      <c r="B1149" t="s">
        <v>1606</v>
      </c>
      <c r="C1149" t="s">
        <v>994</v>
      </c>
      <c r="D1149">
        <v>1220.0999999999999</v>
      </c>
      <c r="E1149" s="128">
        <v>44927</v>
      </c>
      <c r="F1149" s="128">
        <v>45016</v>
      </c>
      <c r="G11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1220.0999999999999</v>
      </c>
      <c r="H1149" s="128" t="str">
        <f t="shared" ca="1" si="17"/>
        <v>NO</v>
      </c>
      <c r="Q1149" t="s">
        <v>2086</v>
      </c>
      <c r="R1149">
        <v>25.865250000000003</v>
      </c>
    </row>
    <row r="1150" spans="1:18">
      <c r="A1150" t="s">
        <v>992</v>
      </c>
      <c r="B1150" t="s">
        <v>1607</v>
      </c>
      <c r="C1150" t="s">
        <v>994</v>
      </c>
      <c r="D1150">
        <v>410</v>
      </c>
      <c r="E1150" s="128">
        <v>36526</v>
      </c>
      <c r="F1150" s="128">
        <v>47483</v>
      </c>
      <c r="G11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410</v>
      </c>
      <c r="H1150" s="128" t="str">
        <f t="shared" ca="1" si="17"/>
        <v>YES</v>
      </c>
      <c r="Q1150" t="s">
        <v>2087</v>
      </c>
      <c r="R1150">
        <v>0.96162999999999998</v>
      </c>
    </row>
    <row r="1151" spans="1:18">
      <c r="A1151" t="s">
        <v>992</v>
      </c>
      <c r="B1151" t="s">
        <v>1606</v>
      </c>
      <c r="C1151" t="s">
        <v>994</v>
      </c>
      <c r="D1151">
        <v>1134.7</v>
      </c>
      <c r="E1151" s="128">
        <v>45017</v>
      </c>
      <c r="F1151" s="128">
        <v>45657</v>
      </c>
      <c r="G11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1134.7</v>
      </c>
      <c r="H1151" s="128" t="str">
        <f t="shared" ca="1" si="17"/>
        <v>NO</v>
      </c>
      <c r="Q1151" t="s">
        <v>2088</v>
      </c>
      <c r="R1151">
        <v>168.65156999999999</v>
      </c>
    </row>
    <row r="1152" spans="1:18">
      <c r="A1152" t="s">
        <v>992</v>
      </c>
      <c r="B1152" t="s">
        <v>1607</v>
      </c>
      <c r="C1152" t="s">
        <v>994</v>
      </c>
      <c r="D1152">
        <v>360</v>
      </c>
      <c r="E1152" s="128">
        <v>36526</v>
      </c>
      <c r="F1152" s="128">
        <v>47483</v>
      </c>
      <c r="G11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360</v>
      </c>
      <c r="H1152" s="128" t="str">
        <f t="shared" ca="1" si="17"/>
        <v>YES</v>
      </c>
      <c r="Q1152" t="s">
        <v>2089</v>
      </c>
      <c r="R1152">
        <v>332.96941000000004</v>
      </c>
    </row>
    <row r="1153" spans="1:18">
      <c r="A1153" t="s">
        <v>992</v>
      </c>
      <c r="B1153" t="s">
        <v>1608</v>
      </c>
      <c r="C1153" t="s">
        <v>994</v>
      </c>
      <c r="D1153">
        <v>426</v>
      </c>
      <c r="E1153" s="128">
        <v>36526</v>
      </c>
      <c r="F1153" s="128">
        <v>47483</v>
      </c>
      <c r="G11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426</v>
      </c>
      <c r="H1153" s="128" t="str">
        <f t="shared" ca="1" si="17"/>
        <v>YES</v>
      </c>
      <c r="Q1153" t="s">
        <v>2090</v>
      </c>
      <c r="R1153">
        <v>28.732760000000003</v>
      </c>
    </row>
    <row r="1154" spans="1:18">
      <c r="A1154" t="s">
        <v>992</v>
      </c>
      <c r="B1154" t="s">
        <v>1608</v>
      </c>
      <c r="C1154" t="s">
        <v>994</v>
      </c>
      <c r="D1154">
        <v>481</v>
      </c>
      <c r="E1154" s="128">
        <v>36526</v>
      </c>
      <c r="F1154" s="128">
        <v>47483</v>
      </c>
      <c r="G11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481</v>
      </c>
      <c r="H1154" s="128" t="str">
        <f t="shared" ref="H1154:H1217" ca="1" si="18">IF(OR(F1154=0,F1154&gt;TODAY()),"YES","NO")</f>
        <v>YES</v>
      </c>
      <c r="Q1154" t="s">
        <v>2091</v>
      </c>
      <c r="R1154">
        <v>27.994439999999997</v>
      </c>
    </row>
    <row r="1155" spans="1:18">
      <c r="A1155" t="s">
        <v>992</v>
      </c>
      <c r="B1155" t="s">
        <v>1609</v>
      </c>
      <c r="C1155" t="s">
        <v>994</v>
      </c>
      <c r="D1155">
        <v>1620.0000000000002</v>
      </c>
      <c r="E1155" s="128">
        <v>36526</v>
      </c>
      <c r="F1155" s="128">
        <v>47483</v>
      </c>
      <c r="G11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1620.0000000000002</v>
      </c>
      <c r="H1155" s="128" t="str">
        <f t="shared" ca="1" si="18"/>
        <v>YES</v>
      </c>
      <c r="Q1155" t="s">
        <v>2092</v>
      </c>
      <c r="R1155">
        <v>1.9610799999999999</v>
      </c>
    </row>
    <row r="1156" spans="1:18">
      <c r="A1156" t="s">
        <v>992</v>
      </c>
      <c r="B1156" t="s">
        <v>1610</v>
      </c>
      <c r="C1156" t="s">
        <v>994</v>
      </c>
      <c r="D1156">
        <v>1100</v>
      </c>
      <c r="E1156" s="128">
        <v>36526</v>
      </c>
      <c r="F1156" s="128">
        <v>44622</v>
      </c>
      <c r="G11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1100</v>
      </c>
      <c r="H1156" s="128" t="str">
        <f t="shared" ca="1" si="18"/>
        <v>NO</v>
      </c>
      <c r="Q1156" t="s">
        <v>2093</v>
      </c>
      <c r="R1156">
        <v>31.125579999999999</v>
      </c>
    </row>
    <row r="1157" spans="1:18">
      <c r="A1157" t="s">
        <v>992</v>
      </c>
      <c r="B1157" t="s">
        <v>1610</v>
      </c>
      <c r="C1157" t="s">
        <v>994</v>
      </c>
      <c r="D1157">
        <v>1335</v>
      </c>
      <c r="E1157" s="128">
        <v>44623</v>
      </c>
      <c r="F1157" s="128">
        <v>44649</v>
      </c>
      <c r="G11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1335</v>
      </c>
      <c r="H1157" s="128" t="str">
        <f t="shared" ca="1" si="18"/>
        <v>NO</v>
      </c>
      <c r="Q1157" t="s">
        <v>2094</v>
      </c>
      <c r="R1157">
        <v>140.01729</v>
      </c>
    </row>
    <row r="1158" spans="1:18">
      <c r="A1158" t="s">
        <v>992</v>
      </c>
      <c r="B1158" t="s">
        <v>1610</v>
      </c>
      <c r="C1158" t="s">
        <v>994</v>
      </c>
      <c r="D1158">
        <v>1420</v>
      </c>
      <c r="E1158" s="128">
        <v>44650</v>
      </c>
      <c r="F1158" s="128">
        <v>47483</v>
      </c>
      <c r="G11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1420</v>
      </c>
      <c r="H1158" s="128" t="str">
        <f t="shared" ca="1" si="18"/>
        <v>YES</v>
      </c>
      <c r="Q1158" t="s">
        <v>2095</v>
      </c>
      <c r="R1158">
        <v>14.447089999999999</v>
      </c>
    </row>
    <row r="1159" spans="1:18">
      <c r="A1159" t="s">
        <v>992</v>
      </c>
      <c r="B1159" t="s">
        <v>1611</v>
      </c>
      <c r="C1159" t="s">
        <v>994</v>
      </c>
      <c r="D1159">
        <v>934.99999999999989</v>
      </c>
      <c r="E1159" s="128">
        <v>36526</v>
      </c>
      <c r="F1159" s="128">
        <v>47483</v>
      </c>
      <c r="G11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934.99999999999989</v>
      </c>
      <c r="H1159" s="128" t="str">
        <f t="shared" ca="1" si="18"/>
        <v>YES</v>
      </c>
      <c r="Q1159" t="s">
        <v>2096</v>
      </c>
      <c r="R1159">
        <v>14.447089999999999</v>
      </c>
    </row>
    <row r="1160" spans="1:18">
      <c r="A1160" t="s">
        <v>992</v>
      </c>
      <c r="B1160" t="s">
        <v>1612</v>
      </c>
      <c r="C1160" t="s">
        <v>994</v>
      </c>
      <c r="D1160">
        <v>804</v>
      </c>
      <c r="E1160" s="128">
        <v>36526</v>
      </c>
      <c r="F1160" s="128">
        <v>47483</v>
      </c>
      <c r="G11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804</v>
      </c>
      <c r="H1160" s="128" t="str">
        <f t="shared" ca="1" si="18"/>
        <v>YES</v>
      </c>
      <c r="Q1160" t="s">
        <v>2097</v>
      </c>
      <c r="R1160">
        <v>10.757489999999999</v>
      </c>
    </row>
    <row r="1161" spans="1:18">
      <c r="A1161" t="s">
        <v>992</v>
      </c>
      <c r="B1161" t="s">
        <v>1613</v>
      </c>
      <c r="C1161" t="s">
        <v>994</v>
      </c>
      <c r="D1161">
        <v>810.00000000000011</v>
      </c>
      <c r="E1161" s="128">
        <v>44369</v>
      </c>
      <c r="F1161" s="128">
        <v>44926</v>
      </c>
      <c r="G11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810.00000000000011</v>
      </c>
      <c r="H1161" s="128" t="str">
        <f t="shared" ca="1" si="18"/>
        <v>NO</v>
      </c>
      <c r="Q1161" t="s">
        <v>2098</v>
      </c>
      <c r="R1161">
        <v>75.880399999999995</v>
      </c>
    </row>
    <row r="1162" spans="1:18">
      <c r="A1162" t="s">
        <v>992</v>
      </c>
      <c r="B1162" t="s">
        <v>1613</v>
      </c>
      <c r="C1162" t="s">
        <v>994</v>
      </c>
      <c r="D1162">
        <v>761.4</v>
      </c>
      <c r="E1162" s="128">
        <v>44927</v>
      </c>
      <c r="F1162" s="128">
        <v>45016</v>
      </c>
      <c r="G11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761.4</v>
      </c>
      <c r="H1162" s="128" t="str">
        <f t="shared" ca="1" si="18"/>
        <v>NO</v>
      </c>
      <c r="Q1162" t="s">
        <v>2099</v>
      </c>
      <c r="R1162">
        <v>145.21234000000001</v>
      </c>
    </row>
    <row r="1163" spans="1:18">
      <c r="A1163" t="s">
        <v>992</v>
      </c>
      <c r="B1163" t="s">
        <v>1613</v>
      </c>
      <c r="C1163" t="s">
        <v>994</v>
      </c>
      <c r="D1163">
        <v>716.4</v>
      </c>
      <c r="E1163" s="128">
        <v>-53688</v>
      </c>
      <c r="F1163" s="128">
        <v>-53688</v>
      </c>
      <c r="G11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716.4</v>
      </c>
      <c r="H1163" s="128" t="str">
        <f t="shared" ca="1" si="18"/>
        <v>NO</v>
      </c>
      <c r="Q1163" t="s">
        <v>2100</v>
      </c>
      <c r="R1163">
        <v>156.7456</v>
      </c>
    </row>
    <row r="1164" spans="1:18">
      <c r="A1164" t="s">
        <v>992</v>
      </c>
      <c r="B1164" t="s">
        <v>1614</v>
      </c>
      <c r="C1164" t="s">
        <v>994</v>
      </c>
      <c r="D1164">
        <v>630.9</v>
      </c>
      <c r="E1164" s="128">
        <v>44369</v>
      </c>
      <c r="F1164" s="128">
        <v>44834</v>
      </c>
      <c r="G11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630.9</v>
      </c>
      <c r="H1164" s="128" t="str">
        <f t="shared" ca="1" si="18"/>
        <v>NO</v>
      </c>
      <c r="Q1164" t="s">
        <v>2101</v>
      </c>
      <c r="R1164">
        <v>96.872189999999989</v>
      </c>
    </row>
    <row r="1165" spans="1:18">
      <c r="A1165" t="s">
        <v>992</v>
      </c>
      <c r="B1165" t="s">
        <v>1614</v>
      </c>
      <c r="C1165" t="s">
        <v>994</v>
      </c>
      <c r="D1165">
        <v>662.45</v>
      </c>
      <c r="E1165" s="128">
        <v>44835</v>
      </c>
      <c r="F1165" s="128">
        <v>45016</v>
      </c>
      <c r="G11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662.45</v>
      </c>
      <c r="H1165" s="128" t="str">
        <f t="shared" ca="1" si="18"/>
        <v>NO</v>
      </c>
      <c r="Q1165" t="s">
        <v>2102</v>
      </c>
      <c r="R1165">
        <v>113.78169000000001</v>
      </c>
    </row>
    <row r="1166" spans="1:18">
      <c r="A1166" t="s">
        <v>992</v>
      </c>
      <c r="B1166" t="s">
        <v>1615</v>
      </c>
      <c r="C1166" t="s">
        <v>994</v>
      </c>
      <c r="D1166">
        <v>795</v>
      </c>
      <c r="E1166" s="128">
        <v>36526</v>
      </c>
      <c r="F1166" s="128">
        <v>47483</v>
      </c>
      <c r="G11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795</v>
      </c>
      <c r="H1166" s="128" t="str">
        <f t="shared" ca="1" si="18"/>
        <v>YES</v>
      </c>
      <c r="Q1166" t="s">
        <v>2103</v>
      </c>
      <c r="R1166">
        <v>201.18078999999997</v>
      </c>
    </row>
    <row r="1167" spans="1:18">
      <c r="A1167" t="s">
        <v>992</v>
      </c>
      <c r="B1167" t="s">
        <v>1617</v>
      </c>
      <c r="C1167" t="s">
        <v>994</v>
      </c>
      <c r="D1167">
        <v>894</v>
      </c>
      <c r="E1167" s="128">
        <v>36526</v>
      </c>
      <c r="F1167" s="128">
        <v>44834</v>
      </c>
      <c r="G11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894</v>
      </c>
      <c r="H1167" s="128" t="str">
        <f t="shared" ca="1" si="18"/>
        <v>NO</v>
      </c>
      <c r="Q1167" t="s">
        <v>2104</v>
      </c>
      <c r="R1167">
        <v>115.49941000000001</v>
      </c>
    </row>
    <row r="1168" spans="1:18">
      <c r="A1168" t="s">
        <v>992</v>
      </c>
      <c r="B1168" t="s">
        <v>1617</v>
      </c>
      <c r="C1168" t="s">
        <v>994</v>
      </c>
      <c r="D1168">
        <v>938.7</v>
      </c>
      <c r="E1168" s="128">
        <v>44835</v>
      </c>
      <c r="F1168" s="128">
        <v>45016</v>
      </c>
      <c r="G11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938.7</v>
      </c>
      <c r="H1168" s="128" t="str">
        <f t="shared" ca="1" si="18"/>
        <v>NO</v>
      </c>
      <c r="Q1168" t="s">
        <v>2105</v>
      </c>
      <c r="R1168">
        <v>144.43467999999999</v>
      </c>
    </row>
    <row r="1169" spans="1:18">
      <c r="A1169" t="s">
        <v>992</v>
      </c>
      <c r="B1169" t="s">
        <v>1618</v>
      </c>
      <c r="C1169" t="s">
        <v>994</v>
      </c>
      <c r="D1169">
        <v>2563</v>
      </c>
      <c r="E1169" s="128">
        <v>44927</v>
      </c>
      <c r="F1169" s="128">
        <v>45657</v>
      </c>
      <c r="G11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2563</v>
      </c>
      <c r="H1169" s="128" t="str">
        <f t="shared" ca="1" si="18"/>
        <v>NO</v>
      </c>
      <c r="Q1169" t="s">
        <v>2106</v>
      </c>
      <c r="R1169">
        <v>25.296560000000003</v>
      </c>
    </row>
    <row r="1170" spans="1:18">
      <c r="A1170" t="s">
        <v>992</v>
      </c>
      <c r="B1170" t="s">
        <v>1618</v>
      </c>
      <c r="C1170" t="s">
        <v>994</v>
      </c>
      <c r="D1170">
        <v>2435</v>
      </c>
      <c r="E1170" s="128">
        <v>45658</v>
      </c>
      <c r="F1170" s="128">
        <v>46022</v>
      </c>
      <c r="G11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2435</v>
      </c>
      <c r="H1170" s="128" t="str">
        <f t="shared" ca="1" si="18"/>
        <v>YES</v>
      </c>
      <c r="Q1170" t="s">
        <v>2107</v>
      </c>
      <c r="R1170">
        <v>72.575839999999999</v>
      </c>
    </row>
    <row r="1171" spans="1:18">
      <c r="A1171" t="s">
        <v>992</v>
      </c>
      <c r="B1171" t="s">
        <v>1620</v>
      </c>
      <c r="C1171" t="s">
        <v>994</v>
      </c>
      <c r="D1171">
        <v>860</v>
      </c>
      <c r="E1171" s="128">
        <v>36526</v>
      </c>
      <c r="F1171" s="128">
        <v>44834</v>
      </c>
      <c r="G11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860</v>
      </c>
      <c r="H1171" s="128" t="str">
        <f t="shared" ca="1" si="18"/>
        <v>NO</v>
      </c>
      <c r="Q1171" t="s">
        <v>2108</v>
      </c>
      <c r="R1171">
        <v>206.4589</v>
      </c>
    </row>
    <row r="1172" spans="1:18">
      <c r="A1172" t="s">
        <v>992</v>
      </c>
      <c r="B1172" t="s">
        <v>1620</v>
      </c>
      <c r="C1172" t="s">
        <v>994</v>
      </c>
      <c r="D1172">
        <v>902.99999999999989</v>
      </c>
      <c r="E1172" s="128">
        <v>44835</v>
      </c>
      <c r="F1172" s="128">
        <v>45016</v>
      </c>
      <c r="G11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902.99999999999989</v>
      </c>
      <c r="H1172" s="128" t="str">
        <f t="shared" ca="1" si="18"/>
        <v>NO</v>
      </c>
      <c r="Q1172" t="s">
        <v>2109</v>
      </c>
      <c r="R1172">
        <v>18.783519999999999</v>
      </c>
    </row>
    <row r="1173" spans="1:18">
      <c r="A1173" t="s">
        <v>992</v>
      </c>
      <c r="B1173" t="s">
        <v>1622</v>
      </c>
      <c r="C1173" t="s">
        <v>994</v>
      </c>
      <c r="D1173">
        <v>1089</v>
      </c>
      <c r="E1173" s="128">
        <v>36526</v>
      </c>
      <c r="F1173" s="128">
        <v>47483</v>
      </c>
      <c r="G11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1089</v>
      </c>
      <c r="H1173" s="128" t="str">
        <f t="shared" ca="1" si="18"/>
        <v>YES</v>
      </c>
      <c r="Q1173" t="s">
        <v>2110</v>
      </c>
      <c r="R1173">
        <v>107.08588</v>
      </c>
    </row>
    <row r="1174" spans="1:18">
      <c r="A1174" t="s">
        <v>992</v>
      </c>
      <c r="B1174" t="s">
        <v>1622</v>
      </c>
      <c r="C1174" t="s">
        <v>994</v>
      </c>
      <c r="D1174">
        <v>1034</v>
      </c>
      <c r="E1174" s="128">
        <v>36526</v>
      </c>
      <c r="F1174" s="128">
        <v>47483</v>
      </c>
      <c r="G11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1034</v>
      </c>
      <c r="H1174" s="128" t="str">
        <f t="shared" ca="1" si="18"/>
        <v>YES</v>
      </c>
      <c r="Q1174" t="s">
        <v>2111</v>
      </c>
      <c r="R1174">
        <v>17.655570000000001</v>
      </c>
    </row>
    <row r="1175" spans="1:18">
      <c r="A1175" t="s">
        <v>992</v>
      </c>
      <c r="B1175" t="s">
        <v>813</v>
      </c>
      <c r="C1175" t="s">
        <v>994</v>
      </c>
      <c r="D1175">
        <v>1312</v>
      </c>
      <c r="E1175" s="128">
        <v>44927</v>
      </c>
      <c r="F1175" s="128">
        <v>45657</v>
      </c>
      <c r="G11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1312</v>
      </c>
      <c r="H1175" s="128" t="str">
        <f t="shared" ca="1" si="18"/>
        <v>NO</v>
      </c>
      <c r="Q1175" t="s">
        <v>2112</v>
      </c>
      <c r="R1175">
        <v>1445.3291899999999</v>
      </c>
    </row>
    <row r="1176" spans="1:18">
      <c r="A1176" t="s">
        <v>992</v>
      </c>
      <c r="B1176" t="s">
        <v>813</v>
      </c>
      <c r="C1176" t="s">
        <v>994</v>
      </c>
      <c r="D1176">
        <v>1296.3</v>
      </c>
      <c r="E1176" s="128">
        <v>45658</v>
      </c>
      <c r="F1176" s="128">
        <v>46022</v>
      </c>
      <c r="G11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1296.3</v>
      </c>
      <c r="H1176" s="128" t="str">
        <f t="shared" ca="1" si="18"/>
        <v>YES</v>
      </c>
      <c r="Q1176" t="s">
        <v>2113</v>
      </c>
      <c r="R1176">
        <v>99.144389999999987</v>
      </c>
    </row>
    <row r="1177" spans="1:18">
      <c r="A1177" t="s">
        <v>992</v>
      </c>
      <c r="B1177" t="s">
        <v>1624</v>
      </c>
      <c r="C1177" t="s">
        <v>994</v>
      </c>
      <c r="D1177">
        <v>1094</v>
      </c>
      <c r="E1177" s="128">
        <v>36526</v>
      </c>
      <c r="F1177" s="128">
        <v>47483</v>
      </c>
      <c r="G11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1094</v>
      </c>
      <c r="H1177" s="128" t="str">
        <f t="shared" ca="1" si="18"/>
        <v>YES</v>
      </c>
      <c r="Q1177" t="s">
        <v>2114</v>
      </c>
      <c r="R1177">
        <v>17.654119999999999</v>
      </c>
    </row>
    <row r="1178" spans="1:18">
      <c r="A1178" t="s">
        <v>992</v>
      </c>
      <c r="B1178" t="s">
        <v>1624</v>
      </c>
      <c r="C1178" t="s">
        <v>994</v>
      </c>
      <c r="D1178">
        <v>909</v>
      </c>
      <c r="E1178" s="128">
        <v>36526</v>
      </c>
      <c r="F1178" s="128">
        <v>47483</v>
      </c>
      <c r="G11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909</v>
      </c>
      <c r="H1178" s="128" t="str">
        <f t="shared" ca="1" si="18"/>
        <v>YES</v>
      </c>
      <c r="Q1178" t="s">
        <v>2115</v>
      </c>
      <c r="R1178">
        <v>24.507910000000003</v>
      </c>
    </row>
    <row r="1179" spans="1:18">
      <c r="A1179" t="s">
        <v>992</v>
      </c>
      <c r="B1179" t="s">
        <v>1625</v>
      </c>
      <c r="C1179" t="s">
        <v>994</v>
      </c>
      <c r="D1179">
        <v>1370</v>
      </c>
      <c r="E1179" s="128">
        <v>36526</v>
      </c>
      <c r="F1179" s="128">
        <v>47483</v>
      </c>
      <c r="G11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1370</v>
      </c>
      <c r="H1179" s="128" t="str">
        <f t="shared" ca="1" si="18"/>
        <v>YES</v>
      </c>
      <c r="Q1179" t="s">
        <v>2116</v>
      </c>
      <c r="R1179">
        <v>107.08963999999999</v>
      </c>
    </row>
    <row r="1180" spans="1:18">
      <c r="A1180" t="s">
        <v>992</v>
      </c>
      <c r="B1180" t="s">
        <v>1625</v>
      </c>
      <c r="C1180" t="s">
        <v>994</v>
      </c>
      <c r="D1180">
        <v>1213</v>
      </c>
      <c r="E1180" s="128">
        <v>36526</v>
      </c>
      <c r="F1180" s="128">
        <v>47483</v>
      </c>
      <c r="G11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1213</v>
      </c>
      <c r="H1180" s="128" t="str">
        <f t="shared" ca="1" si="18"/>
        <v>YES</v>
      </c>
      <c r="Q1180" t="s">
        <v>2117</v>
      </c>
      <c r="R1180">
        <v>93.520379999999989</v>
      </c>
    </row>
    <row r="1181" spans="1:18">
      <c r="A1181" t="s">
        <v>992</v>
      </c>
      <c r="B1181" t="s">
        <v>1626</v>
      </c>
      <c r="C1181" t="s">
        <v>994</v>
      </c>
      <c r="D1181">
        <v>850</v>
      </c>
      <c r="E1181" s="128">
        <v>36526</v>
      </c>
      <c r="F1181" s="128">
        <v>47483</v>
      </c>
      <c r="G11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850</v>
      </c>
      <c r="H1181" s="128" t="str">
        <f t="shared" ca="1" si="18"/>
        <v>YES</v>
      </c>
      <c r="Q1181" t="s">
        <v>2118</v>
      </c>
      <c r="R1181">
        <v>89.83077999999999</v>
      </c>
    </row>
    <row r="1182" spans="1:18">
      <c r="A1182" t="s">
        <v>992</v>
      </c>
      <c r="B1182" t="s">
        <v>1626</v>
      </c>
      <c r="C1182" t="s">
        <v>994</v>
      </c>
      <c r="D1182">
        <v>830</v>
      </c>
      <c r="E1182" s="128">
        <v>45292</v>
      </c>
      <c r="F1182" s="128">
        <v>45657</v>
      </c>
      <c r="G11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830</v>
      </c>
      <c r="H1182" s="128" t="str">
        <f t="shared" ca="1" si="18"/>
        <v>NO</v>
      </c>
      <c r="Q1182" t="s">
        <v>2119</v>
      </c>
      <c r="R1182">
        <v>82.156729999999996</v>
      </c>
    </row>
    <row r="1183" spans="1:18">
      <c r="A1183" t="s">
        <v>992</v>
      </c>
      <c r="B1183" t="s">
        <v>1626</v>
      </c>
      <c r="C1183" t="s">
        <v>994</v>
      </c>
      <c r="D1183">
        <v>810.00000000000011</v>
      </c>
      <c r="E1183" s="128">
        <v>45658</v>
      </c>
      <c r="F1183" s="128">
        <v>46022</v>
      </c>
      <c r="G11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810.00000000000011</v>
      </c>
      <c r="H1183" s="128" t="str">
        <f t="shared" ca="1" si="18"/>
        <v>YES</v>
      </c>
      <c r="Q1183" t="s">
        <v>2120</v>
      </c>
      <c r="R1183">
        <v>35.761920000000003</v>
      </c>
    </row>
    <row r="1184" spans="1:18">
      <c r="A1184" t="s">
        <v>992</v>
      </c>
      <c r="B1184" t="s">
        <v>1626</v>
      </c>
      <c r="C1184" t="s">
        <v>994</v>
      </c>
      <c r="D1184">
        <v>789.99999999999989</v>
      </c>
      <c r="E1184" s="128">
        <v>46023</v>
      </c>
      <c r="F1184" s="128">
        <v>46387</v>
      </c>
      <c r="G11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789.99999999999989</v>
      </c>
      <c r="H1184" s="128" t="str">
        <f t="shared" ca="1" si="18"/>
        <v>YES</v>
      </c>
      <c r="Q1184" t="s">
        <v>2121</v>
      </c>
      <c r="R1184">
        <v>89.463089999999994</v>
      </c>
    </row>
    <row r="1185" spans="1:18">
      <c r="A1185" t="s">
        <v>992</v>
      </c>
      <c r="B1185" t="s">
        <v>1627</v>
      </c>
      <c r="C1185" t="s">
        <v>994</v>
      </c>
      <c r="D1185">
        <v>2350</v>
      </c>
      <c r="E1185" s="128">
        <v>36526</v>
      </c>
      <c r="F1185" s="128">
        <v>46387</v>
      </c>
      <c r="G11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2350</v>
      </c>
      <c r="H1185" s="128" t="str">
        <f t="shared" ca="1" si="18"/>
        <v>YES</v>
      </c>
      <c r="Q1185" t="s">
        <v>2122</v>
      </c>
      <c r="R1185">
        <v>82.811170000000004</v>
      </c>
    </row>
    <row r="1186" spans="1:18">
      <c r="A1186" t="s">
        <v>992</v>
      </c>
      <c r="B1186" t="s">
        <v>1628</v>
      </c>
      <c r="C1186" t="s">
        <v>994</v>
      </c>
      <c r="D1186">
        <v>2550</v>
      </c>
      <c r="E1186" s="128">
        <v>36526</v>
      </c>
      <c r="F1186" s="128">
        <v>47483</v>
      </c>
      <c r="G11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2550</v>
      </c>
      <c r="H1186" s="128" t="str">
        <f t="shared" ca="1" si="18"/>
        <v>YES</v>
      </c>
      <c r="Q1186" t="s">
        <v>2123</v>
      </c>
      <c r="R1186">
        <v>101.84649</v>
      </c>
    </row>
    <row r="1187" spans="1:18">
      <c r="A1187" t="s">
        <v>992</v>
      </c>
      <c r="B1187" t="s">
        <v>1629</v>
      </c>
      <c r="C1187" t="s">
        <v>994</v>
      </c>
      <c r="D1187">
        <v>2250</v>
      </c>
      <c r="E1187" s="128">
        <v>36526</v>
      </c>
      <c r="F1187" s="128">
        <v>47483</v>
      </c>
      <c r="G11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2250</v>
      </c>
      <c r="H1187" s="128" t="str">
        <f t="shared" ca="1" si="18"/>
        <v>YES</v>
      </c>
      <c r="Q1187" t="s">
        <v>2124</v>
      </c>
      <c r="R1187">
        <v>514.21772999999996</v>
      </c>
    </row>
    <row r="1188" spans="1:18">
      <c r="A1188" t="s">
        <v>992</v>
      </c>
      <c r="B1188" t="s">
        <v>1630</v>
      </c>
      <c r="C1188" t="s">
        <v>994</v>
      </c>
      <c r="D1188">
        <v>965.99999999999989</v>
      </c>
      <c r="E1188" s="128">
        <v>44927</v>
      </c>
      <c r="F1188" s="128">
        <v>45657</v>
      </c>
      <c r="G11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965.99999999999989</v>
      </c>
      <c r="H1188" s="128" t="str">
        <f t="shared" ca="1" si="18"/>
        <v>NO</v>
      </c>
      <c r="Q1188" t="s">
        <v>2125</v>
      </c>
      <c r="R1188">
        <v>76.444990000000004</v>
      </c>
    </row>
    <row r="1189" spans="1:18">
      <c r="A1189" t="s">
        <v>992</v>
      </c>
      <c r="B1189" t="s">
        <v>1631</v>
      </c>
      <c r="C1189" t="s">
        <v>994</v>
      </c>
      <c r="D1189">
        <v>1266</v>
      </c>
      <c r="E1189" s="128">
        <v>44927</v>
      </c>
      <c r="F1189" s="128">
        <v>45657</v>
      </c>
      <c r="G11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1266</v>
      </c>
      <c r="H1189" s="128" t="str">
        <f t="shared" ca="1" si="18"/>
        <v>NO</v>
      </c>
      <c r="Q1189" t="s">
        <v>2126</v>
      </c>
      <c r="R1189">
        <v>1582.5704800000001</v>
      </c>
    </row>
    <row r="1190" spans="1:18">
      <c r="A1190" t="s">
        <v>992</v>
      </c>
      <c r="B1190" t="s">
        <v>1632</v>
      </c>
      <c r="C1190" t="s">
        <v>994</v>
      </c>
      <c r="D1190">
        <v>1013</v>
      </c>
      <c r="E1190" s="128">
        <v>44927</v>
      </c>
      <c r="F1190" s="128">
        <v>45657</v>
      </c>
      <c r="G11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1013</v>
      </c>
      <c r="H1190" s="128" t="str">
        <f t="shared" ca="1" si="18"/>
        <v>NO</v>
      </c>
      <c r="Q1190" t="s">
        <v>2127</v>
      </c>
      <c r="R1190">
        <v>146.4102</v>
      </c>
    </row>
    <row r="1191" spans="1:18">
      <c r="A1191" t="s">
        <v>992</v>
      </c>
      <c r="B1191" t="s">
        <v>1633</v>
      </c>
      <c r="C1191" t="s">
        <v>994</v>
      </c>
      <c r="D1191">
        <v>1170</v>
      </c>
      <c r="E1191" s="128">
        <v>44927</v>
      </c>
      <c r="F1191" s="128">
        <v>45657</v>
      </c>
      <c r="G11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1170</v>
      </c>
      <c r="H1191" s="128" t="str">
        <f t="shared" ca="1" si="18"/>
        <v>NO</v>
      </c>
      <c r="Q1191" t="s">
        <v>2128</v>
      </c>
      <c r="R1191">
        <v>114.00265</v>
      </c>
    </row>
    <row r="1192" spans="1:18">
      <c r="A1192" t="s">
        <v>992</v>
      </c>
      <c r="B1192" t="s">
        <v>1634</v>
      </c>
      <c r="C1192" t="s">
        <v>994</v>
      </c>
      <c r="D1192">
        <v>1800</v>
      </c>
      <c r="E1192" s="128">
        <v>43831</v>
      </c>
      <c r="F1192" s="128">
        <v>54789</v>
      </c>
      <c r="G11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1800</v>
      </c>
      <c r="H1192" s="128" t="str">
        <f t="shared" ca="1" si="18"/>
        <v>YES</v>
      </c>
      <c r="Q1192" t="s">
        <v>2129</v>
      </c>
      <c r="R1192">
        <v>182.05328</v>
      </c>
    </row>
    <row r="1193" spans="1:18">
      <c r="A1193" t="s">
        <v>992</v>
      </c>
      <c r="B1193" t="s">
        <v>1635</v>
      </c>
      <c r="C1193" t="s">
        <v>994</v>
      </c>
      <c r="D1193">
        <v>2156</v>
      </c>
      <c r="E1193" s="128">
        <v>36526</v>
      </c>
      <c r="F1193" s="128">
        <v>46022</v>
      </c>
      <c r="G11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2156</v>
      </c>
      <c r="H1193" s="128" t="str">
        <f t="shared" ca="1" si="18"/>
        <v>YES</v>
      </c>
      <c r="Q1193" t="s">
        <v>2130</v>
      </c>
      <c r="R1193">
        <v>59.282809999999998</v>
      </c>
    </row>
    <row r="1194" spans="1:18">
      <c r="A1194" t="s">
        <v>992</v>
      </c>
      <c r="B1194" t="s">
        <v>1635</v>
      </c>
      <c r="C1194" t="s">
        <v>994</v>
      </c>
      <c r="D1194">
        <v>2113</v>
      </c>
      <c r="E1194" s="128">
        <v>46023</v>
      </c>
      <c r="F1194" s="128">
        <v>46387</v>
      </c>
      <c r="G11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2113</v>
      </c>
      <c r="H1194" s="128" t="str">
        <f t="shared" ca="1" si="18"/>
        <v>YES</v>
      </c>
      <c r="Q1194" t="s">
        <v>2131</v>
      </c>
      <c r="R1194">
        <v>61.167820000000006</v>
      </c>
    </row>
    <row r="1195" spans="1:18">
      <c r="A1195" t="s">
        <v>992</v>
      </c>
      <c r="B1195" t="s">
        <v>1635</v>
      </c>
      <c r="C1195" t="s">
        <v>994</v>
      </c>
      <c r="D1195">
        <v>2092</v>
      </c>
      <c r="E1195" s="128">
        <v>46388</v>
      </c>
      <c r="F1195" s="128">
        <v>46752</v>
      </c>
      <c r="G11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2092</v>
      </c>
      <c r="H1195" s="128" t="str">
        <f t="shared" ca="1" si="18"/>
        <v>YES</v>
      </c>
      <c r="Q1195" t="s">
        <v>2132</v>
      </c>
      <c r="R1195">
        <v>71.055809999999994</v>
      </c>
    </row>
    <row r="1196" spans="1:18">
      <c r="A1196" t="s">
        <v>992</v>
      </c>
      <c r="B1196" t="s">
        <v>1635</v>
      </c>
      <c r="C1196" t="s">
        <v>994</v>
      </c>
      <c r="D1196">
        <v>2071</v>
      </c>
      <c r="E1196" s="128">
        <v>46753</v>
      </c>
      <c r="F1196" s="128">
        <v>49674</v>
      </c>
      <c r="G11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2071</v>
      </c>
      <c r="H1196" s="128" t="str">
        <f t="shared" ca="1" si="18"/>
        <v>YES</v>
      </c>
      <c r="Q1196" t="s">
        <v>2133</v>
      </c>
      <c r="R1196">
        <v>67.2166</v>
      </c>
    </row>
    <row r="1197" spans="1:18">
      <c r="A1197" t="s">
        <v>992</v>
      </c>
      <c r="B1197" t="s">
        <v>1636</v>
      </c>
      <c r="C1197" t="s">
        <v>994</v>
      </c>
      <c r="D1197">
        <v>2203</v>
      </c>
      <c r="E1197" s="128">
        <v>36526</v>
      </c>
      <c r="F1197" s="128">
        <v>46022</v>
      </c>
      <c r="G11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2203</v>
      </c>
      <c r="H1197" s="128" t="str">
        <f t="shared" ca="1" si="18"/>
        <v>YES</v>
      </c>
      <c r="Q1197" t="s">
        <v>2134</v>
      </c>
      <c r="R1197">
        <v>63.09816</v>
      </c>
    </row>
    <row r="1198" spans="1:18">
      <c r="A1198" t="s">
        <v>992</v>
      </c>
      <c r="B1198" t="s">
        <v>1636</v>
      </c>
      <c r="C1198" t="s">
        <v>994</v>
      </c>
      <c r="D1198">
        <v>2160</v>
      </c>
      <c r="E1198" s="128">
        <v>46023</v>
      </c>
      <c r="F1198" s="128">
        <v>46387</v>
      </c>
      <c r="G11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2160</v>
      </c>
      <c r="H1198" s="128" t="str">
        <f t="shared" ca="1" si="18"/>
        <v>YES</v>
      </c>
      <c r="Q1198" t="s">
        <v>2135</v>
      </c>
      <c r="R1198">
        <v>49.8932</v>
      </c>
    </row>
    <row r="1199" spans="1:18">
      <c r="A1199" t="s">
        <v>992</v>
      </c>
      <c r="B1199" t="s">
        <v>1636</v>
      </c>
      <c r="C1199" t="s">
        <v>994</v>
      </c>
      <c r="D1199">
        <v>2138</v>
      </c>
      <c r="E1199" s="128">
        <v>46388</v>
      </c>
      <c r="F1199" s="128">
        <v>46752</v>
      </c>
      <c r="G11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2138</v>
      </c>
      <c r="H1199" s="128" t="str">
        <f t="shared" ca="1" si="18"/>
        <v>YES</v>
      </c>
      <c r="Q1199" t="s">
        <v>2136</v>
      </c>
      <c r="R1199">
        <v>60.216200000000001</v>
      </c>
    </row>
    <row r="1200" spans="1:18">
      <c r="A1200" t="s">
        <v>992</v>
      </c>
      <c r="B1200" t="s">
        <v>1636</v>
      </c>
      <c r="C1200" t="s">
        <v>994</v>
      </c>
      <c r="D1200">
        <v>2177</v>
      </c>
      <c r="E1200" s="128">
        <v>46753</v>
      </c>
      <c r="F1200" s="128">
        <v>49674</v>
      </c>
      <c r="G12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2177</v>
      </c>
      <c r="H1200" s="128" t="str">
        <f t="shared" ca="1" si="18"/>
        <v>YES</v>
      </c>
      <c r="Q1200" t="s">
        <v>2137</v>
      </c>
      <c r="R1200">
        <v>67.215919999999997</v>
      </c>
    </row>
    <row r="1201" spans="1:18">
      <c r="A1201" t="s">
        <v>992</v>
      </c>
      <c r="B1201" t="s">
        <v>1637</v>
      </c>
      <c r="C1201" t="s">
        <v>994</v>
      </c>
      <c r="D1201">
        <v>730</v>
      </c>
      <c r="E1201" s="128">
        <v>36526</v>
      </c>
      <c r="F1201" s="128">
        <v>46022</v>
      </c>
      <c r="G12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730</v>
      </c>
      <c r="H1201" s="128" t="str">
        <f t="shared" ca="1" si="18"/>
        <v>YES</v>
      </c>
      <c r="Q1201" t="s">
        <v>2138</v>
      </c>
      <c r="R1201">
        <v>55.601590000000002</v>
      </c>
    </row>
    <row r="1202" spans="1:18">
      <c r="A1202" t="s">
        <v>992</v>
      </c>
      <c r="B1202" t="s">
        <v>1637</v>
      </c>
      <c r="C1202" t="s">
        <v>994</v>
      </c>
      <c r="D1202">
        <v>716</v>
      </c>
      <c r="E1202" s="128">
        <v>46023</v>
      </c>
      <c r="F1202" s="128">
        <v>46387</v>
      </c>
      <c r="G12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716</v>
      </c>
      <c r="H1202" s="128" t="str">
        <f t="shared" ca="1" si="18"/>
        <v>YES</v>
      </c>
      <c r="Q1202" t="s">
        <v>2139</v>
      </c>
      <c r="R1202">
        <v>244.15262999999999</v>
      </c>
    </row>
    <row r="1203" spans="1:18">
      <c r="A1203" t="s">
        <v>992</v>
      </c>
      <c r="B1203" t="s">
        <v>1637</v>
      </c>
      <c r="C1203" t="s">
        <v>994</v>
      </c>
      <c r="D1203">
        <v>709</v>
      </c>
      <c r="E1203" s="128">
        <v>46388</v>
      </c>
      <c r="F1203" s="128">
        <v>46752</v>
      </c>
      <c r="G12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709</v>
      </c>
      <c r="H1203" s="128" t="str">
        <f t="shared" ca="1" si="18"/>
        <v>YES</v>
      </c>
      <c r="Q1203" t="s">
        <v>2140</v>
      </c>
      <c r="R1203">
        <v>69.188809999999989</v>
      </c>
    </row>
    <row r="1204" spans="1:18">
      <c r="A1204" t="s">
        <v>992</v>
      </c>
      <c r="B1204" t="s">
        <v>1637</v>
      </c>
      <c r="C1204" t="s">
        <v>994</v>
      </c>
      <c r="D1204">
        <v>701</v>
      </c>
      <c r="E1204" s="128">
        <v>46753</v>
      </c>
      <c r="F1204" s="128">
        <v>49674</v>
      </c>
      <c r="G12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701</v>
      </c>
      <c r="H1204" s="128" t="str">
        <f t="shared" ca="1" si="18"/>
        <v>YES</v>
      </c>
      <c r="Q1204" t="s">
        <v>2141</v>
      </c>
      <c r="R1204">
        <v>372.38543000000004</v>
      </c>
    </row>
    <row r="1205" spans="1:18">
      <c r="A1205" t="s">
        <v>992</v>
      </c>
      <c r="B1205" t="s">
        <v>1640</v>
      </c>
      <c r="C1205" t="s">
        <v>994</v>
      </c>
      <c r="D1205">
        <v>990</v>
      </c>
      <c r="E1205" s="128">
        <v>44393</v>
      </c>
      <c r="F1205" s="128">
        <v>47483</v>
      </c>
      <c r="G12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990</v>
      </c>
      <c r="H1205" s="128" t="str">
        <f t="shared" ca="1" si="18"/>
        <v>YES</v>
      </c>
      <c r="Q1205" t="s">
        <v>2142</v>
      </c>
      <c r="R1205">
        <v>409.1814</v>
      </c>
    </row>
    <row r="1206" spans="1:18">
      <c r="A1206" t="s">
        <v>992</v>
      </c>
      <c r="B1206" t="s">
        <v>1641</v>
      </c>
      <c r="C1206" t="s">
        <v>994</v>
      </c>
      <c r="D1206">
        <v>1815</v>
      </c>
      <c r="E1206" s="128">
        <v>36526</v>
      </c>
      <c r="F1206" s="128">
        <v>47483</v>
      </c>
      <c r="G12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1815</v>
      </c>
      <c r="H1206" s="128" t="str">
        <f t="shared" ca="1" si="18"/>
        <v>YES</v>
      </c>
      <c r="Q1206" t="s">
        <v>2143</v>
      </c>
      <c r="R1206">
        <v>94.439359999999994</v>
      </c>
    </row>
    <row r="1207" spans="1:18">
      <c r="A1207" t="s">
        <v>992</v>
      </c>
      <c r="B1207" t="s">
        <v>1641</v>
      </c>
      <c r="C1207" t="s">
        <v>994</v>
      </c>
      <c r="D1207">
        <v>1905.75</v>
      </c>
      <c r="E1207" s="128">
        <v>44835</v>
      </c>
      <c r="F1207" s="128">
        <v>45016</v>
      </c>
      <c r="G12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1905.75</v>
      </c>
      <c r="H1207" s="128" t="str">
        <f t="shared" ca="1" si="18"/>
        <v>NO</v>
      </c>
      <c r="Q1207" t="s">
        <v>2144</v>
      </c>
      <c r="R1207">
        <v>146.4102</v>
      </c>
    </row>
    <row r="1208" spans="1:18">
      <c r="A1208" t="s">
        <v>992</v>
      </c>
      <c r="B1208" t="s">
        <v>1711</v>
      </c>
      <c r="C1208" t="s">
        <v>994</v>
      </c>
      <c r="D1208">
        <v>1472</v>
      </c>
      <c r="E1208" s="128">
        <v>36526</v>
      </c>
      <c r="F1208" s="128">
        <v>44834</v>
      </c>
      <c r="G12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1472</v>
      </c>
      <c r="H1208" s="128" t="str">
        <f t="shared" ca="1" si="18"/>
        <v>NO</v>
      </c>
      <c r="Q1208" t="s">
        <v>2145</v>
      </c>
      <c r="R1208">
        <v>114.67541</v>
      </c>
    </row>
    <row r="1209" spans="1:18">
      <c r="A1209" t="s">
        <v>992</v>
      </c>
      <c r="B1209" t="s">
        <v>1711</v>
      </c>
      <c r="C1209" t="s">
        <v>994</v>
      </c>
      <c r="D1209">
        <v>1545.6000000000001</v>
      </c>
      <c r="E1209" s="128">
        <v>44835</v>
      </c>
      <c r="F1209" s="128">
        <v>45016</v>
      </c>
      <c r="G12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1545.6000000000001</v>
      </c>
      <c r="H1209" s="128" t="str">
        <f t="shared" ca="1" si="18"/>
        <v>NO</v>
      </c>
      <c r="Q1209" t="s">
        <v>2146</v>
      </c>
      <c r="R1209">
        <v>67.2166</v>
      </c>
    </row>
    <row r="1210" spans="1:18">
      <c r="A1210" t="s">
        <v>992</v>
      </c>
      <c r="B1210" t="s">
        <v>1711</v>
      </c>
      <c r="C1210" t="s">
        <v>994</v>
      </c>
      <c r="D1210">
        <v>1472</v>
      </c>
      <c r="E1210" s="128">
        <v>45017</v>
      </c>
      <c r="F1210" s="128">
        <v>45291</v>
      </c>
      <c r="G12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1472</v>
      </c>
      <c r="H1210" s="128" t="str">
        <f t="shared" ca="1" si="18"/>
        <v>NO</v>
      </c>
      <c r="Q1210" t="s">
        <v>2147</v>
      </c>
      <c r="R1210">
        <v>67.215919999999997</v>
      </c>
    </row>
    <row r="1211" spans="1:18">
      <c r="A1211" t="s">
        <v>992</v>
      </c>
      <c r="B1211" t="s">
        <v>1642</v>
      </c>
      <c r="C1211" t="s">
        <v>994</v>
      </c>
      <c r="D1211">
        <v>573.19999999999993</v>
      </c>
      <c r="E1211" s="128">
        <v>36526</v>
      </c>
      <c r="F1211" s="128">
        <v>44834</v>
      </c>
      <c r="G12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573.19999999999993</v>
      </c>
      <c r="H1211" s="128" t="str">
        <f t="shared" ca="1" si="18"/>
        <v>NO</v>
      </c>
      <c r="Q1211" t="s">
        <v>2148</v>
      </c>
      <c r="R1211">
        <v>69.188809999999989</v>
      </c>
    </row>
    <row r="1212" spans="1:18">
      <c r="A1212" t="s">
        <v>992</v>
      </c>
      <c r="B1212" t="s">
        <v>1642</v>
      </c>
      <c r="C1212" t="s">
        <v>994</v>
      </c>
      <c r="D1212">
        <v>601.86</v>
      </c>
      <c r="E1212" s="128">
        <v>44835</v>
      </c>
      <c r="F1212" s="128">
        <v>45016</v>
      </c>
      <c r="G12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601.86</v>
      </c>
      <c r="H1212" s="128" t="str">
        <f t="shared" ca="1" si="18"/>
        <v>NO</v>
      </c>
      <c r="Q1212" t="s">
        <v>2149</v>
      </c>
      <c r="R1212">
        <v>129.95795999999999</v>
      </c>
    </row>
    <row r="1213" spans="1:18">
      <c r="A1213" t="s">
        <v>992</v>
      </c>
      <c r="B1213" t="s">
        <v>1643</v>
      </c>
      <c r="C1213" t="s">
        <v>994</v>
      </c>
      <c r="D1213">
        <v>898.2</v>
      </c>
      <c r="E1213" s="128">
        <v>36526</v>
      </c>
      <c r="F1213" s="128">
        <v>44561</v>
      </c>
      <c r="G12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898.2</v>
      </c>
      <c r="H1213" s="128" t="str">
        <f t="shared" ca="1" si="18"/>
        <v>NO</v>
      </c>
      <c r="Q1213" t="s">
        <v>2150</v>
      </c>
      <c r="R1213">
        <v>154.25088</v>
      </c>
    </row>
    <row r="1214" spans="1:18">
      <c r="A1214" t="s">
        <v>992</v>
      </c>
      <c r="B1214" t="s">
        <v>1643</v>
      </c>
      <c r="C1214" t="s">
        <v>994</v>
      </c>
      <c r="D1214">
        <v>853.6</v>
      </c>
      <c r="E1214" s="128">
        <v>44562</v>
      </c>
      <c r="F1214" s="128">
        <v>44834</v>
      </c>
      <c r="G12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853.6</v>
      </c>
      <c r="H1214" s="128" t="str">
        <f t="shared" ca="1" si="18"/>
        <v>NO</v>
      </c>
      <c r="Q1214" t="s">
        <v>2151</v>
      </c>
      <c r="R1214">
        <v>128.28857000000002</v>
      </c>
    </row>
    <row r="1215" spans="1:18">
      <c r="A1215" t="s">
        <v>992</v>
      </c>
      <c r="B1215" t="s">
        <v>1643</v>
      </c>
      <c r="C1215" t="s">
        <v>994</v>
      </c>
      <c r="D1215">
        <v>896.28</v>
      </c>
      <c r="E1215" s="128">
        <v>44835</v>
      </c>
      <c r="F1215" s="128">
        <v>44926</v>
      </c>
      <c r="G12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896.28</v>
      </c>
      <c r="H1215" s="128" t="str">
        <f t="shared" ca="1" si="18"/>
        <v>NO</v>
      </c>
      <c r="Q1215" t="s">
        <v>2152</v>
      </c>
      <c r="R1215">
        <v>126.32646</v>
      </c>
    </row>
    <row r="1216" spans="1:18">
      <c r="A1216" t="s">
        <v>992</v>
      </c>
      <c r="B1216" t="s">
        <v>1643</v>
      </c>
      <c r="C1216" t="s">
        <v>994</v>
      </c>
      <c r="D1216">
        <v>887.3</v>
      </c>
      <c r="E1216" s="128">
        <v>44927</v>
      </c>
      <c r="F1216" s="128">
        <v>45016</v>
      </c>
      <c r="G12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887.3</v>
      </c>
      <c r="H1216" s="128" t="str">
        <f t="shared" ca="1" si="18"/>
        <v>NO</v>
      </c>
      <c r="Q1216" t="s">
        <v>2153</v>
      </c>
      <c r="R1216">
        <v>139.41419999999999</v>
      </c>
    </row>
    <row r="1217" spans="1:18">
      <c r="A1217" t="s">
        <v>992</v>
      </c>
      <c r="B1217" t="s">
        <v>1644</v>
      </c>
      <c r="C1217" t="s">
        <v>994</v>
      </c>
      <c r="D1217">
        <v>627.70000000000005</v>
      </c>
      <c r="E1217" s="128">
        <v>43482</v>
      </c>
      <c r="F1217" s="128">
        <v>47483</v>
      </c>
      <c r="G12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627.70000000000005</v>
      </c>
      <c r="H1217" s="128" t="str">
        <f t="shared" ca="1" si="18"/>
        <v>YES</v>
      </c>
      <c r="Q1217" t="s">
        <v>2154</v>
      </c>
      <c r="R1217">
        <v>114.03539000000001</v>
      </c>
    </row>
    <row r="1218" spans="1:18">
      <c r="A1218" t="s">
        <v>992</v>
      </c>
      <c r="B1218" t="s">
        <v>1643</v>
      </c>
      <c r="C1218" t="s">
        <v>994</v>
      </c>
      <c r="D1218">
        <v>828</v>
      </c>
      <c r="E1218" s="128">
        <v>45017</v>
      </c>
      <c r="F1218" s="128">
        <v>45291</v>
      </c>
      <c r="G12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828</v>
      </c>
      <c r="H1218" s="128" t="str">
        <f t="shared" ref="H1218:H1281" ca="1" si="19">IF(OR(F1218=0,F1218&gt;TODAY()),"YES","NO")</f>
        <v>NO</v>
      </c>
      <c r="Q1218" t="s">
        <v>2155</v>
      </c>
      <c r="R1218">
        <v>182.05328</v>
      </c>
    </row>
    <row r="1219" spans="1:18">
      <c r="A1219" t="s">
        <v>992</v>
      </c>
      <c r="B1219" t="s">
        <v>1058</v>
      </c>
      <c r="C1219" t="s">
        <v>994</v>
      </c>
      <c r="D1219">
        <v>1815</v>
      </c>
      <c r="E1219" s="128">
        <v>36526</v>
      </c>
      <c r="F1219" s="128">
        <v>45291</v>
      </c>
      <c r="G12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1815</v>
      </c>
      <c r="H1219" s="128" t="str">
        <f t="shared" ca="1" si="19"/>
        <v>NO</v>
      </c>
      <c r="Q1219" t="s">
        <v>2156</v>
      </c>
      <c r="R1219">
        <v>122.37592000000001</v>
      </c>
    </row>
    <row r="1220" spans="1:18">
      <c r="A1220" t="s">
        <v>992</v>
      </c>
      <c r="B1220" t="s">
        <v>1643</v>
      </c>
      <c r="C1220" t="s">
        <v>994</v>
      </c>
      <c r="D1220">
        <v>813.09600000000012</v>
      </c>
      <c r="E1220" s="128">
        <v>45292</v>
      </c>
      <c r="F1220" s="128">
        <v>45657</v>
      </c>
      <c r="G12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813.09600000000012</v>
      </c>
      <c r="H1220" s="128" t="str">
        <f t="shared" ca="1" si="19"/>
        <v>NO</v>
      </c>
      <c r="Q1220" t="s">
        <v>2157</v>
      </c>
      <c r="R1220">
        <v>75.283929999999998</v>
      </c>
    </row>
    <row r="1221" spans="1:18">
      <c r="A1221" t="s">
        <v>992</v>
      </c>
      <c r="B1221" t="s">
        <v>1058</v>
      </c>
      <c r="C1221" t="s">
        <v>994</v>
      </c>
      <c r="D1221">
        <v>1905.75</v>
      </c>
      <c r="E1221" s="128">
        <v>44835</v>
      </c>
      <c r="F1221" s="128">
        <v>45016</v>
      </c>
      <c r="G12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1905.75</v>
      </c>
      <c r="H1221" s="128" t="str">
        <f t="shared" ca="1" si="19"/>
        <v>NO</v>
      </c>
      <c r="Q1221" t="s">
        <v>2158</v>
      </c>
      <c r="R1221">
        <v>113.35929000000002</v>
      </c>
    </row>
    <row r="1222" spans="1:18">
      <c r="A1222" t="s">
        <v>992</v>
      </c>
      <c r="B1222" t="s">
        <v>1646</v>
      </c>
      <c r="C1222" t="s">
        <v>994</v>
      </c>
      <c r="D1222">
        <v>1472</v>
      </c>
      <c r="E1222" s="128">
        <v>36526</v>
      </c>
      <c r="F1222" s="128">
        <v>44834</v>
      </c>
      <c r="G12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1472</v>
      </c>
      <c r="H1222" s="128" t="str">
        <f t="shared" ca="1" si="19"/>
        <v>NO</v>
      </c>
      <c r="Q1222" t="s">
        <v>2159</v>
      </c>
      <c r="R1222">
        <v>1.9610799999999999</v>
      </c>
    </row>
    <row r="1223" spans="1:18">
      <c r="A1223" t="s">
        <v>992</v>
      </c>
      <c r="B1223" t="s">
        <v>1058</v>
      </c>
      <c r="C1223" t="s">
        <v>994</v>
      </c>
      <c r="D1223">
        <v>1920</v>
      </c>
      <c r="E1223" s="128">
        <v>45017</v>
      </c>
      <c r="F1223" s="128">
        <v>45291</v>
      </c>
      <c r="G12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1920</v>
      </c>
      <c r="H1223" s="128" t="str">
        <f t="shared" ca="1" si="19"/>
        <v>NO</v>
      </c>
      <c r="Q1223" t="s">
        <v>2160</v>
      </c>
      <c r="R1223">
        <v>2.8835999999999999</v>
      </c>
    </row>
    <row r="1224" spans="1:18">
      <c r="A1224" t="s">
        <v>992</v>
      </c>
      <c r="B1224" t="s">
        <v>1646</v>
      </c>
      <c r="C1224" t="s">
        <v>994</v>
      </c>
      <c r="D1224">
        <v>1545.6000000000001</v>
      </c>
      <c r="E1224" s="128">
        <v>44835</v>
      </c>
      <c r="F1224" s="128">
        <v>45016</v>
      </c>
      <c r="G12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1545.6000000000001</v>
      </c>
      <c r="H1224" s="128" t="str">
        <f t="shared" ca="1" si="19"/>
        <v>NO</v>
      </c>
      <c r="Q1224" t="s">
        <v>2161</v>
      </c>
      <c r="R1224">
        <v>89.029070000000004</v>
      </c>
    </row>
    <row r="1225" spans="1:18">
      <c r="A1225" t="s">
        <v>992</v>
      </c>
      <c r="B1225" t="s">
        <v>1058</v>
      </c>
      <c r="C1225" t="s">
        <v>994</v>
      </c>
      <c r="D1225">
        <v>1815</v>
      </c>
      <c r="E1225" s="128">
        <v>45292</v>
      </c>
      <c r="F1225" s="128">
        <v>45412</v>
      </c>
      <c r="G12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1815</v>
      </c>
      <c r="H1225" s="128" t="str">
        <f t="shared" ca="1" si="19"/>
        <v>NO</v>
      </c>
      <c r="Q1225" t="s">
        <v>2162</v>
      </c>
      <c r="R1225">
        <v>130.92759000000001</v>
      </c>
    </row>
    <row r="1226" spans="1:18">
      <c r="A1226" t="s">
        <v>992</v>
      </c>
      <c r="B1226" t="s">
        <v>1058</v>
      </c>
      <c r="C1226" t="s">
        <v>994</v>
      </c>
      <c r="D1226">
        <v>1778.6999999999998</v>
      </c>
      <c r="E1226" s="128">
        <v>45658</v>
      </c>
      <c r="F1226" s="128">
        <v>46022</v>
      </c>
      <c r="G12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1778.6999999999998</v>
      </c>
      <c r="H1226" s="128" t="str">
        <f t="shared" ca="1" si="19"/>
        <v>YES</v>
      </c>
      <c r="Q1226" t="s">
        <v>2163</v>
      </c>
      <c r="R1226">
        <v>5.8001199999999997</v>
      </c>
    </row>
    <row r="1227" spans="1:18">
      <c r="A1227" t="s">
        <v>992</v>
      </c>
      <c r="B1227" t="s">
        <v>1647</v>
      </c>
      <c r="C1227" t="s">
        <v>994</v>
      </c>
      <c r="D1227">
        <v>221</v>
      </c>
      <c r="E1227" s="128">
        <v>36526</v>
      </c>
      <c r="F1227" s="128">
        <v>47483</v>
      </c>
      <c r="G12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221</v>
      </c>
      <c r="H1227" s="128" t="str">
        <f t="shared" ca="1" si="19"/>
        <v>YES</v>
      </c>
      <c r="Q1227" t="s">
        <v>2164</v>
      </c>
      <c r="R1227">
        <v>29.431090000000001</v>
      </c>
    </row>
    <row r="1228" spans="1:18">
      <c r="A1228" t="s">
        <v>992</v>
      </c>
      <c r="B1228" t="s">
        <v>1646</v>
      </c>
      <c r="C1228" t="s">
        <v>994</v>
      </c>
      <c r="D1228">
        <v>1600</v>
      </c>
      <c r="E1228" s="128">
        <v>45017</v>
      </c>
      <c r="F1228" s="128">
        <v>45291</v>
      </c>
      <c r="G12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1600</v>
      </c>
      <c r="H1228" s="128" t="str">
        <f t="shared" ca="1" si="19"/>
        <v>NO</v>
      </c>
      <c r="Q1228" t="s">
        <v>2165</v>
      </c>
      <c r="R1228">
        <v>4.8431600000000001</v>
      </c>
    </row>
    <row r="1229" spans="1:18">
      <c r="A1229" t="s">
        <v>992</v>
      </c>
      <c r="B1229" t="s">
        <v>1648</v>
      </c>
      <c r="C1229" t="s">
        <v>994</v>
      </c>
      <c r="D1229">
        <v>125.79999999999998</v>
      </c>
      <c r="E1229" s="128">
        <v>36526</v>
      </c>
      <c r="F1229" s="128">
        <v>47483</v>
      </c>
      <c r="G12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125.79999999999998</v>
      </c>
      <c r="H1229" s="128" t="str">
        <f t="shared" ca="1" si="19"/>
        <v>YES</v>
      </c>
      <c r="Q1229" t="s">
        <v>2166</v>
      </c>
      <c r="R1229">
        <v>1.9615100000000001</v>
      </c>
    </row>
    <row r="1230" spans="1:18">
      <c r="A1230" t="s">
        <v>992</v>
      </c>
      <c r="B1230" t="s">
        <v>1646</v>
      </c>
      <c r="C1230" t="s">
        <v>994</v>
      </c>
      <c r="D1230">
        <v>1472</v>
      </c>
      <c r="E1230" s="128">
        <v>45292</v>
      </c>
      <c r="F1230" s="128">
        <v>45412</v>
      </c>
      <c r="G12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1472</v>
      </c>
      <c r="H1230" s="128" t="str">
        <f t="shared" ca="1" si="19"/>
        <v>NO</v>
      </c>
      <c r="Q1230" t="s">
        <v>2167</v>
      </c>
      <c r="R1230">
        <v>1.9612000000000001</v>
      </c>
    </row>
    <row r="1231" spans="1:18">
      <c r="A1231" t="s">
        <v>992</v>
      </c>
      <c r="B1231" t="s">
        <v>1649</v>
      </c>
      <c r="C1231" t="s">
        <v>994</v>
      </c>
      <c r="D1231">
        <v>383.52</v>
      </c>
      <c r="E1231" s="128">
        <v>36526</v>
      </c>
      <c r="F1231" s="128">
        <v>46387</v>
      </c>
      <c r="G12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383.52</v>
      </c>
      <c r="H1231" s="128" t="str">
        <f t="shared" ca="1" si="19"/>
        <v>YES</v>
      </c>
      <c r="Q1231" t="s">
        <v>2168</v>
      </c>
      <c r="R1231">
        <v>1.9602299999999999</v>
      </c>
    </row>
    <row r="1232" spans="1:18">
      <c r="A1232" t="s">
        <v>992</v>
      </c>
      <c r="B1232" t="s">
        <v>1646</v>
      </c>
      <c r="C1232" t="s">
        <v>994</v>
      </c>
      <c r="D1232">
        <v>1427.8</v>
      </c>
      <c r="E1232" s="128">
        <v>45413</v>
      </c>
      <c r="F1232" s="128">
        <v>45657</v>
      </c>
      <c r="G12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1427.8</v>
      </c>
      <c r="H1232" s="128" t="str">
        <f t="shared" ca="1" si="19"/>
        <v>NO</v>
      </c>
      <c r="Q1232" t="s">
        <v>2169</v>
      </c>
      <c r="R1232">
        <v>1.9610799999999999</v>
      </c>
    </row>
    <row r="1233" spans="1:18">
      <c r="A1233" t="s">
        <v>992</v>
      </c>
      <c r="B1233" t="s">
        <v>1650</v>
      </c>
      <c r="C1233" t="s">
        <v>994</v>
      </c>
      <c r="D1233">
        <v>123.00000000000001</v>
      </c>
      <c r="E1233" s="128">
        <v>36526</v>
      </c>
      <c r="F1233" s="128">
        <v>47483</v>
      </c>
      <c r="G12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123.00000000000001</v>
      </c>
      <c r="H1233" s="128" t="str">
        <f t="shared" ca="1" si="19"/>
        <v>YES</v>
      </c>
      <c r="Q1233" t="s">
        <v>2170</v>
      </c>
      <c r="R1233">
        <v>410.50333999999998</v>
      </c>
    </row>
    <row r="1234" spans="1:18">
      <c r="A1234" t="s">
        <v>992</v>
      </c>
      <c r="B1234" t="s">
        <v>1646</v>
      </c>
      <c r="C1234" t="s">
        <v>994</v>
      </c>
      <c r="D1234">
        <v>1442.56</v>
      </c>
      <c r="E1234" s="128">
        <v>45658</v>
      </c>
      <c r="F1234" s="128">
        <v>46022</v>
      </c>
      <c r="G12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1442.56</v>
      </c>
      <c r="H1234" s="128" t="str">
        <f t="shared" ca="1" si="19"/>
        <v>YES</v>
      </c>
      <c r="Q1234" t="s">
        <v>2171</v>
      </c>
      <c r="R1234">
        <v>244.15262999999999</v>
      </c>
    </row>
    <row r="1235" spans="1:18">
      <c r="A1235" t="s">
        <v>992</v>
      </c>
      <c r="B1235" t="s">
        <v>1651</v>
      </c>
      <c r="C1235" t="s">
        <v>994</v>
      </c>
      <c r="D1235">
        <v>141.1</v>
      </c>
      <c r="E1235" s="128">
        <v>36526</v>
      </c>
      <c r="F1235" s="128">
        <v>47483</v>
      </c>
      <c r="G12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141.1</v>
      </c>
      <c r="H1235" s="128" t="str">
        <f t="shared" ca="1" si="19"/>
        <v>YES</v>
      </c>
      <c r="Q1235" t="s">
        <v>2172</v>
      </c>
      <c r="R1235">
        <v>50.770049999999998</v>
      </c>
    </row>
    <row r="1236" spans="1:18">
      <c r="A1236" t="s">
        <v>992</v>
      </c>
      <c r="B1236" t="s">
        <v>1652</v>
      </c>
      <c r="C1236" t="s">
        <v>994</v>
      </c>
      <c r="D1236">
        <v>81.900000000000006</v>
      </c>
      <c r="E1236" s="128">
        <v>36526</v>
      </c>
      <c r="F1236" s="128">
        <v>47483</v>
      </c>
      <c r="G12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81.900000000000006</v>
      </c>
      <c r="H1236" s="128" t="str">
        <f t="shared" ca="1" si="19"/>
        <v>YES</v>
      </c>
      <c r="Q1236" t="s">
        <v>2173</v>
      </c>
      <c r="R1236">
        <v>2.8919600000000001</v>
      </c>
    </row>
    <row r="1237" spans="1:18">
      <c r="A1237" t="s">
        <v>992</v>
      </c>
      <c r="B1237" t="s">
        <v>1653</v>
      </c>
      <c r="C1237" t="s">
        <v>994</v>
      </c>
      <c r="D1237">
        <v>217.17000000000002</v>
      </c>
      <c r="E1237" s="128">
        <v>36526</v>
      </c>
      <c r="F1237" s="128">
        <v>47483</v>
      </c>
      <c r="G12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217.17000000000002</v>
      </c>
      <c r="H1237" s="128" t="str">
        <f t="shared" ca="1" si="19"/>
        <v>YES</v>
      </c>
      <c r="Q1237" t="s">
        <v>2174</v>
      </c>
      <c r="R1237">
        <v>259.12071000000003</v>
      </c>
    </row>
    <row r="1238" spans="1:18">
      <c r="A1238" t="s">
        <v>992</v>
      </c>
      <c r="B1238" t="s">
        <v>803</v>
      </c>
      <c r="C1238" t="s">
        <v>994</v>
      </c>
      <c r="D1238">
        <v>280.5</v>
      </c>
      <c r="E1238" s="128">
        <v>36526</v>
      </c>
      <c r="F1238" s="128">
        <v>47483</v>
      </c>
      <c r="G12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280.5</v>
      </c>
      <c r="H1238" s="128" t="str">
        <f t="shared" ca="1" si="19"/>
        <v>YES</v>
      </c>
      <c r="Q1238" t="s">
        <v>2175</v>
      </c>
      <c r="R1238">
        <v>450.34732000000002</v>
      </c>
    </row>
    <row r="1239" spans="1:18">
      <c r="A1239" t="s">
        <v>992</v>
      </c>
      <c r="B1239" t="s">
        <v>1654</v>
      </c>
      <c r="C1239" t="s">
        <v>994</v>
      </c>
      <c r="D1239">
        <v>195</v>
      </c>
      <c r="E1239" s="128">
        <v>36526</v>
      </c>
      <c r="F1239" s="128">
        <v>43829</v>
      </c>
      <c r="G12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195</v>
      </c>
      <c r="H1239" s="128" t="str">
        <f t="shared" ca="1" si="19"/>
        <v>NO</v>
      </c>
      <c r="Q1239" t="s">
        <v>2176</v>
      </c>
      <c r="R1239">
        <v>131.13772</v>
      </c>
    </row>
    <row r="1240" spans="1:18">
      <c r="A1240" t="s">
        <v>992</v>
      </c>
      <c r="B1240" t="s">
        <v>1654</v>
      </c>
      <c r="C1240" t="s">
        <v>994</v>
      </c>
      <c r="D1240">
        <v>300</v>
      </c>
      <c r="E1240" s="128">
        <v>43831</v>
      </c>
      <c r="F1240" s="128">
        <v>47119</v>
      </c>
      <c r="G12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300</v>
      </c>
      <c r="H1240" s="128" t="str">
        <f t="shared" ca="1" si="19"/>
        <v>YES</v>
      </c>
      <c r="Q1240" t="s">
        <v>2177</v>
      </c>
      <c r="R1240">
        <v>179.72355000000002</v>
      </c>
    </row>
    <row r="1241" spans="1:18">
      <c r="A1241" t="s">
        <v>992</v>
      </c>
      <c r="B1241" t="s">
        <v>1655</v>
      </c>
      <c r="C1241" t="s">
        <v>994</v>
      </c>
      <c r="D1241">
        <v>110.5</v>
      </c>
      <c r="E1241" s="128">
        <v>36526</v>
      </c>
      <c r="F1241" s="128">
        <v>45046</v>
      </c>
      <c r="G12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110.5</v>
      </c>
      <c r="H1241" s="128" t="str">
        <f t="shared" ca="1" si="19"/>
        <v>NO</v>
      </c>
      <c r="Q1241" t="s">
        <v>2178</v>
      </c>
      <c r="R1241">
        <v>1.9610799999999999</v>
      </c>
    </row>
    <row r="1242" spans="1:18">
      <c r="A1242" t="s">
        <v>992</v>
      </c>
      <c r="B1242" t="s">
        <v>1656</v>
      </c>
      <c r="C1242" t="s">
        <v>994</v>
      </c>
      <c r="D1242">
        <v>390.1</v>
      </c>
      <c r="E1242" s="128">
        <v>36526</v>
      </c>
      <c r="F1242" s="128">
        <v>47483</v>
      </c>
      <c r="G12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390.1</v>
      </c>
      <c r="H1242" s="128" t="str">
        <f t="shared" ca="1" si="19"/>
        <v>YES</v>
      </c>
      <c r="Q1242" t="s">
        <v>2179</v>
      </c>
      <c r="R1242">
        <v>88.361770000000007</v>
      </c>
    </row>
    <row r="1243" spans="1:18">
      <c r="A1243" t="s">
        <v>992</v>
      </c>
      <c r="B1243" t="s">
        <v>1655</v>
      </c>
      <c r="C1243" t="s">
        <v>994</v>
      </c>
      <c r="D1243">
        <v>121.5</v>
      </c>
      <c r="E1243" s="128">
        <v>45047</v>
      </c>
      <c r="F1243" s="128">
        <v>54789</v>
      </c>
      <c r="G12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121.5</v>
      </c>
      <c r="H1243" s="128" t="str">
        <f t="shared" ca="1" si="19"/>
        <v>YES</v>
      </c>
      <c r="Q1243" t="s">
        <v>2180</v>
      </c>
      <c r="R1243">
        <v>173.23382000000001</v>
      </c>
    </row>
    <row r="1244" spans="1:18">
      <c r="A1244" t="s">
        <v>992</v>
      </c>
      <c r="B1244" t="s">
        <v>1656</v>
      </c>
      <c r="C1244" t="s">
        <v>994</v>
      </c>
      <c r="D1244">
        <v>280.3</v>
      </c>
      <c r="E1244" s="128">
        <v>36526</v>
      </c>
      <c r="F1244" s="128">
        <v>47483</v>
      </c>
      <c r="G12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280.3</v>
      </c>
      <c r="H1244" s="128" t="str">
        <f t="shared" ca="1" si="19"/>
        <v>YES</v>
      </c>
      <c r="Q1244" t="s">
        <v>2181</v>
      </c>
      <c r="R1244">
        <v>40.51444</v>
      </c>
    </row>
    <row r="1245" spans="1:18">
      <c r="A1245" t="s">
        <v>992</v>
      </c>
      <c r="B1245" t="s">
        <v>1657</v>
      </c>
      <c r="C1245" t="s">
        <v>994</v>
      </c>
      <c r="D1245">
        <v>375.7</v>
      </c>
      <c r="E1245" s="128">
        <v>36526</v>
      </c>
      <c r="F1245" s="128">
        <v>47483</v>
      </c>
      <c r="G12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375.7</v>
      </c>
      <c r="H1245" s="128" t="str">
        <f t="shared" ca="1" si="19"/>
        <v>YES</v>
      </c>
      <c r="Q1245" t="s">
        <v>2182</v>
      </c>
      <c r="R1245">
        <v>40.51444</v>
      </c>
    </row>
    <row r="1246" spans="1:18">
      <c r="A1246" t="s">
        <v>992</v>
      </c>
      <c r="B1246" t="s">
        <v>1657</v>
      </c>
      <c r="C1246" t="s">
        <v>994</v>
      </c>
      <c r="D1246">
        <v>264.43</v>
      </c>
      <c r="E1246" s="128">
        <v>36526</v>
      </c>
      <c r="F1246" s="128">
        <v>47483</v>
      </c>
      <c r="G12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264.43</v>
      </c>
      <c r="H1246" s="128" t="str">
        <f t="shared" ca="1" si="19"/>
        <v>YES</v>
      </c>
      <c r="Q1246" t="s">
        <v>2183</v>
      </c>
      <c r="R1246">
        <v>42.55442</v>
      </c>
    </row>
    <row r="1247" spans="1:18">
      <c r="A1247" t="s">
        <v>992</v>
      </c>
      <c r="B1247" t="s">
        <v>1658</v>
      </c>
      <c r="C1247" t="s">
        <v>994</v>
      </c>
      <c r="D1247">
        <v>161.5</v>
      </c>
      <c r="E1247" s="128">
        <v>36526</v>
      </c>
      <c r="F1247" s="128">
        <v>47483</v>
      </c>
      <c r="G12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161.5</v>
      </c>
      <c r="H1247" s="128" t="str">
        <f t="shared" ca="1" si="19"/>
        <v>YES</v>
      </c>
      <c r="Q1247" t="s">
        <v>2184</v>
      </c>
      <c r="R1247">
        <v>75.880399999999995</v>
      </c>
    </row>
    <row r="1248" spans="1:18">
      <c r="A1248" t="s">
        <v>992</v>
      </c>
      <c r="B1248" t="s">
        <v>1659</v>
      </c>
      <c r="C1248" t="s">
        <v>994</v>
      </c>
      <c r="D1248">
        <v>164.9</v>
      </c>
      <c r="E1248" s="128">
        <v>36526</v>
      </c>
      <c r="F1248" s="128">
        <v>47483</v>
      </c>
      <c r="G12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164.9</v>
      </c>
      <c r="H1248" s="128" t="str">
        <f t="shared" ca="1" si="19"/>
        <v>YES</v>
      </c>
      <c r="Q1248" t="s">
        <v>2185</v>
      </c>
      <c r="R1248">
        <v>225.8843</v>
      </c>
    </row>
    <row r="1249" spans="1:18">
      <c r="A1249" t="s">
        <v>992</v>
      </c>
      <c r="B1249" t="s">
        <v>1660</v>
      </c>
      <c r="C1249" t="s">
        <v>994</v>
      </c>
      <c r="D1249">
        <v>190.00000000000003</v>
      </c>
      <c r="E1249" s="128">
        <v>36526</v>
      </c>
      <c r="F1249" s="128">
        <v>43100</v>
      </c>
      <c r="G12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190.00000000000003</v>
      </c>
      <c r="H1249" s="128" t="str">
        <f t="shared" ca="1" si="19"/>
        <v>NO</v>
      </c>
      <c r="Q1249" t="s">
        <v>2186</v>
      </c>
      <c r="R1249">
        <v>294.83681999999999</v>
      </c>
    </row>
    <row r="1250" spans="1:18">
      <c r="A1250" t="s">
        <v>992</v>
      </c>
      <c r="B1250" t="s">
        <v>1660</v>
      </c>
      <c r="C1250" t="s">
        <v>994</v>
      </c>
      <c r="D1250">
        <v>186.20000000000002</v>
      </c>
      <c r="E1250" s="128">
        <v>43101</v>
      </c>
      <c r="F1250" s="128">
        <v>44391</v>
      </c>
      <c r="G12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186.20000000000002</v>
      </c>
      <c r="H1250" s="128" t="str">
        <f t="shared" ca="1" si="19"/>
        <v>NO</v>
      </c>
      <c r="Q1250" t="s">
        <v>2187</v>
      </c>
      <c r="R1250">
        <v>196.19941</v>
      </c>
    </row>
    <row r="1251" spans="1:18">
      <c r="A1251" t="s">
        <v>992</v>
      </c>
      <c r="B1251" t="s">
        <v>1660</v>
      </c>
      <c r="C1251" t="s">
        <v>994</v>
      </c>
      <c r="D1251">
        <v>201</v>
      </c>
      <c r="E1251" s="128">
        <v>44392</v>
      </c>
      <c r="F1251" s="128">
        <v>47483</v>
      </c>
      <c r="G12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201</v>
      </c>
      <c r="H1251" s="128" t="str">
        <f t="shared" ca="1" si="19"/>
        <v>YES</v>
      </c>
      <c r="Q1251" t="s">
        <v>2188</v>
      </c>
      <c r="R1251">
        <v>131.42899</v>
      </c>
    </row>
    <row r="1252" spans="1:18">
      <c r="A1252" t="s">
        <v>992</v>
      </c>
      <c r="B1252" t="s">
        <v>1661</v>
      </c>
      <c r="C1252" t="s">
        <v>994</v>
      </c>
      <c r="D1252">
        <v>154.70000000000002</v>
      </c>
      <c r="E1252" s="128">
        <v>36526</v>
      </c>
      <c r="F1252" s="128">
        <v>47483</v>
      </c>
      <c r="G12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154.70000000000002</v>
      </c>
      <c r="H1252" s="128" t="str">
        <f t="shared" ca="1" si="19"/>
        <v>YES</v>
      </c>
      <c r="Q1252" t="s">
        <v>2189</v>
      </c>
      <c r="R1252">
        <v>295.41588999999999</v>
      </c>
    </row>
    <row r="1253" spans="1:18">
      <c r="A1253" t="s">
        <v>992</v>
      </c>
      <c r="B1253" t="s">
        <v>1662</v>
      </c>
      <c r="C1253" t="s">
        <v>994</v>
      </c>
      <c r="D1253">
        <v>213</v>
      </c>
      <c r="E1253" s="128">
        <v>36526</v>
      </c>
      <c r="F1253" s="128">
        <v>43100</v>
      </c>
      <c r="G12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213</v>
      </c>
      <c r="H1253" s="128" t="str">
        <f t="shared" ca="1" si="19"/>
        <v>NO</v>
      </c>
      <c r="Q1253" t="s">
        <v>2190</v>
      </c>
      <c r="R1253">
        <v>134.36843000000002</v>
      </c>
    </row>
    <row r="1254" spans="1:18">
      <c r="A1254" t="s">
        <v>992</v>
      </c>
      <c r="B1254" t="s">
        <v>1662</v>
      </c>
      <c r="C1254" t="s">
        <v>994</v>
      </c>
      <c r="D1254">
        <v>206.6</v>
      </c>
      <c r="E1254" s="128">
        <v>43101</v>
      </c>
      <c r="F1254" s="128">
        <v>43657</v>
      </c>
      <c r="G12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206.6</v>
      </c>
      <c r="H1254" s="128" t="str">
        <f t="shared" ca="1" si="19"/>
        <v>NO</v>
      </c>
      <c r="Q1254" t="s">
        <v>2191</v>
      </c>
      <c r="R1254">
        <v>173.27345</v>
      </c>
    </row>
    <row r="1255" spans="1:18">
      <c r="A1255" t="s">
        <v>992</v>
      </c>
      <c r="B1255" t="s">
        <v>1662</v>
      </c>
      <c r="C1255" t="s">
        <v>994</v>
      </c>
      <c r="D1255">
        <v>210.9</v>
      </c>
      <c r="E1255" s="128">
        <v>43658</v>
      </c>
      <c r="F1255" s="128">
        <v>47483</v>
      </c>
      <c r="G12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210.9</v>
      </c>
      <c r="H1255" s="128" t="str">
        <f t="shared" ca="1" si="19"/>
        <v>YES</v>
      </c>
      <c r="Q1255" t="s">
        <v>2192</v>
      </c>
      <c r="R1255">
        <v>119.89285000000001</v>
      </c>
    </row>
    <row r="1256" spans="1:18">
      <c r="A1256" t="s">
        <v>992</v>
      </c>
      <c r="B1256" t="s">
        <v>1662</v>
      </c>
      <c r="C1256" t="s">
        <v>994</v>
      </c>
      <c r="D1256">
        <v>206.70000000000002</v>
      </c>
      <c r="E1256" s="128">
        <v>43831</v>
      </c>
      <c r="F1256" s="128">
        <v>47483</v>
      </c>
      <c r="G12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206.70000000000002</v>
      </c>
      <c r="H1256" s="128" t="str">
        <f t="shared" ca="1" si="19"/>
        <v>YES</v>
      </c>
      <c r="Q1256" t="s">
        <v>2193</v>
      </c>
      <c r="R1256">
        <v>131.33242000000001</v>
      </c>
    </row>
    <row r="1257" spans="1:18">
      <c r="A1257" t="s">
        <v>992</v>
      </c>
      <c r="B1257" t="s">
        <v>1663</v>
      </c>
      <c r="C1257" t="s">
        <v>994</v>
      </c>
      <c r="D1257">
        <v>300</v>
      </c>
      <c r="E1257" s="128">
        <v>36526</v>
      </c>
      <c r="F1257" s="128">
        <v>47483</v>
      </c>
      <c r="G12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300</v>
      </c>
      <c r="H1257" s="128" t="str">
        <f t="shared" ca="1" si="19"/>
        <v>YES</v>
      </c>
      <c r="Q1257" t="s">
        <v>2194</v>
      </c>
      <c r="R1257">
        <v>254.56968999999998</v>
      </c>
    </row>
    <row r="1258" spans="1:18">
      <c r="A1258" t="s">
        <v>992</v>
      </c>
      <c r="B1258" t="s">
        <v>1664</v>
      </c>
      <c r="C1258" t="s">
        <v>994</v>
      </c>
      <c r="D1258">
        <v>137.28</v>
      </c>
      <c r="E1258" s="128">
        <v>36526</v>
      </c>
      <c r="F1258" s="128">
        <v>47483</v>
      </c>
      <c r="G12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137.28</v>
      </c>
      <c r="H1258" s="128" t="str">
        <f t="shared" ca="1" si="19"/>
        <v>YES</v>
      </c>
      <c r="Q1258" t="s">
        <v>2195</v>
      </c>
      <c r="R1258">
        <v>55.987499999999997</v>
      </c>
    </row>
    <row r="1259" spans="1:18">
      <c r="A1259" t="s">
        <v>992</v>
      </c>
      <c r="B1259" t="s">
        <v>1665</v>
      </c>
      <c r="C1259" t="s">
        <v>994</v>
      </c>
      <c r="D1259">
        <v>71</v>
      </c>
      <c r="E1259" s="128">
        <v>36526</v>
      </c>
      <c r="F1259" s="128">
        <v>47483</v>
      </c>
      <c r="G12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</v>
      </c>
      <c r="H1259" s="128" t="str">
        <f t="shared" ca="1" si="19"/>
        <v>YES</v>
      </c>
      <c r="Q1259" t="s">
        <v>2196</v>
      </c>
      <c r="R1259">
        <v>164.89456000000001</v>
      </c>
    </row>
    <row r="1260" spans="1:18">
      <c r="A1260" t="s">
        <v>992</v>
      </c>
      <c r="B1260" t="s">
        <v>1665</v>
      </c>
      <c r="C1260" t="s">
        <v>994</v>
      </c>
      <c r="D1260">
        <v>57</v>
      </c>
      <c r="E1260" s="128">
        <v>36526</v>
      </c>
      <c r="F1260" s="128">
        <v>47483</v>
      </c>
      <c r="G12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</v>
      </c>
      <c r="H1260" s="128" t="str">
        <f t="shared" ca="1" si="19"/>
        <v>YES</v>
      </c>
      <c r="Q1260" t="s">
        <v>2197</v>
      </c>
      <c r="R1260">
        <v>60.970939999999999</v>
      </c>
    </row>
    <row r="1261" spans="1:18">
      <c r="A1261" t="s">
        <v>992</v>
      </c>
      <c r="B1261" t="s">
        <v>1666</v>
      </c>
      <c r="C1261" t="s">
        <v>994</v>
      </c>
      <c r="D1261">
        <v>161</v>
      </c>
      <c r="E1261" s="128">
        <v>36526</v>
      </c>
      <c r="F1261" s="128">
        <v>47483</v>
      </c>
      <c r="G12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161</v>
      </c>
      <c r="H1261" s="128" t="str">
        <f t="shared" ca="1" si="19"/>
        <v>YES</v>
      </c>
      <c r="Q1261" t="s">
        <v>2198</v>
      </c>
      <c r="R1261">
        <v>1626.2336300000002</v>
      </c>
    </row>
    <row r="1262" spans="1:18">
      <c r="A1262" t="s">
        <v>992</v>
      </c>
      <c r="B1262" t="s">
        <v>1667</v>
      </c>
      <c r="C1262" t="s">
        <v>994</v>
      </c>
      <c r="D1262">
        <v>173</v>
      </c>
      <c r="E1262" s="128">
        <v>36526</v>
      </c>
      <c r="F1262" s="128">
        <v>43496</v>
      </c>
      <c r="G12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173</v>
      </c>
      <c r="H1262" s="128" t="str">
        <f t="shared" ca="1" si="19"/>
        <v>NO</v>
      </c>
      <c r="Q1262" t="s">
        <v>2199</v>
      </c>
      <c r="R1262">
        <v>118.10018000000001</v>
      </c>
    </row>
    <row r="1263" spans="1:18">
      <c r="A1263" t="s">
        <v>992</v>
      </c>
      <c r="B1263" t="s">
        <v>1667</v>
      </c>
      <c r="C1263" t="s">
        <v>994</v>
      </c>
      <c r="D1263">
        <v>180</v>
      </c>
      <c r="E1263" s="128">
        <v>43497</v>
      </c>
      <c r="F1263" s="128">
        <v>47483</v>
      </c>
      <c r="G12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</v>
      </c>
      <c r="H1263" s="128" t="str">
        <f t="shared" ca="1" si="19"/>
        <v>YES</v>
      </c>
      <c r="Q1263" t="s">
        <v>2200</v>
      </c>
      <c r="R1263">
        <v>54.070159999999994</v>
      </c>
    </row>
    <row r="1264" spans="1:18">
      <c r="A1264" t="s">
        <v>992</v>
      </c>
      <c r="B1264" t="s">
        <v>1668</v>
      </c>
      <c r="C1264" t="s">
        <v>994</v>
      </c>
      <c r="D1264">
        <v>268</v>
      </c>
      <c r="E1264" s="128">
        <v>36526</v>
      </c>
      <c r="F1264" s="128">
        <v>47483</v>
      </c>
      <c r="G12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268</v>
      </c>
      <c r="H1264" s="128" t="str">
        <f t="shared" ca="1" si="19"/>
        <v>YES</v>
      </c>
      <c r="Q1264" t="s">
        <v>2201</v>
      </c>
      <c r="R1264">
        <v>73.729209999999995</v>
      </c>
    </row>
    <row r="1265" spans="1:18">
      <c r="A1265" t="s">
        <v>992</v>
      </c>
      <c r="B1265" t="s">
        <v>1669</v>
      </c>
      <c r="C1265" t="s">
        <v>994</v>
      </c>
      <c r="D1265">
        <v>565</v>
      </c>
      <c r="E1265" s="128">
        <v>36526</v>
      </c>
      <c r="F1265" s="128">
        <v>47483</v>
      </c>
      <c r="G12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565</v>
      </c>
      <c r="H1265" s="128" t="str">
        <f t="shared" ca="1" si="19"/>
        <v>YES</v>
      </c>
      <c r="Q1265" t="s">
        <v>2202</v>
      </c>
      <c r="R1265">
        <v>173.5772</v>
      </c>
    </row>
    <row r="1266" spans="1:18">
      <c r="A1266" t="s">
        <v>992</v>
      </c>
      <c r="B1266" t="s">
        <v>1670</v>
      </c>
      <c r="C1266" t="s">
        <v>994</v>
      </c>
      <c r="D1266">
        <v>154</v>
      </c>
      <c r="E1266" s="128">
        <v>36526</v>
      </c>
      <c r="F1266" s="128">
        <v>47483</v>
      </c>
      <c r="G12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</v>
      </c>
      <c r="H1266" s="128" t="str">
        <f t="shared" ca="1" si="19"/>
        <v>YES</v>
      </c>
      <c r="Q1266" t="s">
        <v>2203</v>
      </c>
      <c r="R1266">
        <v>211.60151999999999</v>
      </c>
    </row>
    <row r="1267" spans="1:18">
      <c r="A1267" t="s">
        <v>992</v>
      </c>
      <c r="B1267" t="s">
        <v>1671</v>
      </c>
      <c r="C1267" t="s">
        <v>994</v>
      </c>
      <c r="D1267">
        <v>169</v>
      </c>
      <c r="E1267" s="128">
        <v>36526</v>
      </c>
      <c r="F1267" s="128">
        <v>47483</v>
      </c>
      <c r="G12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</v>
      </c>
      <c r="H1267" s="128" t="str">
        <f t="shared" ca="1" si="19"/>
        <v>YES</v>
      </c>
      <c r="Q1267" t="s">
        <v>2204</v>
      </c>
      <c r="R1267">
        <v>165.68680999999998</v>
      </c>
    </row>
    <row r="1268" spans="1:18">
      <c r="A1268" t="s">
        <v>992</v>
      </c>
      <c r="B1268" t="s">
        <v>1672</v>
      </c>
      <c r="C1268" t="s">
        <v>994</v>
      </c>
      <c r="D1268">
        <v>282</v>
      </c>
      <c r="E1268" s="128">
        <v>36526</v>
      </c>
      <c r="F1268" s="128">
        <v>47483</v>
      </c>
      <c r="G12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282</v>
      </c>
      <c r="H1268" s="128" t="str">
        <f t="shared" ca="1" si="19"/>
        <v>YES</v>
      </c>
      <c r="Q1268" t="s">
        <v>2205</v>
      </c>
      <c r="R1268">
        <v>247.37969000000001</v>
      </c>
    </row>
    <row r="1269" spans="1:18">
      <c r="A1269" t="s">
        <v>992</v>
      </c>
      <c r="B1269" t="s">
        <v>901</v>
      </c>
      <c r="C1269" t="s">
        <v>994</v>
      </c>
      <c r="D1269">
        <v>162</v>
      </c>
      <c r="E1269" s="128">
        <v>36526</v>
      </c>
      <c r="F1269" s="128">
        <v>44834</v>
      </c>
      <c r="G12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162</v>
      </c>
      <c r="H1269" s="128" t="str">
        <f t="shared" ca="1" si="19"/>
        <v>NO</v>
      </c>
      <c r="Q1269" t="s">
        <v>2206</v>
      </c>
      <c r="R1269">
        <v>229.50377</v>
      </c>
    </row>
    <row r="1270" spans="1:18">
      <c r="A1270" t="s">
        <v>992</v>
      </c>
      <c r="B1270" t="s">
        <v>901</v>
      </c>
      <c r="C1270" t="s">
        <v>994</v>
      </c>
      <c r="D1270">
        <v>170.1</v>
      </c>
      <c r="E1270" s="128">
        <v>44835</v>
      </c>
      <c r="F1270" s="128">
        <v>45016</v>
      </c>
      <c r="G12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170.1</v>
      </c>
      <c r="H1270" s="128" t="str">
        <f t="shared" ca="1" si="19"/>
        <v>NO</v>
      </c>
      <c r="Q1270" t="s">
        <v>2207</v>
      </c>
      <c r="R1270">
        <v>107.13039000000001</v>
      </c>
    </row>
    <row r="1271" spans="1:18">
      <c r="A1271" t="s">
        <v>992</v>
      </c>
      <c r="B1271" t="s">
        <v>899</v>
      </c>
      <c r="C1271" t="s">
        <v>994</v>
      </c>
      <c r="D1271">
        <v>181</v>
      </c>
      <c r="E1271" s="128">
        <v>36526</v>
      </c>
      <c r="F1271" s="128">
        <v>44834</v>
      </c>
      <c r="G12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</v>
      </c>
      <c r="H1271" s="128" t="str">
        <f t="shared" ca="1" si="19"/>
        <v>NO</v>
      </c>
      <c r="Q1271" t="s">
        <v>2208</v>
      </c>
      <c r="R1271">
        <v>167.85138999999998</v>
      </c>
    </row>
    <row r="1272" spans="1:18">
      <c r="A1272" t="s">
        <v>992</v>
      </c>
      <c r="B1272" t="s">
        <v>899</v>
      </c>
      <c r="C1272" t="s">
        <v>994</v>
      </c>
      <c r="D1272">
        <v>190.04999999999998</v>
      </c>
      <c r="E1272" s="128">
        <v>44835</v>
      </c>
      <c r="F1272" s="128">
        <v>45016</v>
      </c>
      <c r="G12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190.04999999999998</v>
      </c>
      <c r="H1272" s="128" t="str">
        <f t="shared" ca="1" si="19"/>
        <v>NO</v>
      </c>
      <c r="Q1272" t="s">
        <v>2209</v>
      </c>
      <c r="R1272">
        <v>176.05626000000001</v>
      </c>
    </row>
    <row r="1273" spans="1:18">
      <c r="A1273" t="s">
        <v>992</v>
      </c>
      <c r="B1273" t="s">
        <v>1673</v>
      </c>
      <c r="C1273" t="s">
        <v>994</v>
      </c>
      <c r="D1273">
        <v>249.99999999999997</v>
      </c>
      <c r="E1273" s="128">
        <v>36526</v>
      </c>
      <c r="F1273" s="128">
        <v>43614</v>
      </c>
      <c r="G12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249.99999999999997</v>
      </c>
      <c r="H1273" s="128" t="str">
        <f t="shared" ca="1" si="19"/>
        <v>NO</v>
      </c>
      <c r="Q1273" t="s">
        <v>2210</v>
      </c>
      <c r="R1273">
        <v>553.21750999999995</v>
      </c>
    </row>
    <row r="1274" spans="1:18">
      <c r="A1274" t="s">
        <v>992</v>
      </c>
      <c r="B1274" t="s">
        <v>1673</v>
      </c>
      <c r="C1274" t="s">
        <v>994</v>
      </c>
      <c r="D1274">
        <v>550.46</v>
      </c>
      <c r="E1274" s="128">
        <v>43615</v>
      </c>
      <c r="F1274" s="128">
        <v>47483</v>
      </c>
      <c r="G12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550.46</v>
      </c>
      <c r="H1274" s="128" t="str">
        <f t="shared" ca="1" si="19"/>
        <v>YES</v>
      </c>
      <c r="Q1274" t="s">
        <v>2211</v>
      </c>
      <c r="R1274">
        <v>105.67468</v>
      </c>
    </row>
    <row r="1275" spans="1:18">
      <c r="A1275" t="s">
        <v>992</v>
      </c>
      <c r="B1275" t="s">
        <v>1674</v>
      </c>
      <c r="C1275" t="s">
        <v>994</v>
      </c>
      <c r="D1275">
        <v>140.751</v>
      </c>
      <c r="E1275" s="128">
        <v>36526</v>
      </c>
      <c r="F1275" s="128">
        <v>47483</v>
      </c>
      <c r="G12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140.751</v>
      </c>
      <c r="H1275" s="128" t="str">
        <f t="shared" ca="1" si="19"/>
        <v>YES</v>
      </c>
      <c r="Q1275" t="s">
        <v>2212</v>
      </c>
      <c r="R1275">
        <v>2819.5133999999998</v>
      </c>
    </row>
    <row r="1276" spans="1:18">
      <c r="A1276" t="s">
        <v>992</v>
      </c>
      <c r="B1276" t="s">
        <v>1590</v>
      </c>
      <c r="C1276" t="s">
        <v>994</v>
      </c>
      <c r="D1276">
        <v>1862</v>
      </c>
      <c r="E1276" s="128">
        <v>45017</v>
      </c>
      <c r="F1276" s="128">
        <v>54879</v>
      </c>
      <c r="G12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1862</v>
      </c>
      <c r="H1276" s="128" t="str">
        <f t="shared" ca="1" si="19"/>
        <v>YES</v>
      </c>
      <c r="Q1276" t="s">
        <v>2213</v>
      </c>
      <c r="R1276">
        <v>170.42719</v>
      </c>
    </row>
    <row r="1277" spans="1:18">
      <c r="A1277" t="s">
        <v>992</v>
      </c>
      <c r="B1277" t="s">
        <v>259</v>
      </c>
      <c r="C1277" t="s">
        <v>994</v>
      </c>
      <c r="D1277">
        <v>310</v>
      </c>
      <c r="E1277" s="128">
        <v>45017</v>
      </c>
      <c r="F1277" s="128">
        <v>46116</v>
      </c>
      <c r="G12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310</v>
      </c>
      <c r="H1277" s="128" t="str">
        <f t="shared" ca="1" si="19"/>
        <v>YES</v>
      </c>
      <c r="Q1277" t="s">
        <v>2214</v>
      </c>
      <c r="R1277">
        <v>116.88515000000001</v>
      </c>
    </row>
    <row r="1278" spans="1:18">
      <c r="A1278" t="s">
        <v>992</v>
      </c>
      <c r="B1278" t="s">
        <v>1578</v>
      </c>
      <c r="C1278" t="s">
        <v>994</v>
      </c>
      <c r="D1278">
        <v>1436</v>
      </c>
      <c r="E1278" s="128">
        <v>45017</v>
      </c>
      <c r="F1278" s="128">
        <v>46388</v>
      </c>
      <c r="G12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1436</v>
      </c>
      <c r="H1278" s="128" t="str">
        <f t="shared" ca="1" si="19"/>
        <v>YES</v>
      </c>
      <c r="Q1278" t="s">
        <v>2215</v>
      </c>
      <c r="R1278">
        <v>206.07026999999999</v>
      </c>
    </row>
    <row r="1279" spans="1:18">
      <c r="A1279" t="s">
        <v>992</v>
      </c>
      <c r="B1279" t="s">
        <v>1223</v>
      </c>
      <c r="C1279" t="s">
        <v>994</v>
      </c>
      <c r="D1279">
        <v>134</v>
      </c>
      <c r="E1279" s="128">
        <v>45017</v>
      </c>
      <c r="F1279" s="128">
        <v>54789</v>
      </c>
      <c r="G12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</v>
      </c>
      <c r="H1279" s="128" t="str">
        <f t="shared" ca="1" si="19"/>
        <v>YES</v>
      </c>
      <c r="Q1279" t="s">
        <v>2216</v>
      </c>
      <c r="R1279">
        <v>59.282809999999998</v>
      </c>
    </row>
    <row r="1280" spans="1:18">
      <c r="A1280" t="s">
        <v>992</v>
      </c>
      <c r="B1280" t="s">
        <v>1224</v>
      </c>
      <c r="C1280" t="s">
        <v>994</v>
      </c>
      <c r="D1280">
        <v>145</v>
      </c>
      <c r="E1280" s="128">
        <v>45017</v>
      </c>
      <c r="F1280" s="128">
        <v>54789</v>
      </c>
      <c r="G12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145</v>
      </c>
      <c r="H1280" s="128" t="str">
        <f t="shared" ca="1" si="19"/>
        <v>YES</v>
      </c>
      <c r="Q1280" t="s">
        <v>2217</v>
      </c>
      <c r="R1280">
        <v>95.729349999999997</v>
      </c>
    </row>
    <row r="1281" spans="1:18">
      <c r="A1281" t="s">
        <v>992</v>
      </c>
      <c r="B1281" t="s">
        <v>1257</v>
      </c>
      <c r="C1281" t="s">
        <v>994</v>
      </c>
      <c r="D1281">
        <v>134</v>
      </c>
      <c r="E1281" s="128">
        <v>45017</v>
      </c>
      <c r="F1281" s="128">
        <v>54789</v>
      </c>
      <c r="G12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</v>
      </c>
      <c r="H1281" s="128" t="str">
        <f t="shared" ca="1" si="19"/>
        <v>YES</v>
      </c>
      <c r="Q1281" t="s">
        <v>2218</v>
      </c>
      <c r="R1281">
        <v>124.78572</v>
      </c>
    </row>
    <row r="1282" spans="1:18">
      <c r="A1282" t="s">
        <v>992</v>
      </c>
      <c r="B1282" t="s">
        <v>1260</v>
      </c>
      <c r="C1282" t="s">
        <v>994</v>
      </c>
      <c r="D1282">
        <v>386</v>
      </c>
      <c r="E1282" s="128">
        <v>45047</v>
      </c>
      <c r="F1282" s="128">
        <v>54789</v>
      </c>
      <c r="G12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386</v>
      </c>
      <c r="H1282" s="128" t="str">
        <f t="shared" ref="H1282:H1345" ca="1" si="20">IF(OR(F1282=0,F1282&gt;TODAY()),"YES","NO")</f>
        <v>YES</v>
      </c>
      <c r="Q1282" t="s">
        <v>2219</v>
      </c>
      <c r="R1282">
        <v>121.0617</v>
      </c>
    </row>
    <row r="1283" spans="1:18">
      <c r="A1283" t="s">
        <v>992</v>
      </c>
      <c r="B1283" t="s">
        <v>1261</v>
      </c>
      <c r="C1283" t="s">
        <v>994</v>
      </c>
      <c r="D1283">
        <v>474.99999999999994</v>
      </c>
      <c r="E1283" s="128">
        <v>45017</v>
      </c>
      <c r="F1283" s="128">
        <v>54789</v>
      </c>
      <c r="G12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474.99999999999994</v>
      </c>
      <c r="H1283" s="128" t="str">
        <f t="shared" ca="1" si="20"/>
        <v>YES</v>
      </c>
      <c r="Q1283" t="s">
        <v>2220</v>
      </c>
      <c r="R1283">
        <v>88.118639999999999</v>
      </c>
    </row>
    <row r="1284" spans="1:18">
      <c r="A1284" t="s">
        <v>992</v>
      </c>
      <c r="B1284" t="s">
        <v>1264</v>
      </c>
      <c r="C1284" t="s">
        <v>994</v>
      </c>
      <c r="D1284">
        <v>306</v>
      </c>
      <c r="E1284" s="128">
        <v>45017</v>
      </c>
      <c r="F1284" s="128">
        <v>54789</v>
      </c>
      <c r="G12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306</v>
      </c>
      <c r="H1284" s="128" t="str">
        <f t="shared" ca="1" si="20"/>
        <v>YES</v>
      </c>
      <c r="Q1284" t="s">
        <v>2221</v>
      </c>
      <c r="R1284">
        <v>119.01867</v>
      </c>
    </row>
    <row r="1285" spans="1:18">
      <c r="A1285" t="s">
        <v>992</v>
      </c>
      <c r="B1285" t="s">
        <v>1268</v>
      </c>
      <c r="C1285" t="s">
        <v>994</v>
      </c>
      <c r="D1285">
        <v>169</v>
      </c>
      <c r="E1285" s="128">
        <v>45017</v>
      </c>
      <c r="F1285" s="128">
        <v>54789</v>
      </c>
      <c r="G12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</v>
      </c>
      <c r="H1285" s="128" t="str">
        <f t="shared" ca="1" si="20"/>
        <v>YES</v>
      </c>
      <c r="Q1285" t="s">
        <v>2222</v>
      </c>
      <c r="R1285">
        <v>100.57427</v>
      </c>
    </row>
    <row r="1286" spans="1:18">
      <c r="A1286" t="s">
        <v>992</v>
      </c>
      <c r="B1286" t="s">
        <v>1269</v>
      </c>
      <c r="C1286" t="s">
        <v>994</v>
      </c>
      <c r="D1286">
        <v>169</v>
      </c>
      <c r="E1286" s="128">
        <v>45017</v>
      </c>
      <c r="F1286" s="128">
        <v>54789</v>
      </c>
      <c r="G12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</v>
      </c>
      <c r="H1286" s="128" t="str">
        <f t="shared" ca="1" si="20"/>
        <v>YES</v>
      </c>
      <c r="Q1286" t="s">
        <v>2223</v>
      </c>
      <c r="R1286">
        <v>87.393420000000006</v>
      </c>
    </row>
    <row r="1287" spans="1:18">
      <c r="A1287" t="s">
        <v>992</v>
      </c>
      <c r="B1287" t="s">
        <v>1270</v>
      </c>
      <c r="C1287" t="s">
        <v>994</v>
      </c>
      <c r="D1287">
        <v>329</v>
      </c>
      <c r="E1287" s="128">
        <v>45017</v>
      </c>
      <c r="F1287" s="128">
        <v>54789</v>
      </c>
      <c r="G12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329</v>
      </c>
      <c r="H1287" s="128" t="str">
        <f t="shared" ca="1" si="20"/>
        <v>YES</v>
      </c>
      <c r="Q1287" t="s">
        <v>2224</v>
      </c>
      <c r="R1287">
        <v>124.78224</v>
      </c>
    </row>
    <row r="1288" spans="1:18">
      <c r="A1288" t="s">
        <v>992</v>
      </c>
      <c r="B1288" t="s">
        <v>1273</v>
      </c>
      <c r="C1288" t="s">
        <v>994</v>
      </c>
      <c r="D1288">
        <v>895</v>
      </c>
      <c r="E1288" s="128">
        <v>45017</v>
      </c>
      <c r="F1288" s="128">
        <v>54789</v>
      </c>
      <c r="G12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895</v>
      </c>
      <c r="H1288" s="128" t="str">
        <f t="shared" ca="1" si="20"/>
        <v>YES</v>
      </c>
      <c r="Q1288" t="s">
        <v>2225</v>
      </c>
      <c r="R1288">
        <v>272.05522999999999</v>
      </c>
    </row>
    <row r="1289" spans="1:18">
      <c r="A1289" t="s">
        <v>992</v>
      </c>
      <c r="B1289" t="s">
        <v>1274</v>
      </c>
      <c r="C1289" t="s">
        <v>994</v>
      </c>
      <c r="D1289">
        <v>350</v>
      </c>
      <c r="E1289" s="128">
        <v>45017</v>
      </c>
      <c r="F1289" s="128">
        <v>54789</v>
      </c>
      <c r="G12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1289" s="128" t="str">
        <f t="shared" ca="1" si="20"/>
        <v>YES</v>
      </c>
      <c r="Q1289" t="s">
        <v>2226</v>
      </c>
      <c r="R1289">
        <v>105.73891</v>
      </c>
    </row>
    <row r="1290" spans="1:18">
      <c r="A1290" t="s">
        <v>992</v>
      </c>
      <c r="B1290" t="s">
        <v>1281</v>
      </c>
      <c r="C1290" t="s">
        <v>994</v>
      </c>
      <c r="D1290">
        <v>243</v>
      </c>
      <c r="E1290" s="128">
        <v>45017</v>
      </c>
      <c r="F1290" s="128">
        <v>54789</v>
      </c>
      <c r="G12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243</v>
      </c>
      <c r="H1290" s="128" t="str">
        <f t="shared" ca="1" si="20"/>
        <v>YES</v>
      </c>
      <c r="Q1290" t="s">
        <v>2227</v>
      </c>
      <c r="R1290">
        <v>405.48806000000002</v>
      </c>
    </row>
    <row r="1291" spans="1:18">
      <c r="A1291" t="s">
        <v>992</v>
      </c>
      <c r="B1291" t="s">
        <v>858</v>
      </c>
      <c r="C1291" t="s">
        <v>994</v>
      </c>
      <c r="D1291">
        <v>230.00000000000003</v>
      </c>
      <c r="E1291" s="128">
        <v>45017</v>
      </c>
      <c r="F1291" s="128">
        <v>54789</v>
      </c>
      <c r="G12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230.00000000000003</v>
      </c>
      <c r="H1291" s="128" t="str">
        <f t="shared" ca="1" si="20"/>
        <v>YES</v>
      </c>
      <c r="Q1291" t="s">
        <v>2228</v>
      </c>
      <c r="R1291">
        <v>170.42719</v>
      </c>
    </row>
    <row r="1292" spans="1:18">
      <c r="A1292" t="s">
        <v>992</v>
      </c>
      <c r="B1292" t="s">
        <v>855</v>
      </c>
      <c r="C1292" t="s">
        <v>994</v>
      </c>
      <c r="D1292">
        <v>170</v>
      </c>
      <c r="E1292" s="128">
        <v>45017</v>
      </c>
      <c r="F1292" s="128">
        <v>54789</v>
      </c>
      <c r="G12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170</v>
      </c>
      <c r="H1292" s="128" t="str">
        <f t="shared" ca="1" si="20"/>
        <v>YES</v>
      </c>
      <c r="Q1292" t="s">
        <v>2229</v>
      </c>
      <c r="R1292">
        <v>117.55790999999999</v>
      </c>
    </row>
    <row r="1293" spans="1:18">
      <c r="A1293" t="s">
        <v>992</v>
      </c>
      <c r="B1293" t="s">
        <v>1299</v>
      </c>
      <c r="C1293" t="s">
        <v>994</v>
      </c>
      <c r="D1293">
        <v>375</v>
      </c>
      <c r="E1293" s="128">
        <v>45017</v>
      </c>
      <c r="F1293" s="128">
        <v>54789</v>
      </c>
      <c r="G12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375</v>
      </c>
      <c r="H1293" s="128" t="str">
        <f t="shared" ca="1" si="20"/>
        <v>YES</v>
      </c>
      <c r="Q1293" t="s">
        <v>2230</v>
      </c>
      <c r="R1293">
        <v>121.0617</v>
      </c>
    </row>
    <row r="1294" spans="1:18">
      <c r="A1294" t="s">
        <v>992</v>
      </c>
      <c r="B1294" t="s">
        <v>1300</v>
      </c>
      <c r="C1294" t="s">
        <v>994</v>
      </c>
      <c r="D1294">
        <v>627</v>
      </c>
      <c r="E1294" s="128">
        <v>45017</v>
      </c>
      <c r="F1294" s="128">
        <v>54789</v>
      </c>
      <c r="G12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627</v>
      </c>
      <c r="H1294" s="128" t="str">
        <f t="shared" ca="1" si="20"/>
        <v>YES</v>
      </c>
      <c r="Q1294" t="s">
        <v>2231</v>
      </c>
      <c r="R1294">
        <v>87.393420000000006</v>
      </c>
    </row>
    <row r="1295" spans="1:18">
      <c r="A1295" t="s">
        <v>992</v>
      </c>
      <c r="B1295" t="s">
        <v>1301</v>
      </c>
      <c r="C1295" t="s">
        <v>994</v>
      </c>
      <c r="D1295">
        <v>227</v>
      </c>
      <c r="E1295" s="128">
        <v>45017</v>
      </c>
      <c r="F1295" s="128">
        <v>54789</v>
      </c>
      <c r="G12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227</v>
      </c>
      <c r="H1295" s="128" t="str">
        <f t="shared" ca="1" si="20"/>
        <v>YES</v>
      </c>
      <c r="Q1295" t="s">
        <v>2232</v>
      </c>
      <c r="R1295">
        <v>105.73891</v>
      </c>
    </row>
    <row r="1296" spans="1:18">
      <c r="A1296" t="s">
        <v>992</v>
      </c>
      <c r="B1296" t="s">
        <v>1304</v>
      </c>
      <c r="C1296" t="s">
        <v>994</v>
      </c>
      <c r="D1296">
        <v>245</v>
      </c>
      <c r="E1296" s="128">
        <v>45017</v>
      </c>
      <c r="F1296" s="128">
        <v>54789</v>
      </c>
      <c r="G12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245</v>
      </c>
      <c r="H1296" s="128" t="str">
        <f t="shared" ca="1" si="20"/>
        <v>YES</v>
      </c>
      <c r="Q1296" t="s">
        <v>2233</v>
      </c>
      <c r="R1296">
        <v>143.44806</v>
      </c>
    </row>
    <row r="1297" spans="1:18">
      <c r="A1297" t="s">
        <v>992</v>
      </c>
      <c r="B1297" t="s">
        <v>1318</v>
      </c>
      <c r="C1297" t="s">
        <v>994</v>
      </c>
      <c r="D1297">
        <v>400</v>
      </c>
      <c r="E1297" s="128">
        <v>45017</v>
      </c>
      <c r="F1297" s="128">
        <v>45076</v>
      </c>
      <c r="G12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400</v>
      </c>
      <c r="H1297" s="128" t="str">
        <f t="shared" ca="1" si="20"/>
        <v>NO</v>
      </c>
      <c r="Q1297" t="s">
        <v>2234</v>
      </c>
      <c r="R1297">
        <v>178.23328000000001</v>
      </c>
    </row>
    <row r="1298" spans="1:18">
      <c r="A1298" t="s">
        <v>992</v>
      </c>
      <c r="B1298" t="s">
        <v>1550</v>
      </c>
      <c r="C1298" t="s">
        <v>994</v>
      </c>
      <c r="D1298">
        <v>965.99999999999989</v>
      </c>
      <c r="E1298" s="128">
        <v>45017</v>
      </c>
      <c r="F1298" s="128">
        <v>54789</v>
      </c>
      <c r="G12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965.99999999999989</v>
      </c>
      <c r="H1298" s="128" t="str">
        <f t="shared" ca="1" si="20"/>
        <v>YES</v>
      </c>
      <c r="Q1298" t="s">
        <v>2235</v>
      </c>
      <c r="R1298">
        <v>134.05357000000001</v>
      </c>
    </row>
    <row r="1299" spans="1:18">
      <c r="A1299" t="s">
        <v>992</v>
      </c>
      <c r="B1299" t="s">
        <v>1318</v>
      </c>
      <c r="C1299" t="s">
        <v>994</v>
      </c>
      <c r="D1299">
        <v>431</v>
      </c>
      <c r="E1299" s="128">
        <v>45077</v>
      </c>
      <c r="F1299" s="128">
        <v>54789</v>
      </c>
      <c r="G12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431</v>
      </c>
      <c r="H1299" s="128" t="str">
        <f t="shared" ca="1" si="20"/>
        <v>YES</v>
      </c>
      <c r="Q1299" t="s">
        <v>2236</v>
      </c>
      <c r="R1299">
        <v>132.09146000000001</v>
      </c>
    </row>
    <row r="1300" spans="1:18">
      <c r="A1300" t="s">
        <v>992</v>
      </c>
      <c r="B1300" t="s">
        <v>1594</v>
      </c>
      <c r="C1300" t="s">
        <v>994</v>
      </c>
      <c r="D1300">
        <v>384</v>
      </c>
      <c r="E1300" s="128">
        <v>45017</v>
      </c>
      <c r="F1300" s="128">
        <v>54789</v>
      </c>
      <c r="G13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384</v>
      </c>
      <c r="H1300" s="128" t="str">
        <f t="shared" ca="1" si="20"/>
        <v>YES</v>
      </c>
      <c r="Q1300" t="s">
        <v>2237</v>
      </c>
      <c r="R1300">
        <v>163.43118999999999</v>
      </c>
    </row>
    <row r="1301" spans="1:18">
      <c r="A1301" t="s">
        <v>992</v>
      </c>
      <c r="B1301" t="s">
        <v>1595</v>
      </c>
      <c r="C1301" t="s">
        <v>994</v>
      </c>
      <c r="D1301">
        <v>365</v>
      </c>
      <c r="E1301" s="128">
        <v>45017</v>
      </c>
      <c r="F1301" s="128">
        <v>54789</v>
      </c>
      <c r="G13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365</v>
      </c>
      <c r="H1301" s="128" t="str">
        <f t="shared" ca="1" si="20"/>
        <v>YES</v>
      </c>
      <c r="Q1301" t="s">
        <v>2238</v>
      </c>
      <c r="R1301">
        <v>116.91789000000001</v>
      </c>
    </row>
    <row r="1302" spans="1:18">
      <c r="A1302" t="s">
        <v>992</v>
      </c>
      <c r="B1302" t="s">
        <v>901</v>
      </c>
      <c r="C1302" t="s">
        <v>994</v>
      </c>
      <c r="D1302">
        <v>162</v>
      </c>
      <c r="E1302" s="128">
        <v>45017</v>
      </c>
      <c r="F1302" s="128">
        <v>54789</v>
      </c>
      <c r="G13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162</v>
      </c>
      <c r="H1302" s="128" t="str">
        <f t="shared" ca="1" si="20"/>
        <v>YES</v>
      </c>
      <c r="Q1302" t="s">
        <v>2239</v>
      </c>
      <c r="R1302">
        <v>206.07026999999999</v>
      </c>
    </row>
    <row r="1303" spans="1:18">
      <c r="A1303" t="s">
        <v>992</v>
      </c>
      <c r="B1303" t="s">
        <v>899</v>
      </c>
      <c r="C1303" t="s">
        <v>994</v>
      </c>
      <c r="D1303">
        <v>181</v>
      </c>
      <c r="E1303" s="128">
        <v>45017</v>
      </c>
      <c r="F1303" s="128">
        <v>54789</v>
      </c>
      <c r="G13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181</v>
      </c>
      <c r="H1303" s="128" t="str">
        <f t="shared" ca="1" si="20"/>
        <v>YES</v>
      </c>
      <c r="Q1303" t="s">
        <v>2240</v>
      </c>
      <c r="R1303">
        <v>75.283929999999998</v>
      </c>
    </row>
    <row r="1304" spans="1:18">
      <c r="A1304" t="s">
        <v>992</v>
      </c>
      <c r="B1304" t="s">
        <v>1477</v>
      </c>
      <c r="C1304" t="s">
        <v>994</v>
      </c>
      <c r="D1304">
        <v>326</v>
      </c>
      <c r="E1304" s="128">
        <v>45017</v>
      </c>
      <c r="F1304" s="128">
        <v>54789</v>
      </c>
      <c r="G13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326</v>
      </c>
      <c r="H1304" s="128" t="str">
        <f t="shared" ca="1" si="20"/>
        <v>YES</v>
      </c>
      <c r="Q1304" t="s">
        <v>2241</v>
      </c>
      <c r="R1304">
        <v>54.768510000000006</v>
      </c>
    </row>
    <row r="1305" spans="1:18">
      <c r="A1305" t="s">
        <v>992</v>
      </c>
      <c r="B1305" t="s">
        <v>801</v>
      </c>
      <c r="C1305" t="s">
        <v>994</v>
      </c>
      <c r="D1305">
        <v>826.19999999999993</v>
      </c>
      <c r="E1305" s="128">
        <v>45017</v>
      </c>
      <c r="F1305" s="128">
        <v>54789</v>
      </c>
      <c r="G13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826.19999999999993</v>
      </c>
      <c r="H1305" s="128" t="str">
        <f t="shared" ca="1" si="20"/>
        <v>YES</v>
      </c>
      <c r="Q1305" t="s">
        <v>2242</v>
      </c>
      <c r="R1305">
        <v>35.514229999999998</v>
      </c>
    </row>
    <row r="1306" spans="1:18">
      <c r="A1306" t="s">
        <v>992</v>
      </c>
      <c r="B1306" t="s">
        <v>1196</v>
      </c>
      <c r="C1306" t="s">
        <v>994</v>
      </c>
      <c r="D1306">
        <v>531</v>
      </c>
      <c r="E1306" s="128">
        <v>45017</v>
      </c>
      <c r="F1306" s="128">
        <v>46023</v>
      </c>
      <c r="G13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531</v>
      </c>
      <c r="H1306" s="128" t="str">
        <f t="shared" ca="1" si="20"/>
        <v>YES</v>
      </c>
      <c r="Q1306" t="s">
        <v>2243</v>
      </c>
      <c r="R1306">
        <v>89.029070000000004</v>
      </c>
    </row>
    <row r="1307" spans="1:18">
      <c r="A1307" t="s">
        <v>992</v>
      </c>
      <c r="B1307" t="s">
        <v>1546</v>
      </c>
      <c r="C1307" t="s">
        <v>994</v>
      </c>
      <c r="D1307">
        <v>884.8</v>
      </c>
      <c r="E1307" s="128">
        <v>45017</v>
      </c>
      <c r="F1307" s="128">
        <v>54789</v>
      </c>
      <c r="G13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884.8</v>
      </c>
      <c r="H1307" s="128" t="str">
        <f t="shared" ca="1" si="20"/>
        <v>YES</v>
      </c>
      <c r="Q1307" t="s">
        <v>2244</v>
      </c>
      <c r="R1307">
        <v>158.83018999999999</v>
      </c>
    </row>
    <row r="1308" spans="1:18">
      <c r="A1308" t="s">
        <v>992</v>
      </c>
      <c r="B1308" t="s">
        <v>1249</v>
      </c>
      <c r="C1308" t="s">
        <v>994</v>
      </c>
      <c r="D1308">
        <v>561.80000000000007</v>
      </c>
      <c r="E1308" s="128">
        <v>45017</v>
      </c>
      <c r="F1308" s="128">
        <v>54789</v>
      </c>
      <c r="G13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561.80000000000007</v>
      </c>
      <c r="H1308" s="128" t="str">
        <f t="shared" ca="1" si="20"/>
        <v>YES</v>
      </c>
      <c r="Q1308" t="s">
        <v>2245</v>
      </c>
      <c r="R1308">
        <v>59.530029999999996</v>
      </c>
    </row>
    <row r="1309" spans="1:18">
      <c r="A1309" t="s">
        <v>992</v>
      </c>
      <c r="B1309" t="s">
        <v>1250</v>
      </c>
      <c r="C1309" t="s">
        <v>994</v>
      </c>
      <c r="D1309">
        <v>604.1</v>
      </c>
      <c r="E1309" s="128">
        <v>45017</v>
      </c>
      <c r="F1309" s="128">
        <v>46023</v>
      </c>
      <c r="G13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604.1</v>
      </c>
      <c r="H1309" s="128" t="str">
        <f t="shared" ca="1" si="20"/>
        <v>YES</v>
      </c>
      <c r="Q1309" t="s">
        <v>2246</v>
      </c>
      <c r="R1309">
        <v>55.806010000000001</v>
      </c>
    </row>
    <row r="1310" spans="1:18">
      <c r="A1310" t="s">
        <v>992</v>
      </c>
      <c r="B1310" t="s">
        <v>1246</v>
      </c>
      <c r="C1310" t="s">
        <v>994</v>
      </c>
      <c r="D1310">
        <v>537.6</v>
      </c>
      <c r="E1310" s="128">
        <v>45017</v>
      </c>
      <c r="F1310" s="128">
        <v>54789</v>
      </c>
      <c r="G13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537.6</v>
      </c>
      <c r="H1310" s="128" t="str">
        <f t="shared" ca="1" si="20"/>
        <v>YES</v>
      </c>
      <c r="Q1310" t="s">
        <v>2247</v>
      </c>
      <c r="R1310">
        <v>29.431090000000001</v>
      </c>
    </row>
    <row r="1311" spans="1:18">
      <c r="A1311" t="s">
        <v>992</v>
      </c>
      <c r="B1311" t="s">
        <v>1247</v>
      </c>
      <c r="C1311" t="s">
        <v>994</v>
      </c>
      <c r="D1311">
        <v>537.6</v>
      </c>
      <c r="E1311" s="128">
        <v>45017</v>
      </c>
      <c r="F1311" s="128">
        <v>54789</v>
      </c>
      <c r="G13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537.6</v>
      </c>
      <c r="H1311" s="128" t="str">
        <f t="shared" ca="1" si="20"/>
        <v>YES</v>
      </c>
      <c r="Q1311" t="s">
        <v>2248</v>
      </c>
      <c r="R1311">
        <v>29.86364</v>
      </c>
    </row>
    <row r="1312" spans="1:18">
      <c r="A1312" t="s">
        <v>992</v>
      </c>
      <c r="B1312" t="s">
        <v>1642</v>
      </c>
      <c r="C1312" t="s">
        <v>994</v>
      </c>
      <c r="D1312">
        <v>573.19999999999993</v>
      </c>
      <c r="E1312" s="128">
        <v>45017</v>
      </c>
      <c r="F1312" s="128">
        <v>54789</v>
      </c>
      <c r="G13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573.19999999999993</v>
      </c>
      <c r="H1312" s="128" t="str">
        <f t="shared" ca="1" si="20"/>
        <v>YES</v>
      </c>
      <c r="Q1312" t="s">
        <v>2249</v>
      </c>
      <c r="R1312">
        <v>71.143159999999995</v>
      </c>
    </row>
    <row r="1313" spans="1:18">
      <c r="A1313" t="s">
        <v>992</v>
      </c>
      <c r="B1313" t="s">
        <v>1617</v>
      </c>
      <c r="C1313" t="s">
        <v>994</v>
      </c>
      <c r="D1313">
        <v>894</v>
      </c>
      <c r="E1313" s="128">
        <v>45017</v>
      </c>
      <c r="F1313" s="128">
        <v>46023</v>
      </c>
      <c r="G13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894</v>
      </c>
      <c r="H1313" s="128" t="str">
        <f t="shared" ca="1" si="20"/>
        <v>YES</v>
      </c>
      <c r="Q1313" t="s">
        <v>2250</v>
      </c>
      <c r="R1313">
        <v>42.319270000000003</v>
      </c>
    </row>
    <row r="1314" spans="1:18">
      <c r="A1314" t="s">
        <v>992</v>
      </c>
      <c r="B1314" t="s">
        <v>1254</v>
      </c>
      <c r="C1314" t="s">
        <v>994</v>
      </c>
      <c r="D1314">
        <v>361.20000000000005</v>
      </c>
      <c r="E1314" s="128">
        <v>45017</v>
      </c>
      <c r="F1314" s="128">
        <v>47119</v>
      </c>
      <c r="G13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361.20000000000005</v>
      </c>
      <c r="H1314" s="128" t="str">
        <f t="shared" ca="1" si="20"/>
        <v>YES</v>
      </c>
      <c r="Q1314" t="s">
        <v>2251</v>
      </c>
      <c r="R1314">
        <v>22.137730000000001</v>
      </c>
    </row>
    <row r="1315" spans="1:18">
      <c r="A1315" t="s">
        <v>992</v>
      </c>
      <c r="B1315" t="s">
        <v>870</v>
      </c>
      <c r="C1315" t="s">
        <v>994</v>
      </c>
      <c r="D1315">
        <v>100</v>
      </c>
      <c r="E1315" s="128">
        <v>45017</v>
      </c>
      <c r="F1315" s="128">
        <v>54789</v>
      </c>
      <c r="G13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100</v>
      </c>
      <c r="H1315" s="128" t="str">
        <f t="shared" ca="1" si="20"/>
        <v>YES</v>
      </c>
      <c r="Q1315" t="s">
        <v>2252</v>
      </c>
      <c r="R1315">
        <v>71.141729999999995</v>
      </c>
    </row>
    <row r="1316" spans="1:18">
      <c r="A1316" t="s">
        <v>992</v>
      </c>
      <c r="B1316" t="s">
        <v>1620</v>
      </c>
      <c r="C1316" t="s">
        <v>994</v>
      </c>
      <c r="D1316">
        <v>860</v>
      </c>
      <c r="E1316" s="128">
        <v>45017</v>
      </c>
      <c r="F1316" s="128">
        <v>54789</v>
      </c>
      <c r="G13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860</v>
      </c>
      <c r="H1316" s="128" t="str">
        <f t="shared" ca="1" si="20"/>
        <v>YES</v>
      </c>
      <c r="Q1316" t="s">
        <v>2253</v>
      </c>
      <c r="R1316">
        <v>410.50333999999998</v>
      </c>
    </row>
    <row r="1317" spans="1:18">
      <c r="A1317" t="s">
        <v>992</v>
      </c>
      <c r="B1317" t="s">
        <v>1626</v>
      </c>
      <c r="C1317" t="s">
        <v>994</v>
      </c>
      <c r="D1317">
        <v>850</v>
      </c>
      <c r="E1317" s="128">
        <v>45017</v>
      </c>
      <c r="F1317" s="128">
        <v>51136</v>
      </c>
      <c r="G13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850</v>
      </c>
      <c r="H1317" s="128" t="str">
        <f t="shared" ca="1" si="20"/>
        <v>YES</v>
      </c>
      <c r="Q1317" t="s">
        <v>2254</v>
      </c>
      <c r="R1317">
        <v>272.05522999999999</v>
      </c>
    </row>
    <row r="1318" spans="1:18">
      <c r="A1318" t="s">
        <v>992</v>
      </c>
      <c r="B1318" t="s">
        <v>1525</v>
      </c>
      <c r="C1318" t="s">
        <v>994</v>
      </c>
      <c r="D1318">
        <v>380.00000000000006</v>
      </c>
      <c r="E1318" s="128">
        <v>45017</v>
      </c>
      <c r="F1318" s="128">
        <v>54789</v>
      </c>
      <c r="G13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1318" s="128" t="str">
        <f t="shared" ca="1" si="20"/>
        <v>YES</v>
      </c>
      <c r="Q1318" t="s">
        <v>2255</v>
      </c>
      <c r="R1318">
        <v>20.504629999999999</v>
      </c>
    </row>
    <row r="1319" spans="1:18">
      <c r="A1319" t="s">
        <v>992</v>
      </c>
      <c r="B1319" t="s">
        <v>1293</v>
      </c>
      <c r="C1319" t="s">
        <v>994</v>
      </c>
      <c r="D1319">
        <v>213</v>
      </c>
      <c r="E1319" s="128">
        <v>45017</v>
      </c>
      <c r="F1319" s="128">
        <v>45291</v>
      </c>
      <c r="G13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213</v>
      </c>
      <c r="H1319" s="128" t="str">
        <f t="shared" ca="1" si="20"/>
        <v>NO</v>
      </c>
      <c r="Q1319" t="s">
        <v>2256</v>
      </c>
      <c r="R1319">
        <v>39.395939999999996</v>
      </c>
    </row>
    <row r="1320" spans="1:18">
      <c r="A1320" t="s">
        <v>992</v>
      </c>
      <c r="B1320" t="s">
        <v>247</v>
      </c>
      <c r="C1320" t="s">
        <v>994</v>
      </c>
      <c r="D1320">
        <v>216</v>
      </c>
      <c r="E1320" s="128">
        <v>45017</v>
      </c>
      <c r="F1320" s="128">
        <v>45291</v>
      </c>
      <c r="G13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216</v>
      </c>
      <c r="H1320" s="128" t="str">
        <f t="shared" ca="1" si="20"/>
        <v>NO</v>
      </c>
      <c r="Q1320" t="s">
        <v>2257</v>
      </c>
      <c r="R1320">
        <v>288.86811</v>
      </c>
    </row>
    <row r="1321" spans="1:18">
      <c r="A1321" t="s">
        <v>992</v>
      </c>
      <c r="B1321" t="s">
        <v>1293</v>
      </c>
      <c r="C1321" t="s">
        <v>994</v>
      </c>
      <c r="D1321">
        <v>207</v>
      </c>
      <c r="E1321" s="128">
        <v>45292</v>
      </c>
      <c r="F1321" s="128">
        <v>54789</v>
      </c>
      <c r="G13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207</v>
      </c>
      <c r="H1321" s="128" t="str">
        <f t="shared" ca="1" si="20"/>
        <v>YES</v>
      </c>
      <c r="Q1321" t="s">
        <v>2258</v>
      </c>
      <c r="R1321">
        <v>164.24035000000001</v>
      </c>
    </row>
    <row r="1322" spans="1:18">
      <c r="A1322" t="s">
        <v>992</v>
      </c>
      <c r="B1322" t="s">
        <v>260</v>
      </c>
      <c r="C1322" t="s">
        <v>994</v>
      </c>
      <c r="D1322">
        <v>1920</v>
      </c>
      <c r="E1322" s="128">
        <v>45017</v>
      </c>
      <c r="F1322" s="128">
        <v>54789</v>
      </c>
      <c r="G13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1920</v>
      </c>
      <c r="H1322" s="128" t="str">
        <f t="shared" ca="1" si="20"/>
        <v>YES</v>
      </c>
      <c r="Q1322" t="s">
        <v>2259</v>
      </c>
      <c r="R1322">
        <v>54.768510000000006</v>
      </c>
    </row>
    <row r="1323" spans="1:18">
      <c r="A1323" t="s">
        <v>992</v>
      </c>
      <c r="B1323" t="s">
        <v>247</v>
      </c>
      <c r="C1323" t="s">
        <v>994</v>
      </c>
      <c r="D1323">
        <v>214.6</v>
      </c>
      <c r="E1323" s="128">
        <v>45292</v>
      </c>
      <c r="F1323" s="128">
        <v>45412</v>
      </c>
      <c r="G13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214.6</v>
      </c>
      <c r="H1323" s="128" t="str">
        <f t="shared" ca="1" si="20"/>
        <v>NO</v>
      </c>
      <c r="Q1323" t="s">
        <v>2260</v>
      </c>
      <c r="R1323">
        <v>79.862000000000009</v>
      </c>
    </row>
    <row r="1324" spans="1:18">
      <c r="A1324" t="s">
        <v>992</v>
      </c>
      <c r="B1324" t="s">
        <v>1091</v>
      </c>
      <c r="C1324" t="s">
        <v>994</v>
      </c>
      <c r="D1324">
        <v>2020</v>
      </c>
      <c r="E1324" s="128">
        <v>45017</v>
      </c>
      <c r="F1324" s="128">
        <v>45291</v>
      </c>
      <c r="G13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2020</v>
      </c>
      <c r="H1324" s="128" t="str">
        <f t="shared" ca="1" si="20"/>
        <v>NO</v>
      </c>
      <c r="Q1324" t="s">
        <v>2261</v>
      </c>
      <c r="R1324">
        <v>142.52176</v>
      </c>
    </row>
    <row r="1325" spans="1:18">
      <c r="A1325" t="s">
        <v>992</v>
      </c>
      <c r="B1325" t="s">
        <v>247</v>
      </c>
      <c r="C1325" t="s">
        <v>994</v>
      </c>
      <c r="D1325">
        <v>206.02</v>
      </c>
      <c r="E1325" s="128">
        <v>45658</v>
      </c>
      <c r="F1325" s="128">
        <v>46022</v>
      </c>
      <c r="G13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206.02</v>
      </c>
      <c r="H1325" s="128" t="str">
        <f t="shared" ca="1" si="20"/>
        <v>YES</v>
      </c>
      <c r="Q1325" t="s">
        <v>2262</v>
      </c>
      <c r="R1325">
        <v>46.279439999999994</v>
      </c>
    </row>
    <row r="1326" spans="1:18">
      <c r="A1326" t="s">
        <v>992</v>
      </c>
      <c r="B1326" t="s">
        <v>1561</v>
      </c>
      <c r="C1326" t="s">
        <v>994</v>
      </c>
      <c r="D1326">
        <v>1600</v>
      </c>
      <c r="E1326" s="128">
        <v>45017</v>
      </c>
      <c r="F1326" s="128">
        <v>54789</v>
      </c>
      <c r="G13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1600</v>
      </c>
      <c r="H1326" s="128" t="str">
        <f t="shared" ca="1" si="20"/>
        <v>YES</v>
      </c>
      <c r="Q1326" t="s">
        <v>2263</v>
      </c>
      <c r="R1326">
        <v>46.279439999999994</v>
      </c>
    </row>
    <row r="1327" spans="1:18">
      <c r="A1327" t="s">
        <v>992</v>
      </c>
      <c r="B1327" t="s">
        <v>1091</v>
      </c>
      <c r="C1327" t="s">
        <v>994</v>
      </c>
      <c r="D1327">
        <v>1999.9999999999998</v>
      </c>
      <c r="E1327" s="128">
        <v>45292</v>
      </c>
      <c r="F1327" s="128">
        <v>45412</v>
      </c>
      <c r="G13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1999.9999999999998</v>
      </c>
      <c r="H1327" s="128" t="str">
        <f t="shared" ca="1" si="20"/>
        <v>NO</v>
      </c>
      <c r="Q1327" t="s">
        <v>2264</v>
      </c>
      <c r="R1327">
        <v>36.506</v>
      </c>
    </row>
    <row r="1328" spans="1:18">
      <c r="A1328" t="s">
        <v>992</v>
      </c>
      <c r="B1328" t="s">
        <v>829</v>
      </c>
      <c r="C1328" t="s">
        <v>994</v>
      </c>
      <c r="D1328">
        <v>260</v>
      </c>
      <c r="E1328" s="128">
        <v>45017</v>
      </c>
      <c r="F1328" s="128">
        <v>45292</v>
      </c>
      <c r="G13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260</v>
      </c>
      <c r="H1328" s="128" t="str">
        <f t="shared" ca="1" si="20"/>
        <v>NO</v>
      </c>
      <c r="Q1328" t="s">
        <v>2265</v>
      </c>
      <c r="R1328">
        <v>129.61039</v>
      </c>
    </row>
    <row r="1329" spans="1:18">
      <c r="A1329" t="s">
        <v>992</v>
      </c>
      <c r="B1329" t="s">
        <v>1276</v>
      </c>
      <c r="C1329" t="s">
        <v>994</v>
      </c>
      <c r="D1329">
        <v>470</v>
      </c>
      <c r="E1329" s="128">
        <v>45017</v>
      </c>
      <c r="F1329" s="128">
        <v>54789</v>
      </c>
      <c r="G13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470</v>
      </c>
      <c r="H1329" s="128" t="str">
        <f t="shared" ca="1" si="20"/>
        <v>YES</v>
      </c>
      <c r="Q1329" t="s">
        <v>2266</v>
      </c>
      <c r="R1329">
        <v>245.41310000000001</v>
      </c>
    </row>
    <row r="1330" spans="1:18">
      <c r="A1330" t="s">
        <v>992</v>
      </c>
      <c r="B1330" t="s">
        <v>829</v>
      </c>
      <c r="C1330" t="s">
        <v>994</v>
      </c>
      <c r="D1330">
        <v>252.2</v>
      </c>
      <c r="E1330" s="128">
        <v>45658</v>
      </c>
      <c r="F1330" s="128">
        <v>46022</v>
      </c>
      <c r="G13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252.2</v>
      </c>
      <c r="H1330" s="128" t="str">
        <f t="shared" ca="1" si="20"/>
        <v>YES</v>
      </c>
      <c r="Q1330" t="s">
        <v>2267</v>
      </c>
      <c r="R1330">
        <v>310.17171999999999</v>
      </c>
    </row>
    <row r="1331" spans="1:18">
      <c r="A1331" t="s">
        <v>992</v>
      </c>
      <c r="B1331" t="s">
        <v>1583</v>
      </c>
      <c r="C1331" t="s">
        <v>994</v>
      </c>
      <c r="D1331">
        <v>580</v>
      </c>
      <c r="E1331" s="128">
        <v>45017</v>
      </c>
      <c r="F1331" s="128">
        <v>45292</v>
      </c>
      <c r="G13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580</v>
      </c>
      <c r="H1331" s="128" t="str">
        <f t="shared" ca="1" si="20"/>
        <v>NO</v>
      </c>
      <c r="Q1331" t="s">
        <v>2268</v>
      </c>
      <c r="R1331">
        <v>207.72941</v>
      </c>
    </row>
    <row r="1332" spans="1:18">
      <c r="A1332" t="s">
        <v>992</v>
      </c>
      <c r="B1332" t="s">
        <v>1576</v>
      </c>
      <c r="C1332" t="s">
        <v>994</v>
      </c>
      <c r="D1332">
        <v>783</v>
      </c>
      <c r="E1332" s="128">
        <v>45017</v>
      </c>
      <c r="F1332" s="128">
        <v>54789</v>
      </c>
      <c r="G13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783</v>
      </c>
      <c r="H1332" s="128" t="str">
        <f t="shared" ca="1" si="20"/>
        <v>YES</v>
      </c>
      <c r="Q1332" t="s">
        <v>2269</v>
      </c>
      <c r="R1332">
        <v>142.95899</v>
      </c>
    </row>
    <row r="1333" spans="1:18">
      <c r="A1333" t="s">
        <v>992</v>
      </c>
      <c r="B1333" t="s">
        <v>1583</v>
      </c>
      <c r="C1333" t="s">
        <v>994</v>
      </c>
      <c r="D1333">
        <v>574.19999999999993</v>
      </c>
      <c r="E1333" s="128">
        <v>45658</v>
      </c>
      <c r="F1333" s="128">
        <v>46022</v>
      </c>
      <c r="G13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574.19999999999993</v>
      </c>
      <c r="H1333" s="128" t="str">
        <f t="shared" ca="1" si="20"/>
        <v>YES</v>
      </c>
      <c r="Q1333" t="s">
        <v>2270</v>
      </c>
      <c r="R1333">
        <v>333.81079</v>
      </c>
    </row>
    <row r="1334" spans="1:18">
      <c r="A1334" t="s">
        <v>992</v>
      </c>
      <c r="B1334" t="s">
        <v>1258</v>
      </c>
      <c r="C1334" t="s">
        <v>994</v>
      </c>
      <c r="D1334">
        <v>330</v>
      </c>
      <c r="E1334" s="128">
        <v>45017</v>
      </c>
      <c r="F1334" s="128">
        <v>45292</v>
      </c>
      <c r="G13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330</v>
      </c>
      <c r="H1334" s="128" t="str">
        <f t="shared" ca="1" si="20"/>
        <v>NO</v>
      </c>
      <c r="Q1334" t="s">
        <v>2271</v>
      </c>
      <c r="R1334">
        <v>163.19343000000001</v>
      </c>
    </row>
    <row r="1335" spans="1:18">
      <c r="A1335" t="s">
        <v>992</v>
      </c>
      <c r="B1335" t="s">
        <v>1614</v>
      </c>
      <c r="C1335" t="s">
        <v>994</v>
      </c>
      <c r="D1335">
        <v>610</v>
      </c>
      <c r="E1335" s="128">
        <v>45017</v>
      </c>
      <c r="F1335" s="128">
        <v>45291</v>
      </c>
      <c r="G13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610</v>
      </c>
      <c r="H1335" s="128" t="str">
        <f t="shared" ca="1" si="20"/>
        <v>NO</v>
      </c>
      <c r="Q1335" t="s">
        <v>2272</v>
      </c>
      <c r="R1335">
        <v>196.33345000000003</v>
      </c>
    </row>
    <row r="1336" spans="1:18">
      <c r="A1336" t="s">
        <v>992</v>
      </c>
      <c r="B1336" t="s">
        <v>1258</v>
      </c>
      <c r="C1336" t="s">
        <v>994</v>
      </c>
      <c r="D1336">
        <v>323.39999999999998</v>
      </c>
      <c r="E1336" s="128">
        <v>45658</v>
      </c>
      <c r="F1336" s="128">
        <v>46022</v>
      </c>
      <c r="G13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323.39999999999998</v>
      </c>
      <c r="H1336" s="128" t="str">
        <f t="shared" ca="1" si="20"/>
        <v>YES</v>
      </c>
      <c r="Q1336" t="s">
        <v>2273</v>
      </c>
      <c r="R1336">
        <v>191.03294999999997</v>
      </c>
    </row>
    <row r="1337" spans="1:18">
      <c r="A1337" t="s">
        <v>992</v>
      </c>
      <c r="B1337" t="s">
        <v>1314</v>
      </c>
      <c r="C1337" t="s">
        <v>994</v>
      </c>
      <c r="D1337">
        <v>315</v>
      </c>
      <c r="E1337" s="128">
        <v>45017</v>
      </c>
      <c r="F1337" s="128">
        <v>54789</v>
      </c>
      <c r="G13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315</v>
      </c>
      <c r="H1337" s="128" t="str">
        <f t="shared" ca="1" si="20"/>
        <v>YES</v>
      </c>
      <c r="Q1337" t="s">
        <v>2274</v>
      </c>
      <c r="R1337">
        <v>169.72731999999999</v>
      </c>
    </row>
    <row r="1338" spans="1:18">
      <c r="A1338" t="s">
        <v>992</v>
      </c>
      <c r="B1338" t="s">
        <v>1614</v>
      </c>
      <c r="C1338" t="s">
        <v>994</v>
      </c>
      <c r="D1338">
        <v>593.1</v>
      </c>
      <c r="E1338" s="128">
        <v>45292</v>
      </c>
      <c r="F1338" s="128">
        <v>54789</v>
      </c>
      <c r="G13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593.1</v>
      </c>
      <c r="H1338" s="128" t="str">
        <f t="shared" ca="1" si="20"/>
        <v>YES</v>
      </c>
      <c r="Q1338" t="s">
        <v>2275</v>
      </c>
      <c r="R1338">
        <v>278.55209000000002</v>
      </c>
    </row>
    <row r="1339" spans="1:18">
      <c r="A1339" t="s">
        <v>992</v>
      </c>
      <c r="B1339" t="s">
        <v>1349</v>
      </c>
      <c r="C1339" t="s">
        <v>1085</v>
      </c>
      <c r="D1339">
        <v>1050</v>
      </c>
      <c r="E1339" s="128">
        <v>45292</v>
      </c>
      <c r="F1339" s="128">
        <v>54789</v>
      </c>
      <c r="G13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924</v>
      </c>
      <c r="H1339" s="128" t="str">
        <f t="shared" ca="1" si="20"/>
        <v>YES</v>
      </c>
      <c r="Q1339" t="s">
        <v>2276</v>
      </c>
      <c r="R1339">
        <v>106.143</v>
      </c>
    </row>
    <row r="1340" spans="1:18">
      <c r="A1340" t="s">
        <v>992</v>
      </c>
      <c r="B1340" t="s">
        <v>1613</v>
      </c>
      <c r="C1340" t="s">
        <v>994</v>
      </c>
      <c r="D1340">
        <v>765</v>
      </c>
      <c r="E1340" s="128">
        <v>45017</v>
      </c>
      <c r="F1340" s="128">
        <v>54789</v>
      </c>
      <c r="G13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765</v>
      </c>
      <c r="H1340" s="128" t="str">
        <f t="shared" ca="1" si="20"/>
        <v>YES</v>
      </c>
      <c r="Q1340" t="s">
        <v>2277</v>
      </c>
      <c r="R1340">
        <v>174.46446</v>
      </c>
    </row>
    <row r="1341" spans="1:18">
      <c r="A1341" t="s">
        <v>992</v>
      </c>
      <c r="B1341" t="s">
        <v>1352</v>
      </c>
      <c r="C1341" t="s">
        <v>994</v>
      </c>
      <c r="D1341">
        <v>178</v>
      </c>
      <c r="E1341" s="128">
        <v>45027</v>
      </c>
      <c r="F1341" s="128">
        <v>54789</v>
      </c>
      <c r="G13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178</v>
      </c>
      <c r="H1341" s="128" t="str">
        <f t="shared" ca="1" si="20"/>
        <v>YES</v>
      </c>
      <c r="Q1341" t="s">
        <v>2278</v>
      </c>
      <c r="R1341">
        <v>99.365840000000006</v>
      </c>
    </row>
    <row r="1342" spans="1:18">
      <c r="A1342" t="s">
        <v>992</v>
      </c>
      <c r="B1342" t="s">
        <v>1117</v>
      </c>
      <c r="C1342" t="s">
        <v>994</v>
      </c>
      <c r="D1342">
        <v>231.28000000000003</v>
      </c>
      <c r="E1342" s="128">
        <v>45017</v>
      </c>
      <c r="F1342" s="128">
        <v>54789</v>
      </c>
      <c r="G13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231.28000000000003</v>
      </c>
      <c r="H1342" s="128" t="str">
        <f t="shared" ca="1" si="20"/>
        <v>YES</v>
      </c>
      <c r="Q1342" t="s">
        <v>2279</v>
      </c>
      <c r="R1342">
        <v>1735.76863</v>
      </c>
    </row>
    <row r="1343" spans="1:18">
      <c r="A1343" t="s">
        <v>992</v>
      </c>
      <c r="B1343" t="s">
        <v>1648</v>
      </c>
      <c r="C1343" t="s">
        <v>994</v>
      </c>
      <c r="D1343">
        <v>146.6</v>
      </c>
      <c r="E1343" s="128">
        <v>45017</v>
      </c>
      <c r="F1343" s="128">
        <v>54789</v>
      </c>
      <c r="G13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146.6</v>
      </c>
      <c r="H1343" s="128" t="str">
        <f t="shared" ca="1" si="20"/>
        <v>YES</v>
      </c>
      <c r="Q1343" t="s">
        <v>2280</v>
      </c>
      <c r="R1343">
        <v>129.63018</v>
      </c>
    </row>
    <row r="1344" spans="1:18">
      <c r="A1344" t="s">
        <v>992</v>
      </c>
      <c r="B1344" t="s">
        <v>1638</v>
      </c>
      <c r="C1344" t="s">
        <v>994</v>
      </c>
      <c r="D1344">
        <v>670</v>
      </c>
      <c r="E1344" s="128">
        <v>45017</v>
      </c>
      <c r="F1344" s="128">
        <v>54789</v>
      </c>
      <c r="G13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670</v>
      </c>
      <c r="H1344" s="128" t="str">
        <f t="shared" ca="1" si="20"/>
        <v>YES</v>
      </c>
      <c r="Q1344" t="s">
        <v>2281</v>
      </c>
      <c r="R1344">
        <v>92.465059999999994</v>
      </c>
    </row>
    <row r="1345" spans="1:18">
      <c r="A1345" t="s">
        <v>992</v>
      </c>
      <c r="B1345" t="s">
        <v>1638</v>
      </c>
      <c r="C1345" t="s">
        <v>994</v>
      </c>
      <c r="D1345">
        <v>645</v>
      </c>
      <c r="E1345" s="128">
        <v>45017</v>
      </c>
      <c r="F1345" s="128">
        <v>54789</v>
      </c>
      <c r="G13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645</v>
      </c>
      <c r="H1345" s="128" t="str">
        <f t="shared" ca="1" si="20"/>
        <v>YES</v>
      </c>
      <c r="Q1345" t="s">
        <v>2282</v>
      </c>
      <c r="R1345">
        <v>120.8062</v>
      </c>
    </row>
    <row r="1346" spans="1:18">
      <c r="A1346" t="s">
        <v>992</v>
      </c>
      <c r="B1346" t="s">
        <v>1364</v>
      </c>
      <c r="C1346" t="s">
        <v>994</v>
      </c>
      <c r="D1346">
        <v>450</v>
      </c>
      <c r="E1346" s="128">
        <v>45047</v>
      </c>
      <c r="F1346" s="128">
        <v>54789</v>
      </c>
      <c r="G13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450</v>
      </c>
      <c r="H1346" s="128" t="str">
        <f t="shared" ref="H1346:H1409" ca="1" si="21">IF(OR(F1346=0,F1346&gt;TODAY()),"YES","NO")</f>
        <v>YES</v>
      </c>
      <c r="Q1346" t="s">
        <v>2283</v>
      </c>
      <c r="R1346">
        <v>183.14709999999999</v>
      </c>
    </row>
    <row r="1347" spans="1:18">
      <c r="A1347" t="s">
        <v>992</v>
      </c>
      <c r="B1347" t="s">
        <v>1372</v>
      </c>
      <c r="C1347" t="s">
        <v>994</v>
      </c>
      <c r="D1347">
        <v>400.97</v>
      </c>
      <c r="E1347" s="128">
        <v>45047</v>
      </c>
      <c r="F1347" s="128">
        <v>54909</v>
      </c>
      <c r="G13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400.97</v>
      </c>
      <c r="H1347" s="128" t="str">
        <f t="shared" ca="1" si="21"/>
        <v>YES</v>
      </c>
      <c r="Q1347" t="s">
        <v>2284</v>
      </c>
      <c r="R1347">
        <v>249.99642</v>
      </c>
    </row>
    <row r="1348" spans="1:18">
      <c r="A1348" t="s">
        <v>992</v>
      </c>
      <c r="B1348" t="s">
        <v>1408</v>
      </c>
      <c r="C1348" t="s">
        <v>994</v>
      </c>
      <c r="D1348">
        <v>180</v>
      </c>
      <c r="E1348" s="128">
        <v>45047</v>
      </c>
      <c r="F1348" s="128">
        <v>54909</v>
      </c>
      <c r="G13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</v>
      </c>
      <c r="H1348" s="128" t="str">
        <f t="shared" ca="1" si="21"/>
        <v>YES</v>
      </c>
      <c r="Q1348" t="s">
        <v>2285</v>
      </c>
      <c r="R1348">
        <v>188.74681000000001</v>
      </c>
    </row>
    <row r="1349" spans="1:18">
      <c r="A1349" t="s">
        <v>992</v>
      </c>
      <c r="B1349" t="s">
        <v>1411</v>
      </c>
      <c r="C1349" t="s">
        <v>994</v>
      </c>
      <c r="D1349">
        <v>162</v>
      </c>
      <c r="E1349" s="128">
        <v>45047</v>
      </c>
      <c r="F1349" s="128">
        <v>54789</v>
      </c>
      <c r="G13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162</v>
      </c>
      <c r="H1349" s="128" t="str">
        <f t="shared" ca="1" si="21"/>
        <v>YES</v>
      </c>
      <c r="Q1349" t="s">
        <v>2286</v>
      </c>
      <c r="R1349">
        <v>356.91469000000001</v>
      </c>
    </row>
    <row r="1350" spans="1:18">
      <c r="A1350" t="s">
        <v>992</v>
      </c>
      <c r="B1350" t="s">
        <v>1411</v>
      </c>
      <c r="C1350" t="s">
        <v>994</v>
      </c>
      <c r="D1350">
        <v>215</v>
      </c>
      <c r="E1350" s="128">
        <v>45047</v>
      </c>
      <c r="F1350" s="128">
        <v>54789</v>
      </c>
      <c r="G13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215</v>
      </c>
      <c r="H1350" s="128" t="str">
        <f t="shared" ca="1" si="21"/>
        <v>YES</v>
      </c>
      <c r="Q1350" t="s">
        <v>2287</v>
      </c>
      <c r="R1350">
        <v>364.02428000000003</v>
      </c>
    </row>
    <row r="1351" spans="1:18">
      <c r="A1351" t="s">
        <v>992</v>
      </c>
      <c r="B1351" t="s">
        <v>853</v>
      </c>
      <c r="C1351" t="s">
        <v>994</v>
      </c>
      <c r="D1351">
        <v>884</v>
      </c>
      <c r="E1351" s="128">
        <v>45047</v>
      </c>
      <c r="F1351" s="128">
        <v>54789</v>
      </c>
      <c r="G13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884</v>
      </c>
      <c r="H1351" s="128" t="str">
        <f t="shared" ca="1" si="21"/>
        <v>YES</v>
      </c>
      <c r="Q1351" t="s">
        <v>2288</v>
      </c>
      <c r="R1351">
        <v>118.66038999999999</v>
      </c>
    </row>
    <row r="1352" spans="1:18">
      <c r="A1352" t="s">
        <v>992</v>
      </c>
      <c r="B1352" t="s">
        <v>1485</v>
      </c>
      <c r="C1352" t="s">
        <v>994</v>
      </c>
      <c r="D1352">
        <v>340</v>
      </c>
      <c r="E1352" s="128">
        <v>45047</v>
      </c>
      <c r="F1352" s="128">
        <v>54789</v>
      </c>
      <c r="G13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340</v>
      </c>
      <c r="H1352" s="128" t="str">
        <f t="shared" ca="1" si="21"/>
        <v>YES</v>
      </c>
      <c r="Q1352" t="s">
        <v>2289</v>
      </c>
      <c r="R1352">
        <v>186.40138999999999</v>
      </c>
    </row>
    <row r="1353" spans="1:18">
      <c r="A1353" t="s">
        <v>992</v>
      </c>
      <c r="B1353" t="s">
        <v>1485</v>
      </c>
      <c r="C1353" t="s">
        <v>994</v>
      </c>
      <c r="D1353">
        <v>280</v>
      </c>
      <c r="E1353" s="128">
        <v>45047</v>
      </c>
      <c r="F1353" s="128">
        <v>54789</v>
      </c>
      <c r="G13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280</v>
      </c>
      <c r="H1353" s="128" t="str">
        <f t="shared" ca="1" si="21"/>
        <v>YES</v>
      </c>
      <c r="Q1353" t="s">
        <v>2290</v>
      </c>
      <c r="R1353">
        <v>204.88126</v>
      </c>
    </row>
    <row r="1354" spans="1:18">
      <c r="A1354" t="s">
        <v>992</v>
      </c>
      <c r="B1354" t="s">
        <v>1487</v>
      </c>
      <c r="C1354" t="s">
        <v>994</v>
      </c>
      <c r="D1354">
        <v>308</v>
      </c>
      <c r="E1354" s="128">
        <v>45047</v>
      </c>
      <c r="F1354" s="128">
        <v>54789</v>
      </c>
      <c r="G13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308</v>
      </c>
      <c r="H1354" s="128" t="str">
        <f t="shared" ca="1" si="21"/>
        <v>YES</v>
      </c>
      <c r="Q1354" t="s">
        <v>2291</v>
      </c>
      <c r="R1354">
        <v>576.27751000000001</v>
      </c>
    </row>
    <row r="1355" spans="1:18">
      <c r="A1355" t="s">
        <v>992</v>
      </c>
      <c r="B1355" t="s">
        <v>1487</v>
      </c>
      <c r="C1355" t="s">
        <v>994</v>
      </c>
      <c r="D1355">
        <v>261</v>
      </c>
      <c r="E1355" s="128">
        <v>45047</v>
      </c>
      <c r="F1355" s="128">
        <v>54789</v>
      </c>
      <c r="G13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261</v>
      </c>
      <c r="H1355" s="128" t="str">
        <f t="shared" ca="1" si="21"/>
        <v>YES</v>
      </c>
      <c r="Q1355" t="s">
        <v>2292</v>
      </c>
      <c r="R1355">
        <v>128.73468</v>
      </c>
    </row>
    <row r="1356" spans="1:18">
      <c r="A1356" t="s">
        <v>992</v>
      </c>
      <c r="B1356" t="s">
        <v>1518</v>
      </c>
      <c r="C1356" t="s">
        <v>994</v>
      </c>
      <c r="D1356">
        <v>310</v>
      </c>
      <c r="E1356" s="128">
        <v>45047</v>
      </c>
      <c r="F1356" s="128">
        <v>54789</v>
      </c>
      <c r="G13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310</v>
      </c>
      <c r="H1356" s="128" t="str">
        <f t="shared" ca="1" si="21"/>
        <v>YES</v>
      </c>
      <c r="Q1356" t="s">
        <v>2293</v>
      </c>
      <c r="R1356">
        <v>2929.0483999999997</v>
      </c>
    </row>
    <row r="1357" spans="1:18">
      <c r="A1357" t="s">
        <v>992</v>
      </c>
      <c r="B1357" t="s">
        <v>1518</v>
      </c>
      <c r="C1357" t="s">
        <v>994</v>
      </c>
      <c r="D1357">
        <v>245</v>
      </c>
      <c r="E1357" s="128">
        <v>45047</v>
      </c>
      <c r="F1357" s="128">
        <v>54789</v>
      </c>
      <c r="G13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245</v>
      </c>
      <c r="H1357" s="128" t="str">
        <f t="shared" ca="1" si="21"/>
        <v>YES</v>
      </c>
      <c r="Q1357" t="s">
        <v>2294</v>
      </c>
      <c r="R1357">
        <v>198.04537999999999</v>
      </c>
    </row>
    <row r="1358" spans="1:18">
      <c r="A1358" t="s">
        <v>992</v>
      </c>
      <c r="B1358" t="s">
        <v>1518</v>
      </c>
      <c r="C1358" t="s">
        <v>994</v>
      </c>
      <c r="D1358">
        <v>220</v>
      </c>
      <c r="E1358" s="128">
        <v>45047</v>
      </c>
      <c r="F1358" s="128">
        <v>54789</v>
      </c>
      <c r="G13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220</v>
      </c>
      <c r="H1358" s="128" t="str">
        <f t="shared" ca="1" si="21"/>
        <v>YES</v>
      </c>
      <c r="Q1358" t="s">
        <v>2295</v>
      </c>
      <c r="R1358">
        <v>136.92798000000002</v>
      </c>
    </row>
    <row r="1359" spans="1:18">
      <c r="A1359" t="s">
        <v>992</v>
      </c>
      <c r="B1359" t="s">
        <v>1520</v>
      </c>
      <c r="C1359" t="s">
        <v>994</v>
      </c>
      <c r="D1359">
        <v>240</v>
      </c>
      <c r="E1359" s="128">
        <v>45047</v>
      </c>
      <c r="F1359" s="128">
        <v>54789</v>
      </c>
      <c r="G13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240</v>
      </c>
      <c r="H1359" s="128" t="str">
        <f t="shared" ca="1" si="21"/>
        <v>YES</v>
      </c>
      <c r="Q1359" t="s">
        <v>2296</v>
      </c>
      <c r="R1359">
        <v>234.17548000000002</v>
      </c>
    </row>
    <row r="1360" spans="1:18">
      <c r="A1360" t="s">
        <v>992</v>
      </c>
      <c r="B1360" t="s">
        <v>1553</v>
      </c>
      <c r="C1360" t="s">
        <v>994</v>
      </c>
      <c r="D1360">
        <v>908.25000000000011</v>
      </c>
      <c r="E1360" s="128">
        <v>45047</v>
      </c>
      <c r="F1360" s="128">
        <v>54789</v>
      </c>
      <c r="G13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908.25000000000011</v>
      </c>
      <c r="H1360" s="128" t="str">
        <f t="shared" ca="1" si="21"/>
        <v>YES</v>
      </c>
      <c r="Q1360" t="s">
        <v>2297</v>
      </c>
      <c r="R1360">
        <v>132.11112</v>
      </c>
    </row>
    <row r="1361" spans="1:18">
      <c r="A1361" t="s">
        <v>992</v>
      </c>
      <c r="B1361" t="s">
        <v>1676</v>
      </c>
      <c r="C1361" t="s">
        <v>994</v>
      </c>
      <c r="D1361">
        <v>535</v>
      </c>
      <c r="E1361" s="128">
        <v>45047</v>
      </c>
      <c r="F1361" s="128">
        <v>54789</v>
      </c>
      <c r="G13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535</v>
      </c>
      <c r="H1361" s="128" t="str">
        <f t="shared" ca="1" si="21"/>
        <v>YES</v>
      </c>
      <c r="Q1361" t="s">
        <v>2298</v>
      </c>
      <c r="R1361">
        <v>151.98216000000002</v>
      </c>
    </row>
    <row r="1362" spans="1:18">
      <c r="A1362" t="s">
        <v>992</v>
      </c>
      <c r="B1362" t="s">
        <v>1677</v>
      </c>
      <c r="C1362" t="s">
        <v>994</v>
      </c>
      <c r="D1362">
        <v>594</v>
      </c>
      <c r="E1362" s="128">
        <v>45047</v>
      </c>
      <c r="F1362" s="128">
        <v>54789</v>
      </c>
      <c r="G13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594</v>
      </c>
      <c r="H1362" s="128" t="str">
        <f t="shared" ca="1" si="21"/>
        <v>YES</v>
      </c>
      <c r="Q1362" t="s">
        <v>2299</v>
      </c>
      <c r="R1362">
        <v>149.99493000000001</v>
      </c>
    </row>
    <row r="1363" spans="1:18">
      <c r="A1363" t="s">
        <v>992</v>
      </c>
      <c r="B1363" t="s">
        <v>1678</v>
      </c>
      <c r="C1363" t="s">
        <v>994</v>
      </c>
      <c r="D1363">
        <v>1010</v>
      </c>
      <c r="E1363" s="128">
        <v>45047</v>
      </c>
      <c r="F1363" s="128">
        <v>54789</v>
      </c>
      <c r="G13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1010</v>
      </c>
      <c r="H1363" s="128" t="str">
        <f t="shared" ca="1" si="21"/>
        <v>YES</v>
      </c>
      <c r="Q1363" t="s">
        <v>2300</v>
      </c>
      <c r="R1363">
        <v>121.97239999999999</v>
      </c>
    </row>
    <row r="1364" spans="1:18">
      <c r="A1364" t="s">
        <v>992</v>
      </c>
      <c r="B1364" t="s">
        <v>1679</v>
      </c>
      <c r="C1364" t="s">
        <v>994</v>
      </c>
      <c r="D1364">
        <v>1061</v>
      </c>
      <c r="E1364" s="128">
        <v>45047</v>
      </c>
      <c r="F1364" s="128">
        <v>54789</v>
      </c>
      <c r="G13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1061</v>
      </c>
      <c r="H1364" s="128" t="str">
        <f t="shared" ca="1" si="21"/>
        <v>YES</v>
      </c>
      <c r="Q1364" t="s">
        <v>2301</v>
      </c>
      <c r="R1364">
        <v>165.71290999999999</v>
      </c>
    </row>
    <row r="1365" spans="1:18">
      <c r="A1365" t="s">
        <v>992</v>
      </c>
      <c r="B1365" t="s">
        <v>1679</v>
      </c>
      <c r="C1365" t="s">
        <v>994</v>
      </c>
      <c r="D1365">
        <v>1022</v>
      </c>
      <c r="E1365" s="128">
        <v>45047</v>
      </c>
      <c r="F1365" s="128">
        <v>54789</v>
      </c>
      <c r="G13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1022</v>
      </c>
      <c r="H1365" s="128" t="str">
        <f t="shared" ca="1" si="21"/>
        <v>YES</v>
      </c>
      <c r="Q1365" t="s">
        <v>2302</v>
      </c>
      <c r="R1365">
        <v>125.42603999999999</v>
      </c>
    </row>
    <row r="1366" spans="1:18">
      <c r="A1366" t="s">
        <v>992</v>
      </c>
      <c r="B1366" t="s">
        <v>1680</v>
      </c>
      <c r="C1366" t="s">
        <v>994</v>
      </c>
      <c r="D1366">
        <v>1450</v>
      </c>
      <c r="E1366" s="128">
        <v>45047</v>
      </c>
      <c r="F1366" s="128">
        <v>54789</v>
      </c>
      <c r="G13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1450</v>
      </c>
      <c r="H1366" s="128" t="str">
        <f t="shared" ca="1" si="21"/>
        <v>YES</v>
      </c>
      <c r="Q1366" t="s">
        <v>2303</v>
      </c>
      <c r="R1366">
        <v>114.49317000000001</v>
      </c>
    </row>
    <row r="1367" spans="1:18">
      <c r="A1367" t="s">
        <v>992</v>
      </c>
      <c r="B1367" t="s">
        <v>1680</v>
      </c>
      <c r="C1367" t="s">
        <v>994</v>
      </c>
      <c r="D1367">
        <v>1413</v>
      </c>
      <c r="E1367" s="128">
        <v>45047</v>
      </c>
      <c r="F1367" s="128">
        <v>54789</v>
      </c>
      <c r="G13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1413</v>
      </c>
      <c r="H1367" s="128" t="str">
        <f t="shared" ca="1" si="21"/>
        <v>YES</v>
      </c>
      <c r="Q1367" t="s">
        <v>2304</v>
      </c>
      <c r="R1367">
        <v>170.44902000000002</v>
      </c>
    </row>
    <row r="1368" spans="1:18">
      <c r="A1368" t="s">
        <v>992</v>
      </c>
      <c r="B1368" t="s">
        <v>1018</v>
      </c>
      <c r="C1368" t="s">
        <v>994</v>
      </c>
      <c r="D1368">
        <v>305.45999999999998</v>
      </c>
      <c r="E1368" s="128">
        <v>45047</v>
      </c>
      <c r="F1368" s="128">
        <v>45415</v>
      </c>
      <c r="G13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305.45999999999998</v>
      </c>
      <c r="H1368" s="128" t="str">
        <f t="shared" ca="1" si="21"/>
        <v>NO</v>
      </c>
      <c r="Q1368" t="s">
        <v>2305</v>
      </c>
      <c r="R1368">
        <v>332.78351000000004</v>
      </c>
    </row>
    <row r="1369" spans="1:18">
      <c r="A1369" t="s">
        <v>992</v>
      </c>
      <c r="B1369" t="s">
        <v>1420</v>
      </c>
      <c r="C1369" t="s">
        <v>994</v>
      </c>
      <c r="D1369">
        <v>7184</v>
      </c>
      <c r="E1369" s="128">
        <v>45017</v>
      </c>
      <c r="F1369" s="128">
        <v>54789</v>
      </c>
      <c r="G13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7184</v>
      </c>
      <c r="H1369" s="128" t="str">
        <f t="shared" ca="1" si="21"/>
        <v>YES</v>
      </c>
      <c r="Q1369" t="s">
        <v>2306</v>
      </c>
      <c r="R1369">
        <v>149.04973000000001</v>
      </c>
    </row>
    <row r="1370" spans="1:18">
      <c r="A1370" t="s">
        <v>992</v>
      </c>
      <c r="B1370" t="s">
        <v>1018</v>
      </c>
      <c r="C1370" t="s">
        <v>994</v>
      </c>
      <c r="D1370">
        <v>311.32</v>
      </c>
      <c r="E1370" s="128">
        <v>45415</v>
      </c>
      <c r="F1370" s="128">
        <v>46022</v>
      </c>
      <c r="G13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311.32</v>
      </c>
      <c r="H1370" s="128" t="str">
        <f t="shared" ca="1" si="21"/>
        <v>YES</v>
      </c>
      <c r="Q1370" t="s">
        <v>2307</v>
      </c>
      <c r="R1370">
        <v>485.35555000000005</v>
      </c>
    </row>
    <row r="1371" spans="1:18">
      <c r="A1371" t="s">
        <v>992</v>
      </c>
      <c r="B1371" t="s">
        <v>1420</v>
      </c>
      <c r="C1371" t="s">
        <v>994</v>
      </c>
      <c r="D1371">
        <v>4973</v>
      </c>
      <c r="E1371" s="128">
        <v>45017</v>
      </c>
      <c r="F1371" s="128">
        <v>54789</v>
      </c>
      <c r="G13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4973</v>
      </c>
      <c r="H1371" s="128" t="str">
        <f t="shared" ca="1" si="21"/>
        <v>YES</v>
      </c>
      <c r="Q1371" t="s">
        <v>2308</v>
      </c>
      <c r="R1371">
        <v>198.04537999999999</v>
      </c>
    </row>
    <row r="1372" spans="1:18">
      <c r="A1372" t="s">
        <v>992</v>
      </c>
      <c r="B1372" t="s">
        <v>1422</v>
      </c>
      <c r="C1372" t="s">
        <v>994</v>
      </c>
      <c r="D1372">
        <v>180</v>
      </c>
      <c r="E1372" s="128">
        <v>45078</v>
      </c>
      <c r="F1372" s="128">
        <v>54789</v>
      </c>
      <c r="G13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180</v>
      </c>
      <c r="H1372" s="128" t="str">
        <f t="shared" ca="1" si="21"/>
        <v>YES</v>
      </c>
      <c r="Q1372" t="s">
        <v>2309</v>
      </c>
      <c r="R1372">
        <v>137.60074</v>
      </c>
    </row>
    <row r="1373" spans="1:18">
      <c r="A1373" t="s">
        <v>992</v>
      </c>
      <c r="B1373" t="s">
        <v>837</v>
      </c>
      <c r="C1373" t="s">
        <v>994</v>
      </c>
      <c r="D1373">
        <v>465</v>
      </c>
      <c r="E1373" s="128">
        <v>45079</v>
      </c>
      <c r="F1373" s="128">
        <v>54789</v>
      </c>
      <c r="G13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465</v>
      </c>
      <c r="H1373" s="128" t="str">
        <f t="shared" ca="1" si="21"/>
        <v>YES</v>
      </c>
      <c r="Q1373" t="s">
        <v>2310</v>
      </c>
      <c r="R1373">
        <v>149.99493000000001</v>
      </c>
    </row>
    <row r="1374" spans="1:18">
      <c r="A1374" t="s">
        <v>992</v>
      </c>
      <c r="B1374" t="s">
        <v>1425</v>
      </c>
      <c r="C1374" t="s">
        <v>994</v>
      </c>
      <c r="D1374">
        <v>396.00000000000006</v>
      </c>
      <c r="E1374" s="128">
        <v>45079</v>
      </c>
      <c r="F1374" s="128">
        <v>46388</v>
      </c>
      <c r="G13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396.00000000000006</v>
      </c>
      <c r="H1374" s="128" t="str">
        <f t="shared" ca="1" si="21"/>
        <v>YES</v>
      </c>
      <c r="Q1374" t="s">
        <v>2311</v>
      </c>
      <c r="R1374">
        <v>114.49317000000001</v>
      </c>
    </row>
    <row r="1375" spans="1:18">
      <c r="A1375" t="s">
        <v>992</v>
      </c>
      <c r="B1375" t="s">
        <v>1570</v>
      </c>
      <c r="C1375" t="s">
        <v>994</v>
      </c>
      <c r="D1375">
        <v>850</v>
      </c>
      <c r="E1375" s="128">
        <v>45079</v>
      </c>
      <c r="F1375" s="128">
        <v>54789</v>
      </c>
      <c r="G13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850</v>
      </c>
      <c r="H1375" s="128" t="str">
        <f t="shared" ca="1" si="21"/>
        <v>YES</v>
      </c>
      <c r="Q1375" t="s">
        <v>2312</v>
      </c>
      <c r="R1375">
        <v>149.04973000000001</v>
      </c>
    </row>
    <row r="1376" spans="1:18">
      <c r="A1376" t="s">
        <v>992</v>
      </c>
      <c r="B1376" t="s">
        <v>1570</v>
      </c>
      <c r="C1376" t="s">
        <v>994</v>
      </c>
      <c r="D1376">
        <v>820</v>
      </c>
      <c r="E1376" s="128">
        <v>45079</v>
      </c>
      <c r="F1376" s="128">
        <v>54789</v>
      </c>
      <c r="G13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820</v>
      </c>
      <c r="H1376" s="128" t="str">
        <f t="shared" ca="1" si="21"/>
        <v>YES</v>
      </c>
      <c r="Q1376" t="s">
        <v>2313</v>
      </c>
      <c r="R1376">
        <v>196.69542000000001</v>
      </c>
    </row>
    <row r="1377" spans="1:18">
      <c r="A1377" t="s">
        <v>992</v>
      </c>
      <c r="B1377" t="s">
        <v>1570</v>
      </c>
      <c r="C1377" t="s">
        <v>994</v>
      </c>
      <c r="D1377">
        <v>800</v>
      </c>
      <c r="E1377" s="128">
        <v>45079</v>
      </c>
      <c r="F1377" s="128">
        <v>54789</v>
      </c>
      <c r="G13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800</v>
      </c>
      <c r="H1377" s="128" t="str">
        <f t="shared" ca="1" si="21"/>
        <v>YES</v>
      </c>
      <c r="Q1377" t="s">
        <v>2314</v>
      </c>
      <c r="R1377">
        <v>208.61013000000003</v>
      </c>
    </row>
    <row r="1378" spans="1:18">
      <c r="A1378" t="s">
        <v>992</v>
      </c>
      <c r="B1378" t="s">
        <v>1681</v>
      </c>
      <c r="C1378" t="s">
        <v>994</v>
      </c>
      <c r="D1378">
        <v>370</v>
      </c>
      <c r="E1378" s="128">
        <v>45093</v>
      </c>
      <c r="F1378" s="128">
        <v>54789</v>
      </c>
      <c r="G13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370</v>
      </c>
      <c r="H1378" s="128" t="str">
        <f t="shared" ca="1" si="21"/>
        <v>YES</v>
      </c>
      <c r="Q1378" t="s">
        <v>2315</v>
      </c>
      <c r="R1378">
        <v>154.55760000000001</v>
      </c>
    </row>
    <row r="1379" spans="1:18">
      <c r="A1379" t="s">
        <v>992</v>
      </c>
      <c r="B1379" t="s">
        <v>1675</v>
      </c>
      <c r="C1379" t="s">
        <v>994</v>
      </c>
      <c r="D1379">
        <v>1151.28</v>
      </c>
      <c r="E1379" s="128">
        <v>45098</v>
      </c>
      <c r="F1379" s="128">
        <v>54789</v>
      </c>
      <c r="G13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1151.28</v>
      </c>
      <c r="H1379" s="128" t="str">
        <f t="shared" ca="1" si="21"/>
        <v>YES</v>
      </c>
      <c r="Q1379" t="s">
        <v>2316</v>
      </c>
      <c r="R1379">
        <v>152.59549000000001</v>
      </c>
    </row>
    <row r="1380" spans="1:18">
      <c r="A1380" t="s">
        <v>992</v>
      </c>
      <c r="B1380" t="s">
        <v>1045</v>
      </c>
      <c r="C1380" t="s">
        <v>994</v>
      </c>
      <c r="D1380">
        <v>290.73</v>
      </c>
      <c r="E1380" s="128">
        <v>45078</v>
      </c>
      <c r="F1380" s="128">
        <v>45415</v>
      </c>
      <c r="G13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290.73</v>
      </c>
      <c r="H1380" s="128" t="str">
        <f t="shared" ca="1" si="21"/>
        <v>NO</v>
      </c>
      <c r="Q1380" t="s">
        <v>2317</v>
      </c>
      <c r="R1380">
        <v>191.03938000000002</v>
      </c>
    </row>
    <row r="1381" spans="1:18">
      <c r="A1381" t="s">
        <v>992</v>
      </c>
      <c r="B1381" t="s">
        <v>1575</v>
      </c>
      <c r="C1381" t="s">
        <v>994</v>
      </c>
      <c r="D1381">
        <v>350</v>
      </c>
      <c r="E1381" s="128">
        <v>45104</v>
      </c>
      <c r="F1381" s="128">
        <v>54789</v>
      </c>
      <c r="G13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350</v>
      </c>
      <c r="H1381" s="128" t="str">
        <f t="shared" ca="1" si="21"/>
        <v>YES</v>
      </c>
      <c r="Q1381" t="s">
        <v>2318</v>
      </c>
      <c r="R1381">
        <v>136.96072000000001</v>
      </c>
    </row>
    <row r="1382" spans="1:18">
      <c r="A1382" t="s">
        <v>992</v>
      </c>
      <c r="B1382" t="s">
        <v>1045</v>
      </c>
      <c r="C1382" t="s">
        <v>994</v>
      </c>
      <c r="D1382">
        <v>283.26</v>
      </c>
      <c r="E1382" s="128">
        <v>45415</v>
      </c>
      <c r="F1382" s="128">
        <v>46022</v>
      </c>
      <c r="G13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283.26</v>
      </c>
      <c r="H1382" s="128" t="str">
        <f t="shared" ca="1" si="21"/>
        <v>YES</v>
      </c>
      <c r="Q1382" t="s">
        <v>2319</v>
      </c>
      <c r="R1382">
        <v>234.17548000000002</v>
      </c>
    </row>
    <row r="1383" spans="1:18">
      <c r="A1383" t="s">
        <v>992</v>
      </c>
      <c r="B1383" t="s">
        <v>1682</v>
      </c>
      <c r="C1383" t="s">
        <v>994</v>
      </c>
      <c r="D1383">
        <v>662.6</v>
      </c>
      <c r="E1383" s="128">
        <v>45110</v>
      </c>
      <c r="F1383" s="128">
        <v>54789</v>
      </c>
      <c r="G13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662.6</v>
      </c>
      <c r="H1383" s="128" t="str">
        <f t="shared" ca="1" si="21"/>
        <v>YES</v>
      </c>
      <c r="Q1383" t="s">
        <v>2320</v>
      </c>
      <c r="R1383">
        <v>71.493939999999995</v>
      </c>
    </row>
    <row r="1384" spans="1:18">
      <c r="A1384" t="s">
        <v>992</v>
      </c>
      <c r="B1384" t="s">
        <v>1159</v>
      </c>
      <c r="C1384" t="s">
        <v>994</v>
      </c>
      <c r="D1384">
        <v>130</v>
      </c>
      <c r="E1384" s="128">
        <v>45112</v>
      </c>
      <c r="F1384" s="128">
        <v>54789</v>
      </c>
      <c r="G13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</v>
      </c>
      <c r="H1384" s="128" t="str">
        <f t="shared" ca="1" si="21"/>
        <v>YES</v>
      </c>
      <c r="Q1384" t="s">
        <v>2321</v>
      </c>
      <c r="R1384">
        <v>71.896000000000001</v>
      </c>
    </row>
    <row r="1385" spans="1:18">
      <c r="A1385" t="s">
        <v>992</v>
      </c>
      <c r="B1385" t="s">
        <v>1326</v>
      </c>
      <c r="C1385" t="s">
        <v>994</v>
      </c>
      <c r="D1385">
        <v>514</v>
      </c>
      <c r="E1385" s="128">
        <v>45133</v>
      </c>
      <c r="F1385" s="128">
        <v>54789</v>
      </c>
      <c r="G13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514</v>
      </c>
      <c r="H1385" s="128" t="str">
        <f t="shared" ca="1" si="21"/>
        <v>YES</v>
      </c>
      <c r="Q1385" t="s">
        <v>2322</v>
      </c>
      <c r="R1385">
        <v>89.029070000000004</v>
      </c>
    </row>
    <row r="1386" spans="1:18">
      <c r="A1386" t="s">
        <v>992</v>
      </c>
      <c r="B1386" t="s">
        <v>1427</v>
      </c>
      <c r="C1386" t="s">
        <v>994</v>
      </c>
      <c r="D1386">
        <v>225.99999999999997</v>
      </c>
      <c r="E1386" s="128">
        <v>45139</v>
      </c>
      <c r="F1386" s="128">
        <v>54789</v>
      </c>
      <c r="G13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225.99999999999997</v>
      </c>
      <c r="H1386" s="128" t="str">
        <f t="shared" ca="1" si="21"/>
        <v>YES</v>
      </c>
      <c r="Q1386" t="s">
        <v>2323</v>
      </c>
      <c r="R1386">
        <v>219.54825</v>
      </c>
    </row>
    <row r="1387" spans="1:18">
      <c r="A1387" t="s">
        <v>992</v>
      </c>
      <c r="B1387" t="s">
        <v>1427</v>
      </c>
      <c r="C1387" t="s">
        <v>994</v>
      </c>
      <c r="D1387">
        <v>196</v>
      </c>
      <c r="E1387" s="128">
        <v>45139</v>
      </c>
      <c r="F1387" s="128">
        <v>54789</v>
      </c>
      <c r="G13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196</v>
      </c>
      <c r="H1387" s="128" t="str">
        <f t="shared" ca="1" si="21"/>
        <v>YES</v>
      </c>
      <c r="Q1387" t="s">
        <v>2324</v>
      </c>
      <c r="R1387">
        <v>86.726470000000006</v>
      </c>
    </row>
    <row r="1388" spans="1:18">
      <c r="A1388" t="s">
        <v>992</v>
      </c>
      <c r="B1388" t="s">
        <v>1639</v>
      </c>
      <c r="C1388" t="s">
        <v>994</v>
      </c>
      <c r="D1388">
        <v>702</v>
      </c>
      <c r="E1388" s="128">
        <v>45141</v>
      </c>
      <c r="F1388" s="128">
        <v>45154</v>
      </c>
      <c r="G13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702</v>
      </c>
      <c r="H1388" s="128" t="str">
        <f t="shared" ca="1" si="21"/>
        <v>NO</v>
      </c>
      <c r="Q1388" t="s">
        <v>2325</v>
      </c>
      <c r="R1388">
        <v>84.739240000000009</v>
      </c>
    </row>
    <row r="1389" spans="1:18">
      <c r="A1389" t="s">
        <v>992</v>
      </c>
      <c r="B1389" t="s">
        <v>1429</v>
      </c>
      <c r="C1389" t="s">
        <v>994</v>
      </c>
      <c r="D1389">
        <v>216</v>
      </c>
      <c r="E1389" s="128">
        <v>45147</v>
      </c>
      <c r="F1389" s="128">
        <v>54789</v>
      </c>
      <c r="G13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216</v>
      </c>
      <c r="H1389" s="128" t="str">
        <f t="shared" ca="1" si="21"/>
        <v>YES</v>
      </c>
      <c r="Q1389" t="s">
        <v>2326</v>
      </c>
      <c r="R1389">
        <v>29.431090000000001</v>
      </c>
    </row>
    <row r="1390" spans="1:18">
      <c r="A1390" t="s">
        <v>992</v>
      </c>
      <c r="B1390" t="s">
        <v>1639</v>
      </c>
      <c r="C1390" t="s">
        <v>994</v>
      </c>
      <c r="D1390">
        <v>892</v>
      </c>
      <c r="E1390" s="128">
        <v>45155</v>
      </c>
      <c r="F1390" s="128">
        <v>54789</v>
      </c>
      <c r="G13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892</v>
      </c>
      <c r="H1390" s="128" t="str">
        <f t="shared" ca="1" si="21"/>
        <v>YES</v>
      </c>
      <c r="Q1390" t="s">
        <v>2327</v>
      </c>
      <c r="R1390">
        <v>63.717399999999998</v>
      </c>
    </row>
    <row r="1391" spans="1:18">
      <c r="A1391" t="s">
        <v>992</v>
      </c>
      <c r="B1391" t="s">
        <v>1429</v>
      </c>
      <c r="C1391" t="s">
        <v>994</v>
      </c>
      <c r="D1391">
        <v>182</v>
      </c>
      <c r="E1391" s="128">
        <v>45147</v>
      </c>
      <c r="F1391" s="128">
        <v>54789</v>
      </c>
      <c r="G13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182</v>
      </c>
      <c r="H1391" s="128" t="str">
        <f t="shared" ca="1" si="21"/>
        <v>YES</v>
      </c>
      <c r="Q1391" t="s">
        <v>2328</v>
      </c>
      <c r="R1391">
        <v>117.8374</v>
      </c>
    </row>
    <row r="1392" spans="1:18">
      <c r="A1392" t="s">
        <v>992</v>
      </c>
      <c r="B1392" t="s">
        <v>1532</v>
      </c>
      <c r="C1392" t="s">
        <v>994</v>
      </c>
      <c r="D1392">
        <v>160</v>
      </c>
      <c r="E1392" s="128">
        <v>45155</v>
      </c>
      <c r="F1392" s="128">
        <v>54789</v>
      </c>
      <c r="G13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160</v>
      </c>
      <c r="H1392" s="128" t="str">
        <f t="shared" ca="1" si="21"/>
        <v>YES</v>
      </c>
      <c r="Q1392" t="s">
        <v>2329</v>
      </c>
      <c r="R1392">
        <v>67.171040000000005</v>
      </c>
    </row>
    <row r="1393" spans="1:18">
      <c r="A1393" t="s">
        <v>992</v>
      </c>
      <c r="B1393" t="s">
        <v>1431</v>
      </c>
      <c r="C1393" t="s">
        <v>994</v>
      </c>
      <c r="D1393">
        <v>143</v>
      </c>
      <c r="E1393" s="128">
        <v>45162</v>
      </c>
      <c r="F1393" s="128">
        <v>54789</v>
      </c>
      <c r="G13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143</v>
      </c>
      <c r="H1393" s="128" t="str">
        <f t="shared" ca="1" si="21"/>
        <v>YES</v>
      </c>
      <c r="Q1393" t="s">
        <v>2330</v>
      </c>
      <c r="R1393">
        <v>49.237480000000005</v>
      </c>
    </row>
    <row r="1394" spans="1:18">
      <c r="A1394" t="s">
        <v>992</v>
      </c>
      <c r="B1394" t="s">
        <v>1433</v>
      </c>
      <c r="C1394" t="s">
        <v>994</v>
      </c>
      <c r="D1394">
        <v>139</v>
      </c>
      <c r="E1394" s="128">
        <v>45162</v>
      </c>
      <c r="F1394" s="128">
        <v>54789</v>
      </c>
      <c r="G13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139</v>
      </c>
      <c r="H1394" s="128" t="str">
        <f t="shared" ca="1" si="21"/>
        <v>YES</v>
      </c>
      <c r="Q1394" t="s">
        <v>2331</v>
      </c>
      <c r="R1394">
        <v>117.84621</v>
      </c>
    </row>
    <row r="1395" spans="1:18">
      <c r="A1395" t="s">
        <v>992</v>
      </c>
      <c r="B1395" t="s">
        <v>1715</v>
      </c>
      <c r="C1395" t="s">
        <v>994</v>
      </c>
      <c r="D1395">
        <v>383.24999999999994</v>
      </c>
      <c r="E1395" s="128">
        <v>-53688</v>
      </c>
      <c r="F1395" s="128">
        <v>-53688</v>
      </c>
      <c r="G13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383.24999999999994</v>
      </c>
      <c r="H1395" s="128" t="str">
        <f t="shared" ca="1" si="21"/>
        <v>NO</v>
      </c>
      <c r="Q1395" t="s">
        <v>2332</v>
      </c>
      <c r="R1395">
        <v>410.50333999999998</v>
      </c>
    </row>
    <row r="1396" spans="1:18">
      <c r="A1396" t="s">
        <v>992</v>
      </c>
      <c r="B1396" t="s">
        <v>1713</v>
      </c>
      <c r="C1396" t="s">
        <v>994</v>
      </c>
      <c r="D1396">
        <v>403.2</v>
      </c>
      <c r="E1396" s="128">
        <v>-53688</v>
      </c>
      <c r="F1396" s="128">
        <v>-53688</v>
      </c>
      <c r="G13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403.2</v>
      </c>
      <c r="H1396" s="128" t="str">
        <f t="shared" ca="1" si="21"/>
        <v>NO</v>
      </c>
      <c r="Q1396" t="s">
        <v>2333</v>
      </c>
      <c r="R1396">
        <v>332.78351000000004</v>
      </c>
    </row>
    <row r="1397" spans="1:18">
      <c r="A1397" t="s">
        <v>992</v>
      </c>
      <c r="B1397" t="s">
        <v>1496</v>
      </c>
      <c r="C1397" t="s">
        <v>994</v>
      </c>
      <c r="D1397">
        <v>255.15</v>
      </c>
      <c r="E1397" s="128">
        <v>-53688</v>
      </c>
      <c r="F1397" s="128">
        <v>-53688</v>
      </c>
      <c r="G13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255.15</v>
      </c>
      <c r="H1397" s="128" t="str">
        <f t="shared" ca="1" si="21"/>
        <v>NO</v>
      </c>
      <c r="Q1397" t="s">
        <v>2334</v>
      </c>
      <c r="R1397">
        <v>20.504629999999999</v>
      </c>
    </row>
    <row r="1398" spans="1:18">
      <c r="A1398" t="s">
        <v>992</v>
      </c>
      <c r="B1398" t="s">
        <v>1489</v>
      </c>
      <c r="C1398" t="s">
        <v>994</v>
      </c>
      <c r="D1398">
        <v>345.45000000000005</v>
      </c>
      <c r="E1398" s="128">
        <v>-53688</v>
      </c>
      <c r="F1398" s="128">
        <v>-53688</v>
      </c>
      <c r="G13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345.45000000000005</v>
      </c>
      <c r="H1398" s="128" t="str">
        <f t="shared" ca="1" si="21"/>
        <v>NO</v>
      </c>
      <c r="Q1398" t="s">
        <v>2335</v>
      </c>
      <c r="R1398">
        <v>82.706760000000003</v>
      </c>
    </row>
    <row r="1399" spans="1:18">
      <c r="A1399" t="s">
        <v>992</v>
      </c>
      <c r="B1399" t="s">
        <v>1709</v>
      </c>
      <c r="C1399" t="s">
        <v>994</v>
      </c>
      <c r="D1399">
        <v>843</v>
      </c>
      <c r="E1399" s="128">
        <v>-53688</v>
      </c>
      <c r="F1399" s="128">
        <v>-53688</v>
      </c>
      <c r="G13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843</v>
      </c>
      <c r="H1399" s="128" t="str">
        <f t="shared" ca="1" si="21"/>
        <v>NO</v>
      </c>
      <c r="Q1399" t="s">
        <v>2336</v>
      </c>
      <c r="R1399">
        <v>347.56027</v>
      </c>
    </row>
    <row r="1400" spans="1:18">
      <c r="A1400" t="s">
        <v>992</v>
      </c>
      <c r="B1400" t="s">
        <v>1532</v>
      </c>
      <c r="C1400" t="s">
        <v>994</v>
      </c>
      <c r="D1400">
        <v>160</v>
      </c>
      <c r="E1400" s="128">
        <v>-53688</v>
      </c>
      <c r="F1400" s="128">
        <v>-53688</v>
      </c>
      <c r="G14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160</v>
      </c>
      <c r="H1400" s="128" t="str">
        <f t="shared" ca="1" si="21"/>
        <v>NO</v>
      </c>
      <c r="Q1400" t="s">
        <v>2337</v>
      </c>
      <c r="R1400">
        <v>244.08696</v>
      </c>
    </row>
    <row r="1401" spans="1:18">
      <c r="A1401" t="s">
        <v>992</v>
      </c>
      <c r="B1401" t="s">
        <v>1188</v>
      </c>
      <c r="C1401" t="s">
        <v>994</v>
      </c>
      <c r="D1401">
        <v>254.00000000000003</v>
      </c>
      <c r="E1401" s="128">
        <v>-53688</v>
      </c>
      <c r="F1401" s="128">
        <v>-53688</v>
      </c>
      <c r="G14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254.00000000000003</v>
      </c>
      <c r="H1401" s="128" t="str">
        <f t="shared" ca="1" si="21"/>
        <v>NO</v>
      </c>
      <c r="Q1401" t="s">
        <v>2338</v>
      </c>
      <c r="R1401">
        <v>71.493939999999995</v>
      </c>
    </row>
    <row r="1402" spans="1:18">
      <c r="A1402" t="s">
        <v>992</v>
      </c>
      <c r="B1402" t="s">
        <v>1275</v>
      </c>
      <c r="C1402" t="s">
        <v>994</v>
      </c>
      <c r="D1402">
        <v>262</v>
      </c>
      <c r="E1402" s="128">
        <v>-53688</v>
      </c>
      <c r="F1402" s="128">
        <v>-53688</v>
      </c>
      <c r="G14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262</v>
      </c>
      <c r="H1402" s="128" t="str">
        <f t="shared" ca="1" si="21"/>
        <v>NO</v>
      </c>
      <c r="Q1402" t="s">
        <v>2339</v>
      </c>
      <c r="R1402">
        <v>79.862000000000009</v>
      </c>
    </row>
    <row r="1403" spans="1:18">
      <c r="A1403" t="s">
        <v>992</v>
      </c>
      <c r="B1403" t="s">
        <v>1726</v>
      </c>
      <c r="C1403" t="s">
        <v>994</v>
      </c>
      <c r="D1403">
        <v>307</v>
      </c>
      <c r="E1403" s="128">
        <v>-53688</v>
      </c>
      <c r="F1403" s="128">
        <v>-53688</v>
      </c>
      <c r="G14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307</v>
      </c>
      <c r="H1403" s="128" t="str">
        <f t="shared" ca="1" si="21"/>
        <v>NO</v>
      </c>
      <c r="Q1403" t="s">
        <v>2340</v>
      </c>
      <c r="R1403">
        <v>142.52176</v>
      </c>
    </row>
    <row r="1404" spans="1:18">
      <c r="A1404" t="s">
        <v>992</v>
      </c>
      <c r="B1404" t="s">
        <v>1719</v>
      </c>
      <c r="C1404" t="s">
        <v>994</v>
      </c>
      <c r="D1404">
        <v>860</v>
      </c>
      <c r="E1404" s="128">
        <v>-53688</v>
      </c>
      <c r="F1404" s="128">
        <v>-53688</v>
      </c>
      <c r="G14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860</v>
      </c>
      <c r="H1404" s="128" t="str">
        <f t="shared" ca="1" si="21"/>
        <v>NO</v>
      </c>
      <c r="Q1404" t="s">
        <v>2341</v>
      </c>
      <c r="R1404">
        <v>70.44010999999999</v>
      </c>
    </row>
    <row r="1405" spans="1:18">
      <c r="A1405" t="s">
        <v>992</v>
      </c>
      <c r="B1405" t="s">
        <v>1685</v>
      </c>
      <c r="C1405" t="s">
        <v>994</v>
      </c>
      <c r="D1405">
        <v>39.43</v>
      </c>
      <c r="E1405" s="128">
        <v>36526</v>
      </c>
      <c r="F1405" s="128">
        <v>72686</v>
      </c>
      <c r="G14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39.43</v>
      </c>
      <c r="H1405" s="128" t="str">
        <f t="shared" ca="1" si="21"/>
        <v>YES</v>
      </c>
      <c r="Q1405" t="s">
        <v>2342</v>
      </c>
      <c r="R1405">
        <v>70.44010999999999</v>
      </c>
    </row>
    <row r="1406" spans="1:18">
      <c r="A1406" t="s">
        <v>992</v>
      </c>
      <c r="B1406" t="s">
        <v>1686</v>
      </c>
      <c r="C1406" t="s">
        <v>994</v>
      </c>
      <c r="D1406">
        <v>765</v>
      </c>
      <c r="E1406" s="128">
        <v>45108</v>
      </c>
      <c r="F1406" s="128">
        <v>47483</v>
      </c>
      <c r="G14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765</v>
      </c>
      <c r="H1406" s="128" t="str">
        <f t="shared" ca="1" si="21"/>
        <v>YES</v>
      </c>
      <c r="Q1406" t="s">
        <v>2343</v>
      </c>
      <c r="R1406">
        <v>36.506</v>
      </c>
    </row>
    <row r="1407" spans="1:18">
      <c r="A1407" t="s">
        <v>992</v>
      </c>
      <c r="B1407" t="s">
        <v>1696</v>
      </c>
      <c r="C1407" t="s">
        <v>994</v>
      </c>
      <c r="D1407">
        <v>3610</v>
      </c>
      <c r="E1407" s="128">
        <v>-53688</v>
      </c>
      <c r="F1407" s="128">
        <v>-53688</v>
      </c>
      <c r="G14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3610</v>
      </c>
      <c r="H1407" s="128" t="str">
        <f t="shared" ca="1" si="21"/>
        <v>NO</v>
      </c>
      <c r="Q1407" t="s">
        <v>2344</v>
      </c>
      <c r="R1407">
        <v>158.43824000000001</v>
      </c>
    </row>
    <row r="1408" spans="1:18">
      <c r="A1408" t="s">
        <v>992</v>
      </c>
      <c r="B1408" t="s">
        <v>1686</v>
      </c>
      <c r="C1408" t="s">
        <v>994</v>
      </c>
      <c r="D1408">
        <v>716.4</v>
      </c>
      <c r="E1408" s="128">
        <v>45292</v>
      </c>
      <c r="F1408" s="128">
        <v>54789</v>
      </c>
      <c r="G14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716.4</v>
      </c>
      <c r="H1408" s="128" t="str">
        <f t="shared" ca="1" si="21"/>
        <v>YES</v>
      </c>
      <c r="Q1408" t="s">
        <v>2345</v>
      </c>
      <c r="R1408">
        <v>41.587179999999996</v>
      </c>
    </row>
    <row r="1409" spans="1:18">
      <c r="A1409" t="s">
        <v>992</v>
      </c>
      <c r="B1409" t="s">
        <v>1525</v>
      </c>
      <c r="C1409" t="s">
        <v>994</v>
      </c>
      <c r="D1409">
        <v>380.00000000000006</v>
      </c>
      <c r="E1409" s="128">
        <v>45231</v>
      </c>
      <c r="F1409" s="128">
        <v>54789</v>
      </c>
      <c r="G14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380.00000000000006</v>
      </c>
      <c r="H1409" s="128" t="str">
        <f t="shared" ca="1" si="21"/>
        <v>YES</v>
      </c>
      <c r="Q1409" t="s">
        <v>2346</v>
      </c>
      <c r="R1409">
        <v>43.893180000000001</v>
      </c>
    </row>
    <row r="1410" spans="1:18">
      <c r="A1410" t="s">
        <v>992</v>
      </c>
      <c r="B1410" t="s">
        <v>1439</v>
      </c>
      <c r="C1410" t="s">
        <v>994</v>
      </c>
      <c r="D1410">
        <v>865</v>
      </c>
      <c r="E1410" s="128">
        <v>45292</v>
      </c>
      <c r="F1410" s="128">
        <v>45657</v>
      </c>
      <c r="G14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865</v>
      </c>
      <c r="H1410" s="128" t="str">
        <f t="shared" ref="H1410:H1473" ca="1" si="22">IF(OR(F1410=0,F1410&gt;TODAY()),"YES","NO")</f>
        <v>NO</v>
      </c>
      <c r="Q1410" t="s">
        <v>2347</v>
      </c>
      <c r="R1410">
        <v>536.41168000000005</v>
      </c>
    </row>
    <row r="1411" spans="1:18">
      <c r="A1411" t="s">
        <v>992</v>
      </c>
      <c r="B1411" t="s">
        <v>1439</v>
      </c>
      <c r="C1411" t="s">
        <v>994</v>
      </c>
      <c r="D1411">
        <v>838.99999999999989</v>
      </c>
      <c r="E1411" s="128">
        <v>45658</v>
      </c>
      <c r="F1411" s="128">
        <v>46022</v>
      </c>
      <c r="G14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838.99999999999989</v>
      </c>
      <c r="H1411" s="128" t="str">
        <f t="shared" ca="1" si="22"/>
        <v>YES</v>
      </c>
      <c r="Q1411" t="s">
        <v>2348</v>
      </c>
      <c r="R1411">
        <v>473.59303</v>
      </c>
    </row>
    <row r="1412" spans="1:18">
      <c r="A1412" t="s">
        <v>992</v>
      </c>
      <c r="B1412" t="s">
        <v>1439</v>
      </c>
      <c r="C1412" t="s">
        <v>994</v>
      </c>
      <c r="D1412">
        <v>814</v>
      </c>
      <c r="E1412" s="128">
        <v>46023</v>
      </c>
      <c r="F1412" s="128">
        <v>46387</v>
      </c>
      <c r="G14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814</v>
      </c>
      <c r="H1412" s="128" t="str">
        <f t="shared" ca="1" si="22"/>
        <v>YES</v>
      </c>
      <c r="Q1412" t="s">
        <v>2349</v>
      </c>
      <c r="R1412">
        <v>303.59363000000002</v>
      </c>
    </row>
    <row r="1413" spans="1:18">
      <c r="A1413" t="s">
        <v>992</v>
      </c>
      <c r="B1413" t="s">
        <v>1439</v>
      </c>
      <c r="C1413" t="s">
        <v>994</v>
      </c>
      <c r="D1413">
        <v>789.99999999999989</v>
      </c>
      <c r="E1413" s="128">
        <v>46388</v>
      </c>
      <c r="F1413" s="128">
        <v>46752</v>
      </c>
      <c r="G14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789.99999999999989</v>
      </c>
      <c r="H1413" s="128" t="str">
        <f t="shared" ca="1" si="22"/>
        <v>YES</v>
      </c>
      <c r="Q1413" t="s">
        <v>2350</v>
      </c>
      <c r="R1413">
        <v>175.34545</v>
      </c>
    </row>
    <row r="1414" spans="1:18">
      <c r="A1414" t="s">
        <v>992</v>
      </c>
      <c r="B1414" t="s">
        <v>1441</v>
      </c>
      <c r="C1414" t="s">
        <v>994</v>
      </c>
      <c r="D1414">
        <v>251</v>
      </c>
      <c r="E1414" s="128">
        <v>45292</v>
      </c>
      <c r="F1414" s="128">
        <v>45657</v>
      </c>
      <c r="G14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251</v>
      </c>
      <c r="H1414" s="128" t="str">
        <f t="shared" ca="1" si="22"/>
        <v>NO</v>
      </c>
      <c r="Q1414" t="s">
        <v>2351</v>
      </c>
      <c r="R1414">
        <v>370.25641999999999</v>
      </c>
    </row>
    <row r="1415" spans="1:18">
      <c r="A1415" t="s">
        <v>992</v>
      </c>
      <c r="B1415" t="s">
        <v>1441</v>
      </c>
      <c r="C1415" t="s">
        <v>994</v>
      </c>
      <c r="D1415">
        <v>239</v>
      </c>
      <c r="E1415" s="128">
        <v>45658</v>
      </c>
      <c r="F1415" s="128">
        <v>46022</v>
      </c>
      <c r="G141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239</v>
      </c>
      <c r="H1415" s="128" t="str">
        <f t="shared" ca="1" si="22"/>
        <v>YES</v>
      </c>
      <c r="Q1415" t="s">
        <v>2352</v>
      </c>
      <c r="R1415">
        <v>252.37428</v>
      </c>
    </row>
    <row r="1416" spans="1:18">
      <c r="A1416" t="s">
        <v>992</v>
      </c>
      <c r="B1416" t="s">
        <v>1441</v>
      </c>
      <c r="C1416" t="s">
        <v>994</v>
      </c>
      <c r="D1416">
        <v>228</v>
      </c>
      <c r="E1416" s="128">
        <v>46023</v>
      </c>
      <c r="F1416" s="128">
        <v>46387</v>
      </c>
      <c r="G141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228</v>
      </c>
      <c r="H1416" s="128" t="str">
        <f t="shared" ca="1" si="22"/>
        <v>YES</v>
      </c>
      <c r="Q1416" t="s">
        <v>2353</v>
      </c>
      <c r="R1416">
        <v>410.27881000000002</v>
      </c>
    </row>
    <row r="1417" spans="1:18">
      <c r="A1417" t="s">
        <v>992</v>
      </c>
      <c r="B1417" t="s">
        <v>1441</v>
      </c>
      <c r="C1417" t="s">
        <v>994</v>
      </c>
      <c r="D1417">
        <v>217.99999999999997</v>
      </c>
      <c r="E1417" s="128">
        <v>46388</v>
      </c>
      <c r="F1417" s="128">
        <v>46752</v>
      </c>
      <c r="G141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217.99999999999997</v>
      </c>
      <c r="H1417" s="128" t="str">
        <f t="shared" ca="1" si="22"/>
        <v>YES</v>
      </c>
      <c r="Q1417" t="s">
        <v>2354</v>
      </c>
      <c r="R1417">
        <v>288.81918000000002</v>
      </c>
    </row>
    <row r="1418" spans="1:18">
      <c r="A1418" t="s">
        <v>992</v>
      </c>
      <c r="B1418" t="s">
        <v>1597</v>
      </c>
      <c r="C1418" t="s">
        <v>994</v>
      </c>
      <c r="D1418">
        <v>373</v>
      </c>
      <c r="E1418" s="128">
        <v>45236</v>
      </c>
      <c r="F1418" s="128">
        <v>54789</v>
      </c>
      <c r="G141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373</v>
      </c>
      <c r="H1418" s="128" t="str">
        <f t="shared" ca="1" si="22"/>
        <v>YES</v>
      </c>
      <c r="Q1418" t="s">
        <v>2355</v>
      </c>
      <c r="R1418">
        <v>275.97372999999999</v>
      </c>
    </row>
    <row r="1419" spans="1:18">
      <c r="A1419" t="s">
        <v>992</v>
      </c>
      <c r="B1419" t="s">
        <v>1597</v>
      </c>
      <c r="C1419" t="s">
        <v>994</v>
      </c>
      <c r="D1419">
        <v>334</v>
      </c>
      <c r="E1419" s="128">
        <v>45236</v>
      </c>
      <c r="F1419" s="128">
        <v>54789</v>
      </c>
      <c r="G141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334</v>
      </c>
      <c r="H1419" s="128" t="str">
        <f t="shared" ca="1" si="22"/>
        <v>YES</v>
      </c>
      <c r="Q1419" t="s">
        <v>2356</v>
      </c>
      <c r="R1419">
        <v>337.85816</v>
      </c>
    </row>
    <row r="1420" spans="1:18">
      <c r="A1420" t="s">
        <v>992</v>
      </c>
      <c r="B1420" t="s">
        <v>1435</v>
      </c>
      <c r="C1420" t="s">
        <v>994</v>
      </c>
      <c r="D1420">
        <v>309</v>
      </c>
      <c r="E1420" s="128">
        <v>45237</v>
      </c>
      <c r="F1420" s="128">
        <v>54789</v>
      </c>
      <c r="G142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309</v>
      </c>
      <c r="H1420" s="128" t="str">
        <f t="shared" ca="1" si="22"/>
        <v>YES</v>
      </c>
      <c r="Q1420" t="s">
        <v>2357</v>
      </c>
      <c r="R1420">
        <v>217.72101999999998</v>
      </c>
    </row>
    <row r="1421" spans="1:18">
      <c r="A1421" t="s">
        <v>992</v>
      </c>
      <c r="B1421" t="s">
        <v>1437</v>
      </c>
      <c r="C1421" t="s">
        <v>994</v>
      </c>
      <c r="D1421">
        <v>393.5</v>
      </c>
      <c r="E1421" s="128">
        <v>45237</v>
      </c>
      <c r="F1421" s="128">
        <v>54789</v>
      </c>
      <c r="G142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393.5</v>
      </c>
      <c r="H1421" s="128" t="str">
        <f t="shared" ca="1" si="22"/>
        <v>YES</v>
      </c>
      <c r="Q1421" t="s">
        <v>2358</v>
      </c>
      <c r="R1421">
        <v>280.13330000000002</v>
      </c>
    </row>
    <row r="1422" spans="1:18">
      <c r="A1422" t="s">
        <v>992</v>
      </c>
      <c r="B1422" t="s">
        <v>1491</v>
      </c>
      <c r="C1422" t="s">
        <v>994</v>
      </c>
      <c r="D1422">
        <v>470</v>
      </c>
      <c r="E1422" s="128">
        <v>45243</v>
      </c>
      <c r="F1422" s="128">
        <v>54789</v>
      </c>
      <c r="G142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470</v>
      </c>
      <c r="H1422" s="128" t="str">
        <f t="shared" ca="1" si="22"/>
        <v>YES</v>
      </c>
      <c r="Q1422" t="s">
        <v>2359</v>
      </c>
      <c r="R1422">
        <v>166.09904</v>
      </c>
    </row>
    <row r="1423" spans="1:18">
      <c r="A1423" t="s">
        <v>992</v>
      </c>
      <c r="B1423" t="s">
        <v>1443</v>
      </c>
      <c r="C1423" t="s">
        <v>994</v>
      </c>
      <c r="D1423">
        <v>201.99999999999997</v>
      </c>
      <c r="E1423" s="128">
        <v>45274</v>
      </c>
      <c r="F1423" s="128">
        <v>54789</v>
      </c>
      <c r="G142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201.99999999999997</v>
      </c>
      <c r="H1423" s="128" t="str">
        <f t="shared" ca="1" si="22"/>
        <v>YES</v>
      </c>
      <c r="Q1423" t="s">
        <v>2360</v>
      </c>
      <c r="R1423">
        <v>2084.5170499999999</v>
      </c>
    </row>
    <row r="1424" spans="1:18">
      <c r="A1424" t="s">
        <v>992</v>
      </c>
      <c r="B1424" t="s">
        <v>1443</v>
      </c>
      <c r="C1424" t="s">
        <v>994</v>
      </c>
      <c r="D1424">
        <v>150</v>
      </c>
      <c r="E1424" s="128">
        <v>45274</v>
      </c>
      <c r="F1424" s="128">
        <v>54789</v>
      </c>
      <c r="G142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1424" s="128" t="str">
        <f t="shared" ca="1" si="22"/>
        <v>YES</v>
      </c>
      <c r="Q1424" t="s">
        <v>2361</v>
      </c>
      <c r="R1424">
        <v>164.13222999999999</v>
      </c>
    </row>
    <row r="1425" spans="1:18">
      <c r="A1425" t="s">
        <v>992</v>
      </c>
      <c r="B1425" t="s">
        <v>1263</v>
      </c>
      <c r="C1425" t="s">
        <v>994</v>
      </c>
      <c r="D1425">
        <v>175</v>
      </c>
      <c r="E1425" s="128">
        <v>45274</v>
      </c>
      <c r="F1425" s="128">
        <v>55154</v>
      </c>
      <c r="G142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</v>
      </c>
      <c r="H1425" s="128" t="str">
        <f t="shared" ca="1" si="22"/>
        <v>YES</v>
      </c>
      <c r="Q1425" t="s">
        <v>2362</v>
      </c>
      <c r="R1425">
        <v>160.32144</v>
      </c>
    </row>
    <row r="1426" spans="1:18">
      <c r="A1426" t="s">
        <v>992</v>
      </c>
      <c r="B1426" t="s">
        <v>1445</v>
      </c>
      <c r="C1426" t="s">
        <v>994</v>
      </c>
      <c r="D1426">
        <v>150</v>
      </c>
      <c r="E1426" s="128">
        <v>45276</v>
      </c>
      <c r="F1426" s="128">
        <v>46023</v>
      </c>
      <c r="G142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</v>
      </c>
      <c r="H1426" s="128" t="str">
        <f t="shared" ca="1" si="22"/>
        <v>YES</v>
      </c>
      <c r="Q1426" t="s">
        <v>2363</v>
      </c>
      <c r="R1426">
        <v>187.87213</v>
      </c>
    </row>
    <row r="1427" spans="1:18">
      <c r="A1427" t="s">
        <v>992</v>
      </c>
      <c r="B1427" t="s">
        <v>1689</v>
      </c>
      <c r="C1427" t="s">
        <v>994</v>
      </c>
      <c r="D1427">
        <v>1860</v>
      </c>
      <c r="E1427" s="128">
        <v>45281</v>
      </c>
      <c r="F1427" s="128">
        <v>54789</v>
      </c>
      <c r="G142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1860</v>
      </c>
      <c r="H1427" s="128" t="str">
        <f t="shared" ca="1" si="22"/>
        <v>YES</v>
      </c>
      <c r="Q1427" t="s">
        <v>2364</v>
      </c>
      <c r="R1427">
        <v>270.31085000000002</v>
      </c>
    </row>
    <row r="1428" spans="1:18">
      <c r="A1428" t="s">
        <v>992</v>
      </c>
      <c r="B1428" t="s">
        <v>1690</v>
      </c>
      <c r="C1428" t="s">
        <v>994</v>
      </c>
      <c r="D1428">
        <v>1302</v>
      </c>
      <c r="E1428" s="128">
        <v>45281</v>
      </c>
      <c r="F1428" s="128">
        <v>54789</v>
      </c>
      <c r="G142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1302</v>
      </c>
      <c r="H1428" s="128" t="str">
        <f t="shared" ca="1" si="22"/>
        <v>YES</v>
      </c>
      <c r="Q1428" t="s">
        <v>2365</v>
      </c>
      <c r="R1428">
        <v>371.06040999999999</v>
      </c>
    </row>
    <row r="1429" spans="1:18">
      <c r="A1429" t="s">
        <v>992</v>
      </c>
      <c r="B1429" t="s">
        <v>1691</v>
      </c>
      <c r="C1429" t="s">
        <v>994</v>
      </c>
      <c r="D1429">
        <v>1376</v>
      </c>
      <c r="E1429" s="128">
        <v>45281</v>
      </c>
      <c r="F1429" s="128">
        <v>54789</v>
      </c>
      <c r="G142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1376</v>
      </c>
      <c r="H1429" s="128" t="str">
        <f t="shared" ca="1" si="22"/>
        <v>YES</v>
      </c>
      <c r="Q1429" t="s">
        <v>2366</v>
      </c>
      <c r="R1429">
        <v>411.79755</v>
      </c>
    </row>
    <row r="1430" spans="1:18">
      <c r="A1430" t="s">
        <v>992</v>
      </c>
      <c r="B1430" t="s">
        <v>1447</v>
      </c>
      <c r="C1430" t="s">
        <v>994</v>
      </c>
      <c r="D1430">
        <v>323</v>
      </c>
      <c r="E1430" s="128">
        <v>45302</v>
      </c>
      <c r="F1430" s="128">
        <v>54789</v>
      </c>
      <c r="G143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323</v>
      </c>
      <c r="H1430" s="128" t="str">
        <f t="shared" ca="1" si="22"/>
        <v>YES</v>
      </c>
      <c r="Q1430" t="s">
        <v>2367</v>
      </c>
      <c r="R1430">
        <v>675.01126999999997</v>
      </c>
    </row>
    <row r="1431" spans="1:18">
      <c r="A1431" t="s">
        <v>992</v>
      </c>
      <c r="B1431" t="s">
        <v>1366</v>
      </c>
      <c r="C1431" t="s">
        <v>994</v>
      </c>
      <c r="D1431">
        <v>315</v>
      </c>
      <c r="E1431" s="128">
        <v>45307</v>
      </c>
      <c r="F1431" s="128">
        <v>45657</v>
      </c>
      <c r="G143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315</v>
      </c>
      <c r="H1431" s="128" t="str">
        <f t="shared" ca="1" si="22"/>
        <v>NO</v>
      </c>
      <c r="Q1431" t="s">
        <v>2368</v>
      </c>
      <c r="R1431">
        <v>833.89175000000012</v>
      </c>
    </row>
    <row r="1432" spans="1:18">
      <c r="A1432" t="s">
        <v>992</v>
      </c>
      <c r="B1432" t="s">
        <v>1692</v>
      </c>
      <c r="C1432" t="s">
        <v>994</v>
      </c>
      <c r="D1432">
        <v>716.4</v>
      </c>
      <c r="E1432" s="128">
        <v>45307</v>
      </c>
      <c r="F1432" s="128">
        <v>45657</v>
      </c>
      <c r="G143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716.4</v>
      </c>
      <c r="H1432" s="128" t="str">
        <f t="shared" ca="1" si="22"/>
        <v>NO</v>
      </c>
      <c r="Q1432" t="s">
        <v>2369</v>
      </c>
      <c r="R1432">
        <v>178.79248999999999</v>
      </c>
    </row>
    <row r="1433" spans="1:18">
      <c r="A1433" t="s">
        <v>992</v>
      </c>
      <c r="B1433" t="s">
        <v>1366</v>
      </c>
      <c r="C1433" t="s">
        <v>994</v>
      </c>
      <c r="D1433">
        <v>275.27999999999997</v>
      </c>
      <c r="E1433" s="128">
        <v>45658</v>
      </c>
      <c r="F1433" s="128">
        <v>46022</v>
      </c>
      <c r="G143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275.27999999999997</v>
      </c>
      <c r="H1433" s="128" t="str">
        <f t="shared" ca="1" si="22"/>
        <v>YES</v>
      </c>
      <c r="Q1433" t="s">
        <v>2370</v>
      </c>
      <c r="R1433">
        <v>243.90942999999999</v>
      </c>
    </row>
    <row r="1434" spans="1:18">
      <c r="A1434" t="s">
        <v>992</v>
      </c>
      <c r="B1434" t="s">
        <v>831</v>
      </c>
      <c r="C1434" t="s">
        <v>994</v>
      </c>
      <c r="D1434">
        <v>593.1</v>
      </c>
      <c r="E1434" s="128">
        <v>45307</v>
      </c>
      <c r="F1434" s="128">
        <v>45657</v>
      </c>
      <c r="G143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593.1</v>
      </c>
      <c r="H1434" s="128" t="str">
        <f t="shared" ca="1" si="22"/>
        <v>NO</v>
      </c>
      <c r="Q1434" t="s">
        <v>2371</v>
      </c>
      <c r="R1434">
        <v>227.44325000000003</v>
      </c>
    </row>
    <row r="1435" spans="1:18">
      <c r="A1435" t="s">
        <v>992</v>
      </c>
      <c r="B1435" t="s">
        <v>1692</v>
      </c>
      <c r="C1435" t="s">
        <v>994</v>
      </c>
      <c r="D1435">
        <v>652.81000000000006</v>
      </c>
      <c r="E1435" s="128">
        <v>45658</v>
      </c>
      <c r="F1435" s="128">
        <v>46022</v>
      </c>
      <c r="G143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652.81000000000006</v>
      </c>
      <c r="H1435" s="128" t="str">
        <f t="shared" ca="1" si="22"/>
        <v>YES</v>
      </c>
      <c r="Q1435" t="s">
        <v>2372</v>
      </c>
      <c r="R1435">
        <v>656.09023000000002</v>
      </c>
    </row>
    <row r="1436" spans="1:18">
      <c r="A1436" t="s">
        <v>992</v>
      </c>
      <c r="B1436" t="s">
        <v>1051</v>
      </c>
      <c r="C1436" t="s">
        <v>994</v>
      </c>
      <c r="D1436">
        <v>213.10999999999999</v>
      </c>
      <c r="E1436" s="128">
        <v>45323</v>
      </c>
      <c r="F1436" s="128">
        <v>54789</v>
      </c>
      <c r="G143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213.10999999999999</v>
      </c>
      <c r="H1436" s="128" t="str">
        <f t="shared" ca="1" si="22"/>
        <v>YES</v>
      </c>
      <c r="Q1436" t="s">
        <v>2373</v>
      </c>
      <c r="R1436">
        <v>153.68188999999998</v>
      </c>
    </row>
    <row r="1437" spans="1:18">
      <c r="A1437" t="s">
        <v>992</v>
      </c>
      <c r="B1437" t="s">
        <v>831</v>
      </c>
      <c r="C1437" t="s">
        <v>994</v>
      </c>
      <c r="D1437">
        <v>541.26</v>
      </c>
      <c r="E1437" s="128">
        <v>45658</v>
      </c>
      <c r="F1437" s="128">
        <v>45992</v>
      </c>
      <c r="G143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541.26</v>
      </c>
      <c r="H1437" s="128" t="str">
        <f t="shared" ca="1" si="22"/>
        <v>YES</v>
      </c>
      <c r="Q1437" t="s">
        <v>2374</v>
      </c>
      <c r="R1437">
        <v>3674.7412199999999</v>
      </c>
    </row>
    <row r="1438" spans="1:18">
      <c r="A1438" t="s">
        <v>992</v>
      </c>
      <c r="B1438" t="s">
        <v>815</v>
      </c>
      <c r="C1438" t="s">
        <v>994</v>
      </c>
      <c r="D1438">
        <v>1001.0000000000001</v>
      </c>
      <c r="E1438" s="128">
        <v>45383</v>
      </c>
      <c r="F1438" s="128">
        <v>45657</v>
      </c>
      <c r="G143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1001.0000000000001</v>
      </c>
      <c r="H1438" s="128" t="str">
        <f t="shared" ca="1" si="22"/>
        <v>NO</v>
      </c>
      <c r="Q1438" t="s">
        <v>2375</v>
      </c>
      <c r="R1438">
        <v>112.35263999999999</v>
      </c>
    </row>
    <row r="1439" spans="1:18">
      <c r="A1439" t="s">
        <v>992</v>
      </c>
      <c r="B1439" t="s">
        <v>1051</v>
      </c>
      <c r="C1439" t="s">
        <v>994</v>
      </c>
      <c r="D1439">
        <v>210.95999999999998</v>
      </c>
      <c r="E1439" s="128">
        <v>45323</v>
      </c>
      <c r="F1439" s="128">
        <v>54789</v>
      </c>
      <c r="G143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210.95999999999998</v>
      </c>
      <c r="H1439" s="128" t="str">
        <f t="shared" ca="1" si="22"/>
        <v>YES</v>
      </c>
      <c r="Q1439" t="s">
        <v>2376</v>
      </c>
      <c r="R1439">
        <v>364.61329000000001</v>
      </c>
    </row>
    <row r="1440" spans="1:18">
      <c r="A1440" t="s">
        <v>992</v>
      </c>
      <c r="B1440" t="s">
        <v>1695</v>
      </c>
      <c r="C1440" t="s">
        <v>994</v>
      </c>
      <c r="D1440">
        <v>1333</v>
      </c>
      <c r="E1440" s="128">
        <v>45383</v>
      </c>
      <c r="F1440" s="128">
        <v>46022</v>
      </c>
      <c r="G144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1333</v>
      </c>
      <c r="H1440" s="128" t="str">
        <f t="shared" ca="1" si="22"/>
        <v>YES</v>
      </c>
      <c r="Q1440" t="s">
        <v>2377</v>
      </c>
      <c r="R1440">
        <v>54.250619999999998</v>
      </c>
    </row>
    <row r="1441" spans="1:18">
      <c r="A1441" t="s">
        <v>992</v>
      </c>
      <c r="B1441" t="s">
        <v>815</v>
      </c>
      <c r="C1441" t="s">
        <v>994</v>
      </c>
      <c r="D1441">
        <v>964</v>
      </c>
      <c r="E1441" s="128">
        <v>45658</v>
      </c>
      <c r="F1441" s="128">
        <v>46022</v>
      </c>
      <c r="G144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964</v>
      </c>
      <c r="H1441" s="128" t="str">
        <f t="shared" ca="1" si="22"/>
        <v>YES</v>
      </c>
      <c r="Q1441" t="s">
        <v>2378</v>
      </c>
      <c r="R1441">
        <v>166.24483000000001</v>
      </c>
    </row>
    <row r="1442" spans="1:18">
      <c r="A1442" t="s">
        <v>992</v>
      </c>
      <c r="B1442" t="s">
        <v>796</v>
      </c>
      <c r="C1442" t="s">
        <v>994</v>
      </c>
      <c r="D1442">
        <v>1304</v>
      </c>
      <c r="E1442" s="128">
        <v>45383</v>
      </c>
      <c r="F1442" s="128">
        <v>45657</v>
      </c>
      <c r="G144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1304</v>
      </c>
      <c r="H1442" s="128" t="str">
        <f t="shared" ca="1" si="22"/>
        <v>NO</v>
      </c>
      <c r="Q1442" t="s">
        <v>2379</v>
      </c>
      <c r="R1442">
        <v>139.04585</v>
      </c>
    </row>
    <row r="1443" spans="1:18">
      <c r="A1443" t="s">
        <v>992</v>
      </c>
      <c r="B1443" t="s">
        <v>1500</v>
      </c>
      <c r="C1443" t="s">
        <v>994</v>
      </c>
      <c r="D1443">
        <v>255.15</v>
      </c>
      <c r="E1443" s="128">
        <v>45335</v>
      </c>
      <c r="F1443" s="128">
        <v>54789</v>
      </c>
      <c r="G144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255.15</v>
      </c>
      <c r="H1443" s="128" t="str">
        <f t="shared" ca="1" si="22"/>
        <v>YES</v>
      </c>
      <c r="Q1443" t="s">
        <v>2380</v>
      </c>
      <c r="R1443">
        <v>81.246560000000002</v>
      </c>
    </row>
    <row r="1444" spans="1:18">
      <c r="A1444" t="s">
        <v>992</v>
      </c>
      <c r="B1444" t="s">
        <v>798</v>
      </c>
      <c r="C1444" t="s">
        <v>994</v>
      </c>
      <c r="D1444">
        <v>1085</v>
      </c>
      <c r="E1444" s="128">
        <v>45383</v>
      </c>
      <c r="F1444" s="128">
        <v>45657</v>
      </c>
      <c r="G144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1085</v>
      </c>
      <c r="H1444" s="128" t="str">
        <f t="shared" ca="1" si="22"/>
        <v>NO</v>
      </c>
      <c r="Q1444" t="s">
        <v>2381</v>
      </c>
      <c r="R1444">
        <v>112.96951999999999</v>
      </c>
    </row>
    <row r="1445" spans="1:18">
      <c r="A1445" t="s">
        <v>992</v>
      </c>
      <c r="B1445" t="s">
        <v>796</v>
      </c>
      <c r="C1445" t="s">
        <v>994</v>
      </c>
      <c r="D1445">
        <v>1250</v>
      </c>
      <c r="E1445" s="128">
        <v>45658</v>
      </c>
      <c r="F1445" s="128">
        <v>46022</v>
      </c>
      <c r="G144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1250</v>
      </c>
      <c r="H1445" s="128" t="str">
        <f t="shared" ca="1" si="22"/>
        <v>YES</v>
      </c>
      <c r="Q1445" t="s">
        <v>2382</v>
      </c>
      <c r="R1445">
        <v>89.81201999999999</v>
      </c>
    </row>
    <row r="1446" spans="1:18">
      <c r="A1446" t="s">
        <v>992</v>
      </c>
      <c r="B1446" t="s">
        <v>244</v>
      </c>
      <c r="C1446" t="s">
        <v>994</v>
      </c>
      <c r="D1446">
        <v>200</v>
      </c>
      <c r="E1446" s="128">
        <v>45292</v>
      </c>
      <c r="F1446" s="128">
        <v>54789</v>
      </c>
      <c r="G144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200</v>
      </c>
      <c r="H1446" s="128" t="str">
        <f t="shared" ca="1" si="22"/>
        <v>YES</v>
      </c>
      <c r="Q1446" t="s">
        <v>2383</v>
      </c>
      <c r="R1446">
        <v>99.56841</v>
      </c>
    </row>
    <row r="1447" spans="1:18">
      <c r="A1447" t="s">
        <v>992</v>
      </c>
      <c r="B1447" t="s">
        <v>1694</v>
      </c>
      <c r="C1447" t="s">
        <v>994</v>
      </c>
      <c r="D1447">
        <v>1210</v>
      </c>
      <c r="E1447" s="128">
        <v>45383</v>
      </c>
      <c r="F1447" s="128">
        <v>45657</v>
      </c>
      <c r="G144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1210</v>
      </c>
      <c r="H1447" s="128" t="str">
        <f t="shared" ca="1" si="22"/>
        <v>NO</v>
      </c>
      <c r="Q1447" t="s">
        <v>2384</v>
      </c>
      <c r="R1447">
        <v>42.358139999999999</v>
      </c>
    </row>
    <row r="1448" spans="1:18">
      <c r="A1448" t="s">
        <v>992</v>
      </c>
      <c r="B1448" t="s">
        <v>798</v>
      </c>
      <c r="C1448" t="s">
        <v>994</v>
      </c>
      <c r="D1448">
        <v>1030</v>
      </c>
      <c r="E1448" s="128">
        <v>45658</v>
      </c>
      <c r="F1448" s="128">
        <v>46022</v>
      </c>
      <c r="G144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1030</v>
      </c>
      <c r="H1448" s="128" t="str">
        <f t="shared" ca="1" si="22"/>
        <v>YES</v>
      </c>
      <c r="Q1448" t="s">
        <v>2385</v>
      </c>
      <c r="R1448">
        <v>156.92401000000001</v>
      </c>
    </row>
    <row r="1449" spans="1:18">
      <c r="A1449" t="s">
        <v>992</v>
      </c>
      <c r="B1449" t="s">
        <v>1141</v>
      </c>
      <c r="C1449" t="s">
        <v>994</v>
      </c>
      <c r="D1449">
        <v>38.5</v>
      </c>
      <c r="E1449" s="128">
        <v>45429</v>
      </c>
      <c r="F1449" s="128">
        <v>47483</v>
      </c>
      <c r="G144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38.5</v>
      </c>
      <c r="H1449" s="128" t="str">
        <f t="shared" ca="1" si="22"/>
        <v>YES</v>
      </c>
      <c r="Q1449" t="s">
        <v>2386</v>
      </c>
      <c r="R1449">
        <v>294.56787000000003</v>
      </c>
    </row>
    <row r="1450" spans="1:18">
      <c r="A1450" t="s">
        <v>992</v>
      </c>
      <c r="B1450" t="s">
        <v>1694</v>
      </c>
      <c r="C1450" t="s">
        <v>994</v>
      </c>
      <c r="D1450">
        <v>1151</v>
      </c>
      <c r="E1450" s="128">
        <v>45658</v>
      </c>
      <c r="F1450" s="128">
        <v>46022</v>
      </c>
      <c r="G145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1151</v>
      </c>
      <c r="H1450" s="128" t="str">
        <f t="shared" ca="1" si="22"/>
        <v>YES</v>
      </c>
      <c r="Q1450" t="s">
        <v>2387</v>
      </c>
      <c r="R1450">
        <v>210.86656000000002</v>
      </c>
    </row>
    <row r="1451" spans="1:18">
      <c r="A1451" t="s">
        <v>992</v>
      </c>
      <c r="B1451" t="s">
        <v>1698</v>
      </c>
      <c r="C1451" t="s">
        <v>994</v>
      </c>
      <c r="D1451">
        <v>1500</v>
      </c>
      <c r="E1451" s="128">
        <v>45292</v>
      </c>
      <c r="F1451" s="128">
        <v>45658</v>
      </c>
      <c r="G145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1500</v>
      </c>
      <c r="H1451" s="128" t="str">
        <f t="shared" ca="1" si="22"/>
        <v>NO</v>
      </c>
      <c r="Q1451" t="s">
        <v>2388</v>
      </c>
      <c r="R1451">
        <v>727.50486999999998</v>
      </c>
    </row>
    <row r="1452" spans="1:18">
      <c r="A1452" t="s">
        <v>992</v>
      </c>
      <c r="B1452" t="s">
        <v>255</v>
      </c>
      <c r="C1452" t="s">
        <v>1085</v>
      </c>
      <c r="D1452">
        <v>283.68</v>
      </c>
      <c r="E1452" s="128">
        <v>45292</v>
      </c>
      <c r="F1452" s="128">
        <v>47483</v>
      </c>
      <c r="G145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249.63840000000002</v>
      </c>
      <c r="H1452" s="128" t="str">
        <f t="shared" ca="1" si="22"/>
        <v>YES</v>
      </c>
      <c r="Q1452" t="s">
        <v>2389</v>
      </c>
      <c r="R1452">
        <v>372.37984</v>
      </c>
    </row>
    <row r="1453" spans="1:18">
      <c r="A1453" t="s">
        <v>992</v>
      </c>
      <c r="B1453" t="s">
        <v>1052</v>
      </c>
      <c r="C1453" t="s">
        <v>994</v>
      </c>
      <c r="D1453">
        <v>386.99999999999994</v>
      </c>
      <c r="E1453" s="128">
        <v>45488</v>
      </c>
      <c r="F1453" s="128">
        <v>47483</v>
      </c>
      <c r="G145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386.99999999999994</v>
      </c>
      <c r="H1453" s="128" t="str">
        <f t="shared" ca="1" si="22"/>
        <v>YES</v>
      </c>
      <c r="Q1453" t="s">
        <v>2390</v>
      </c>
      <c r="R1453">
        <v>229.25702000000001</v>
      </c>
    </row>
    <row r="1454" spans="1:18">
      <c r="A1454" t="s">
        <v>992</v>
      </c>
      <c r="B1454" t="s">
        <v>1049</v>
      </c>
      <c r="C1454" t="s">
        <v>994</v>
      </c>
      <c r="D1454">
        <v>247</v>
      </c>
      <c r="E1454" s="128">
        <v>45488</v>
      </c>
      <c r="F1454" s="128">
        <v>47483</v>
      </c>
      <c r="G145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247</v>
      </c>
      <c r="H1454" s="128" t="str">
        <f t="shared" ca="1" si="22"/>
        <v>YES</v>
      </c>
      <c r="Q1454" t="s">
        <v>2391</v>
      </c>
      <c r="R1454">
        <v>464.43482</v>
      </c>
    </row>
    <row r="1455" spans="1:18">
      <c r="A1455" t="s">
        <v>992</v>
      </c>
      <c r="B1455" t="s">
        <v>1088</v>
      </c>
      <c r="C1455" t="s">
        <v>994</v>
      </c>
      <c r="D1455">
        <v>7999.9999999999991</v>
      </c>
      <c r="E1455" s="128">
        <v>45499</v>
      </c>
      <c r="F1455" s="128">
        <v>47483</v>
      </c>
      <c r="G145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7999.9999999999991</v>
      </c>
      <c r="H1455" s="128" t="str">
        <f t="shared" ca="1" si="22"/>
        <v>YES</v>
      </c>
      <c r="Q1455" t="s">
        <v>2392</v>
      </c>
      <c r="R1455">
        <v>91.010539999999992</v>
      </c>
    </row>
    <row r="1456" spans="1:18">
      <c r="A1456" t="s">
        <v>992</v>
      </c>
      <c r="B1456" t="s">
        <v>827</v>
      </c>
      <c r="C1456" t="s">
        <v>994</v>
      </c>
      <c r="D1456">
        <v>1536</v>
      </c>
      <c r="E1456" s="128">
        <v>45292</v>
      </c>
      <c r="F1456" s="128">
        <v>45657</v>
      </c>
      <c r="G145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1536</v>
      </c>
      <c r="H1456" s="128" t="str">
        <f t="shared" ca="1" si="22"/>
        <v>NO</v>
      </c>
      <c r="Q1456" t="s">
        <v>2393</v>
      </c>
      <c r="R1456">
        <v>111.00091</v>
      </c>
    </row>
    <row r="1457" spans="1:18">
      <c r="A1457" t="s">
        <v>992</v>
      </c>
      <c r="B1457" t="s">
        <v>885</v>
      </c>
      <c r="C1457" t="s">
        <v>994</v>
      </c>
      <c r="D1457">
        <v>1074.8999999999999</v>
      </c>
      <c r="E1457" s="128">
        <v>36526</v>
      </c>
      <c r="F1457" s="128">
        <v>44691</v>
      </c>
      <c r="G145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1074.8999999999999</v>
      </c>
      <c r="H1457" s="128" t="str">
        <f t="shared" ca="1" si="22"/>
        <v>NO</v>
      </c>
      <c r="Q1457" t="s">
        <v>2394</v>
      </c>
      <c r="R1457">
        <v>262.30770999999999</v>
      </c>
    </row>
    <row r="1458" spans="1:18">
      <c r="A1458" t="s">
        <v>992</v>
      </c>
      <c r="B1458" t="s">
        <v>827</v>
      </c>
      <c r="C1458" t="s">
        <v>994</v>
      </c>
      <c r="D1458">
        <v>1515.2400000000002</v>
      </c>
      <c r="E1458" s="128">
        <v>45658</v>
      </c>
      <c r="F1458" s="128">
        <v>46022</v>
      </c>
      <c r="G145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1515.2400000000002</v>
      </c>
      <c r="H1458" s="128" t="str">
        <f t="shared" ca="1" si="22"/>
        <v>YES</v>
      </c>
      <c r="Q1458" t="s">
        <v>2395</v>
      </c>
      <c r="R1458">
        <v>250.92144999999999</v>
      </c>
    </row>
    <row r="1459" spans="1:18">
      <c r="A1459" t="s">
        <v>992</v>
      </c>
      <c r="B1459" t="s">
        <v>885</v>
      </c>
      <c r="C1459" t="s">
        <v>994</v>
      </c>
      <c r="D1459">
        <v>1116</v>
      </c>
      <c r="E1459" s="128">
        <v>44767</v>
      </c>
      <c r="F1459" s="128">
        <v>44834</v>
      </c>
      <c r="G145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1116</v>
      </c>
      <c r="H1459" s="128" t="str">
        <f t="shared" ca="1" si="22"/>
        <v>NO</v>
      </c>
      <c r="Q1459" t="s">
        <v>2396</v>
      </c>
      <c r="R1459">
        <v>815.63935000000004</v>
      </c>
    </row>
    <row r="1460" spans="1:18">
      <c r="A1460" t="s">
        <v>992</v>
      </c>
      <c r="B1460" t="s">
        <v>885</v>
      </c>
      <c r="C1460" t="s">
        <v>994</v>
      </c>
      <c r="D1460">
        <v>1160.6400000000001</v>
      </c>
      <c r="E1460" s="128">
        <v>44835</v>
      </c>
      <c r="F1460" s="128">
        <v>44926</v>
      </c>
      <c r="G146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1160.6400000000001</v>
      </c>
      <c r="H1460" s="128" t="str">
        <f t="shared" ca="1" si="22"/>
        <v>NO</v>
      </c>
      <c r="Q1460" t="s">
        <v>2397</v>
      </c>
      <c r="R1460">
        <v>355.96028999999999</v>
      </c>
    </row>
    <row r="1461" spans="1:18">
      <c r="A1461" t="s">
        <v>992</v>
      </c>
      <c r="B1461" t="s">
        <v>885</v>
      </c>
      <c r="C1461" t="s">
        <v>994</v>
      </c>
      <c r="D1461">
        <v>1149</v>
      </c>
      <c r="E1461" s="128">
        <v>44927</v>
      </c>
      <c r="F1461" s="128">
        <v>45016</v>
      </c>
      <c r="G146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1149</v>
      </c>
      <c r="H1461" s="128" t="str">
        <f t="shared" ca="1" si="22"/>
        <v>NO</v>
      </c>
      <c r="Q1461" t="s">
        <v>2398</v>
      </c>
      <c r="R1461">
        <v>311.59092999999996</v>
      </c>
    </row>
    <row r="1462" spans="1:18">
      <c r="A1462" t="s">
        <v>992</v>
      </c>
      <c r="B1462" t="s">
        <v>885</v>
      </c>
      <c r="C1462" t="s">
        <v>994</v>
      </c>
      <c r="D1462">
        <v>1068.5999999999999</v>
      </c>
      <c r="E1462" s="128">
        <v>45017</v>
      </c>
      <c r="F1462" s="128">
        <v>45291</v>
      </c>
      <c r="G146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1068.5999999999999</v>
      </c>
      <c r="H1462" s="128" t="str">
        <f t="shared" ca="1" si="22"/>
        <v>NO</v>
      </c>
      <c r="Q1462" t="s">
        <v>2399</v>
      </c>
      <c r="R1462">
        <v>96.686539999999994</v>
      </c>
    </row>
    <row r="1463" spans="1:18">
      <c r="A1463" t="s">
        <v>992</v>
      </c>
      <c r="B1463" t="s">
        <v>885</v>
      </c>
      <c r="C1463" t="s">
        <v>994</v>
      </c>
      <c r="D1463">
        <v>1068.1000000000001</v>
      </c>
      <c r="E1463" s="128">
        <v>45292</v>
      </c>
      <c r="F1463" s="128">
        <v>45657</v>
      </c>
      <c r="G146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1068.1000000000001</v>
      </c>
      <c r="H1463" s="128" t="str">
        <f t="shared" ca="1" si="22"/>
        <v>NO</v>
      </c>
      <c r="Q1463" t="s">
        <v>2400</v>
      </c>
      <c r="R1463">
        <v>531.05709000000002</v>
      </c>
    </row>
    <row r="1464" spans="1:18">
      <c r="A1464" t="s">
        <v>992</v>
      </c>
      <c r="B1464" t="s">
        <v>825</v>
      </c>
      <c r="C1464" t="s">
        <v>994</v>
      </c>
      <c r="D1464">
        <v>1682.3999999999999</v>
      </c>
      <c r="E1464" s="128">
        <v>45261</v>
      </c>
      <c r="F1464" s="128">
        <v>45657</v>
      </c>
      <c r="G146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1682.3999999999999</v>
      </c>
      <c r="H1464" s="128" t="str">
        <f t="shared" ca="1" si="22"/>
        <v>NO</v>
      </c>
      <c r="Q1464" t="s">
        <v>2401</v>
      </c>
      <c r="R1464">
        <v>224.92981999999998</v>
      </c>
    </row>
    <row r="1465" spans="1:18">
      <c r="A1465" t="s">
        <v>992</v>
      </c>
      <c r="B1465" t="s">
        <v>885</v>
      </c>
      <c r="C1465" t="s">
        <v>994</v>
      </c>
      <c r="D1465">
        <v>1076.3</v>
      </c>
      <c r="E1465" s="128">
        <v>45658</v>
      </c>
      <c r="F1465" s="128">
        <v>46022</v>
      </c>
      <c r="G146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1076.3</v>
      </c>
      <c r="H1465" s="128" t="str">
        <f t="shared" ca="1" si="22"/>
        <v>YES</v>
      </c>
      <c r="Q1465" t="s">
        <v>2402</v>
      </c>
      <c r="R1465">
        <v>1003.1648200000001</v>
      </c>
    </row>
    <row r="1466" spans="1:18">
      <c r="A1466" t="s">
        <v>992</v>
      </c>
      <c r="B1466" t="s">
        <v>823</v>
      </c>
      <c r="C1466" t="s">
        <v>994</v>
      </c>
      <c r="D1466">
        <v>1170</v>
      </c>
      <c r="E1466" s="128">
        <v>36526</v>
      </c>
      <c r="F1466" s="128">
        <v>44834</v>
      </c>
      <c r="G146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1170</v>
      </c>
      <c r="H1466" s="128" t="str">
        <f t="shared" ca="1" si="22"/>
        <v>NO</v>
      </c>
      <c r="Q1466" t="s">
        <v>2403</v>
      </c>
      <c r="R1466">
        <v>881.68539999999996</v>
      </c>
    </row>
    <row r="1467" spans="1:18">
      <c r="A1467" t="s">
        <v>992</v>
      </c>
      <c r="B1467" t="s">
        <v>825</v>
      </c>
      <c r="C1467" t="s">
        <v>994</v>
      </c>
      <c r="D1467">
        <v>1686.09</v>
      </c>
      <c r="E1467" s="128">
        <v>45658</v>
      </c>
      <c r="F1467" s="128">
        <v>46022</v>
      </c>
      <c r="G146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1686.09</v>
      </c>
      <c r="H1467" s="128" t="str">
        <f t="shared" ca="1" si="22"/>
        <v>YES</v>
      </c>
      <c r="Q1467" t="s">
        <v>2404</v>
      </c>
      <c r="R1467">
        <v>341.77339999999998</v>
      </c>
    </row>
    <row r="1468" spans="1:18">
      <c r="A1468" t="s">
        <v>992</v>
      </c>
      <c r="B1468" t="s">
        <v>823</v>
      </c>
      <c r="C1468" t="s">
        <v>994</v>
      </c>
      <c r="D1468">
        <v>1216.8</v>
      </c>
      <c r="E1468" s="128">
        <v>44835</v>
      </c>
      <c r="F1468" s="128">
        <v>44926</v>
      </c>
      <c r="G146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1216.8</v>
      </c>
      <c r="H1468" s="128" t="str">
        <f t="shared" ca="1" si="22"/>
        <v>NO</v>
      </c>
      <c r="Q1468" t="s">
        <v>2405</v>
      </c>
      <c r="R1468">
        <v>122.24217</v>
      </c>
    </row>
    <row r="1469" spans="1:18">
      <c r="A1469" t="s">
        <v>992</v>
      </c>
      <c r="B1469" t="s">
        <v>823</v>
      </c>
      <c r="C1469" t="s">
        <v>994</v>
      </c>
      <c r="D1469">
        <v>1204.6320000000001</v>
      </c>
      <c r="E1469" s="128">
        <v>44927</v>
      </c>
      <c r="F1469" s="128">
        <v>45016</v>
      </c>
      <c r="G146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1204.6320000000001</v>
      </c>
      <c r="H1469" s="128" t="str">
        <f t="shared" ca="1" si="22"/>
        <v>NO</v>
      </c>
      <c r="Q1469" t="s">
        <v>2406</v>
      </c>
      <c r="R1469">
        <v>71.89734</v>
      </c>
    </row>
    <row r="1470" spans="1:18">
      <c r="A1470" t="s">
        <v>992</v>
      </c>
      <c r="B1470" t="s">
        <v>823</v>
      </c>
      <c r="C1470" t="s">
        <v>994</v>
      </c>
      <c r="D1470">
        <v>1120.3</v>
      </c>
      <c r="E1470" s="128">
        <v>45017</v>
      </c>
      <c r="F1470" s="128">
        <v>45657</v>
      </c>
      <c r="G147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1120.3</v>
      </c>
      <c r="H1470" s="128" t="str">
        <f t="shared" ca="1" si="22"/>
        <v>NO</v>
      </c>
      <c r="Q1470" t="s">
        <v>2407</v>
      </c>
      <c r="R1470">
        <v>101.67031999999999</v>
      </c>
    </row>
    <row r="1471" spans="1:18">
      <c r="A1471" t="s">
        <v>992</v>
      </c>
      <c r="B1471" t="s">
        <v>821</v>
      </c>
      <c r="C1471" t="s">
        <v>994</v>
      </c>
      <c r="D1471">
        <v>1143</v>
      </c>
      <c r="E1471" s="128">
        <v>36526</v>
      </c>
      <c r="F1471" s="128">
        <v>44834</v>
      </c>
      <c r="G147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1143</v>
      </c>
      <c r="H1471" s="128" t="str">
        <f t="shared" ca="1" si="22"/>
        <v>NO</v>
      </c>
      <c r="Q1471" t="s">
        <v>2408</v>
      </c>
      <c r="R1471">
        <v>177.11270000000002</v>
      </c>
    </row>
    <row r="1472" spans="1:18">
      <c r="A1472" t="s">
        <v>992</v>
      </c>
      <c r="B1472" t="s">
        <v>823</v>
      </c>
      <c r="C1472" t="s">
        <v>994</v>
      </c>
      <c r="D1472">
        <v>1111.3599999999999</v>
      </c>
      <c r="E1472" s="128">
        <v>45658</v>
      </c>
      <c r="F1472" s="128">
        <v>46022</v>
      </c>
      <c r="G147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1111.3599999999999</v>
      </c>
      <c r="H1472" s="128" t="str">
        <f t="shared" ca="1" si="22"/>
        <v>YES</v>
      </c>
      <c r="Q1472" t="s">
        <v>2409</v>
      </c>
      <c r="R1472">
        <v>243.49079999999998</v>
      </c>
    </row>
    <row r="1473" spans="1:18">
      <c r="A1473" t="s">
        <v>992</v>
      </c>
      <c r="B1473" t="s">
        <v>821</v>
      </c>
      <c r="C1473" t="s">
        <v>994</v>
      </c>
      <c r="D1473">
        <v>1188.72</v>
      </c>
      <c r="E1473" s="128">
        <v>44835</v>
      </c>
      <c r="F1473" s="128">
        <v>44926</v>
      </c>
      <c r="G147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1188.72</v>
      </c>
      <c r="H1473" s="128" t="str">
        <f t="shared" ca="1" si="22"/>
        <v>NO</v>
      </c>
      <c r="Q1473" t="s">
        <v>2410</v>
      </c>
      <c r="R1473">
        <v>144.21751999999998</v>
      </c>
    </row>
    <row r="1474" spans="1:18">
      <c r="A1474" t="s">
        <v>992</v>
      </c>
      <c r="B1474" t="s">
        <v>821</v>
      </c>
      <c r="C1474" t="s">
        <v>994</v>
      </c>
      <c r="D1474">
        <v>1176.8</v>
      </c>
      <c r="E1474" s="128">
        <v>44927</v>
      </c>
      <c r="F1474" s="128">
        <v>45016</v>
      </c>
      <c r="G147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1176.8</v>
      </c>
      <c r="H1474" s="128" t="str">
        <f t="shared" ref="H1474:H1514" ca="1" si="23">IF(OR(F1474=0,F1474&gt;TODAY()),"YES","NO")</f>
        <v>NO</v>
      </c>
      <c r="Q1474" t="s">
        <v>2411</v>
      </c>
      <c r="R1474">
        <v>531.41812000000004</v>
      </c>
    </row>
    <row r="1475" spans="1:18">
      <c r="A1475" t="s">
        <v>992</v>
      </c>
      <c r="B1475" t="s">
        <v>821</v>
      </c>
      <c r="C1475" t="s">
        <v>994</v>
      </c>
      <c r="D1475">
        <v>1094.44</v>
      </c>
      <c r="E1475" s="128">
        <v>45017</v>
      </c>
      <c r="F1475" s="128">
        <v>45657</v>
      </c>
      <c r="G147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1094.44</v>
      </c>
      <c r="H1475" s="128" t="str">
        <f t="shared" ca="1" si="23"/>
        <v>NO</v>
      </c>
      <c r="Q1475" t="s">
        <v>2412</v>
      </c>
      <c r="R1475">
        <v>118.99908000000001</v>
      </c>
    </row>
    <row r="1476" spans="1:18">
      <c r="A1476" t="s">
        <v>992</v>
      </c>
      <c r="B1476" t="s">
        <v>1710</v>
      </c>
      <c r="C1476" t="s">
        <v>994</v>
      </c>
      <c r="D1476">
        <v>1185</v>
      </c>
      <c r="E1476" s="128">
        <v>36526</v>
      </c>
      <c r="F1476" s="128">
        <v>44834</v>
      </c>
      <c r="G147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1185</v>
      </c>
      <c r="H1476" s="128" t="str">
        <f t="shared" ca="1" si="23"/>
        <v>NO</v>
      </c>
      <c r="Q1476" t="s">
        <v>2413</v>
      </c>
      <c r="R1476">
        <v>534.98006999999996</v>
      </c>
    </row>
    <row r="1477" spans="1:18">
      <c r="A1477" t="s">
        <v>992</v>
      </c>
      <c r="B1477" t="s">
        <v>821</v>
      </c>
      <c r="C1477" t="s">
        <v>994</v>
      </c>
      <c r="D1477">
        <v>1090.2</v>
      </c>
      <c r="E1477" s="128">
        <v>45658</v>
      </c>
      <c r="F1477" s="128">
        <v>46022</v>
      </c>
      <c r="G147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1090.2</v>
      </c>
      <c r="H1477" s="128" t="str">
        <f t="shared" ca="1" si="23"/>
        <v>YES</v>
      </c>
      <c r="Q1477" t="s">
        <v>2414</v>
      </c>
      <c r="R1477">
        <v>536.77891</v>
      </c>
    </row>
    <row r="1478" spans="1:18">
      <c r="A1478" t="s">
        <v>992</v>
      </c>
      <c r="B1478" t="s">
        <v>1710</v>
      </c>
      <c r="C1478" t="s">
        <v>994</v>
      </c>
      <c r="D1478">
        <v>1232.4000000000001</v>
      </c>
      <c r="E1478" s="128">
        <v>44835</v>
      </c>
      <c r="F1478" s="128">
        <v>44926</v>
      </c>
      <c r="G147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1232.4000000000001</v>
      </c>
      <c r="H1478" s="128" t="str">
        <f t="shared" ca="1" si="23"/>
        <v>NO</v>
      </c>
      <c r="Q1478" t="s">
        <v>2415</v>
      </c>
      <c r="R1478">
        <v>112.13108000000001</v>
      </c>
    </row>
    <row r="1479" spans="1:18">
      <c r="A1479" t="s">
        <v>992</v>
      </c>
      <c r="B1479" t="s">
        <v>1710</v>
      </c>
      <c r="C1479" t="s">
        <v>994</v>
      </c>
      <c r="D1479">
        <v>1220.0999999999999</v>
      </c>
      <c r="E1479" s="128">
        <v>44927</v>
      </c>
      <c r="F1479" s="128">
        <v>45016</v>
      </c>
      <c r="G147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1220.0999999999999</v>
      </c>
      <c r="H1479" s="128" t="str">
        <f t="shared" ca="1" si="23"/>
        <v>NO</v>
      </c>
      <c r="Q1479" t="s">
        <v>2416</v>
      </c>
      <c r="R1479">
        <v>449.83357999999998</v>
      </c>
    </row>
    <row r="1480" spans="1:18">
      <c r="A1480" t="s">
        <v>992</v>
      </c>
      <c r="B1480" t="s">
        <v>1710</v>
      </c>
      <c r="C1480" t="s">
        <v>994</v>
      </c>
      <c r="D1480">
        <v>1134.7</v>
      </c>
      <c r="E1480" s="128">
        <v>45017</v>
      </c>
      <c r="F1480" s="128">
        <v>45657</v>
      </c>
      <c r="G148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1134.7</v>
      </c>
      <c r="H1480" s="128" t="str">
        <f t="shared" ca="1" si="23"/>
        <v>NO</v>
      </c>
      <c r="Q1480" t="s">
        <v>2417</v>
      </c>
      <c r="R1480">
        <v>248.30884</v>
      </c>
    </row>
    <row r="1481" spans="1:18">
      <c r="A1481" t="s">
        <v>992</v>
      </c>
      <c r="B1481" t="s">
        <v>1466</v>
      </c>
      <c r="C1481" t="s">
        <v>994</v>
      </c>
      <c r="D1481">
        <v>595</v>
      </c>
      <c r="E1481" s="128">
        <v>36526</v>
      </c>
      <c r="F1481" s="128">
        <v>46387</v>
      </c>
      <c r="G148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595</v>
      </c>
      <c r="H1481" s="128" t="str">
        <f t="shared" ca="1" si="23"/>
        <v>YES</v>
      </c>
      <c r="Q1481" t="s">
        <v>2418</v>
      </c>
      <c r="R1481">
        <v>357.37747999999999</v>
      </c>
    </row>
    <row r="1482" spans="1:18">
      <c r="A1482" t="s">
        <v>992</v>
      </c>
      <c r="B1482" t="s">
        <v>1066</v>
      </c>
      <c r="C1482" t="s">
        <v>994</v>
      </c>
      <c r="D1482">
        <v>357.6</v>
      </c>
      <c r="E1482" s="128">
        <v>45538</v>
      </c>
      <c r="F1482" s="128">
        <v>47483</v>
      </c>
      <c r="G148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357.6</v>
      </c>
      <c r="H1482" s="128" t="str">
        <f t="shared" ca="1" si="23"/>
        <v>YES</v>
      </c>
      <c r="Q1482" t="s">
        <v>2419</v>
      </c>
      <c r="R1482">
        <v>350.07814000000002</v>
      </c>
    </row>
    <row r="1483" spans="1:18">
      <c r="A1483" t="s">
        <v>992</v>
      </c>
      <c r="B1483" t="s">
        <v>1066</v>
      </c>
      <c r="C1483" t="s">
        <v>994</v>
      </c>
      <c r="D1483">
        <v>347.5</v>
      </c>
      <c r="E1483" s="128">
        <v>45538</v>
      </c>
      <c r="F1483" s="128">
        <v>47483</v>
      </c>
      <c r="G148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347.5</v>
      </c>
      <c r="H1483" s="128" t="str">
        <f t="shared" ca="1" si="23"/>
        <v>YES</v>
      </c>
      <c r="Q1483" t="s">
        <v>2420</v>
      </c>
      <c r="R1483">
        <v>335.41341</v>
      </c>
    </row>
    <row r="1484" spans="1:18">
      <c r="A1484" t="s">
        <v>992</v>
      </c>
      <c r="B1484" t="s">
        <v>1454</v>
      </c>
      <c r="C1484" t="s">
        <v>994</v>
      </c>
      <c r="D1484">
        <v>975</v>
      </c>
      <c r="E1484" s="128">
        <v>45544</v>
      </c>
      <c r="F1484" s="128">
        <v>47483</v>
      </c>
      <c r="G148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975</v>
      </c>
      <c r="H1484" s="128" t="str">
        <f t="shared" ca="1" si="23"/>
        <v>YES</v>
      </c>
      <c r="Q1484" t="s">
        <v>2421</v>
      </c>
      <c r="R1484">
        <v>284.41273000000001</v>
      </c>
    </row>
    <row r="1485" spans="1:18">
      <c r="A1485" t="s">
        <v>992</v>
      </c>
      <c r="B1485" t="s">
        <v>1456</v>
      </c>
      <c r="C1485" t="s">
        <v>994</v>
      </c>
      <c r="D1485">
        <v>1341</v>
      </c>
      <c r="E1485" s="128">
        <v>45544</v>
      </c>
      <c r="F1485" s="128">
        <v>47483</v>
      </c>
      <c r="G148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1341</v>
      </c>
      <c r="H1485" s="128" t="str">
        <f t="shared" ca="1" si="23"/>
        <v>YES</v>
      </c>
      <c r="Q1485" t="s">
        <v>2422</v>
      </c>
      <c r="R1485">
        <v>108.83657000000001</v>
      </c>
    </row>
    <row r="1486" spans="1:18">
      <c r="A1486" t="s">
        <v>992</v>
      </c>
      <c r="B1486" t="s">
        <v>1702</v>
      </c>
      <c r="C1486" t="s">
        <v>994</v>
      </c>
      <c r="D1486">
        <v>2170</v>
      </c>
      <c r="E1486" s="128">
        <v>45545</v>
      </c>
      <c r="F1486" s="128">
        <v>47482</v>
      </c>
      <c r="G148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2170</v>
      </c>
      <c r="H1486" s="128" t="str">
        <f t="shared" ca="1" si="23"/>
        <v>YES</v>
      </c>
      <c r="Q1486" t="s">
        <v>2423</v>
      </c>
      <c r="R1486">
        <v>84.446429999999992</v>
      </c>
    </row>
    <row r="1487" spans="1:18">
      <c r="A1487" t="s">
        <v>992</v>
      </c>
      <c r="B1487" t="s">
        <v>1714</v>
      </c>
      <c r="C1487" t="s">
        <v>994</v>
      </c>
      <c r="D1487">
        <v>760.00000000000011</v>
      </c>
      <c r="E1487" s="128">
        <v>45342</v>
      </c>
      <c r="F1487" s="128">
        <v>55153</v>
      </c>
      <c r="G148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760.00000000000011</v>
      </c>
      <c r="H1487" s="128" t="str">
        <f t="shared" ca="1" si="23"/>
        <v>YES</v>
      </c>
      <c r="Q1487" t="s">
        <v>2424</v>
      </c>
      <c r="R1487">
        <v>155.65548999999999</v>
      </c>
    </row>
    <row r="1488" spans="1:18">
      <c r="A1488" t="s">
        <v>992</v>
      </c>
      <c r="B1488" t="s">
        <v>1714</v>
      </c>
      <c r="C1488" t="s">
        <v>994</v>
      </c>
      <c r="D1488">
        <v>720</v>
      </c>
      <c r="E1488" s="128">
        <v>45342</v>
      </c>
      <c r="F1488" s="128">
        <v>55153</v>
      </c>
      <c r="G148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720</v>
      </c>
      <c r="H1488" s="128" t="str">
        <f t="shared" ca="1" si="23"/>
        <v>YES</v>
      </c>
      <c r="Q1488" t="s">
        <v>2425</v>
      </c>
      <c r="R1488">
        <v>573.64988000000005</v>
      </c>
    </row>
    <row r="1489" spans="1:18">
      <c r="A1489" t="s">
        <v>992</v>
      </c>
      <c r="B1489" t="s">
        <v>1716</v>
      </c>
      <c r="C1489" t="s">
        <v>1085</v>
      </c>
      <c r="D1489">
        <v>201.6</v>
      </c>
      <c r="E1489" s="128">
        <v>45292</v>
      </c>
      <c r="F1489" s="128">
        <v>46022</v>
      </c>
      <c r="G148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177.40799999999999</v>
      </c>
      <c r="H1489" s="128" t="str">
        <f t="shared" ca="1" si="23"/>
        <v>YES</v>
      </c>
      <c r="Q1489" t="s">
        <v>2426</v>
      </c>
      <c r="R1489">
        <v>528.49</v>
      </c>
    </row>
    <row r="1490" spans="1:18">
      <c r="A1490" t="s">
        <v>992</v>
      </c>
      <c r="B1490" t="s">
        <v>1717</v>
      </c>
      <c r="C1490" t="s">
        <v>994</v>
      </c>
      <c r="D1490">
        <v>1694</v>
      </c>
      <c r="E1490" s="128">
        <v>45551</v>
      </c>
      <c r="F1490" s="128">
        <v>47483</v>
      </c>
      <c r="G149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1694</v>
      </c>
      <c r="H1490" s="128" t="str">
        <f t="shared" ca="1" si="23"/>
        <v>YES</v>
      </c>
      <c r="Q1490" t="s">
        <v>2427</v>
      </c>
      <c r="R1490">
        <v>312.31855999999999</v>
      </c>
    </row>
    <row r="1491" spans="1:18">
      <c r="A1491" t="s">
        <v>992</v>
      </c>
      <c r="B1491" t="s">
        <v>1571</v>
      </c>
      <c r="C1491" t="s">
        <v>994</v>
      </c>
      <c r="D1491">
        <v>154.9</v>
      </c>
      <c r="E1491" s="128">
        <v>45552</v>
      </c>
      <c r="F1491" s="128">
        <v>47483</v>
      </c>
      <c r="G149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154.9</v>
      </c>
      <c r="H1491" s="128" t="str">
        <f t="shared" ca="1" si="23"/>
        <v>YES</v>
      </c>
      <c r="Q1491" t="s">
        <v>2428</v>
      </c>
      <c r="R1491">
        <v>85.096510000000009</v>
      </c>
    </row>
    <row r="1492" spans="1:18">
      <c r="A1492" t="s">
        <v>992</v>
      </c>
      <c r="B1492" t="s">
        <v>1571</v>
      </c>
      <c r="C1492" t="s">
        <v>994</v>
      </c>
      <c r="D1492">
        <v>203.7</v>
      </c>
      <c r="E1492" s="128">
        <v>45552</v>
      </c>
      <c r="F1492" s="128">
        <v>47483</v>
      </c>
      <c r="G149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203.7</v>
      </c>
      <c r="H1492" s="128" t="str">
        <f t="shared" ca="1" si="23"/>
        <v>YES</v>
      </c>
      <c r="Q1492" t="s">
        <v>2429</v>
      </c>
      <c r="R1492">
        <v>88.511960000000002</v>
      </c>
    </row>
    <row r="1493" spans="1:18">
      <c r="A1493" t="s">
        <v>992</v>
      </c>
      <c r="B1493" t="s">
        <v>1718</v>
      </c>
      <c r="C1493" t="s">
        <v>994</v>
      </c>
      <c r="D1493">
        <v>2156</v>
      </c>
      <c r="E1493" s="128">
        <v>36526</v>
      </c>
      <c r="F1493" s="128">
        <v>46022</v>
      </c>
      <c r="G149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2156</v>
      </c>
      <c r="H1493" s="128" t="str">
        <f t="shared" ca="1" si="23"/>
        <v>YES</v>
      </c>
      <c r="Q1493" t="s">
        <v>2430</v>
      </c>
      <c r="R1493">
        <v>377.80192</v>
      </c>
    </row>
    <row r="1494" spans="1:18">
      <c r="A1494" t="s">
        <v>992</v>
      </c>
      <c r="B1494" t="s">
        <v>1718</v>
      </c>
      <c r="C1494" t="s">
        <v>994</v>
      </c>
      <c r="D1494">
        <v>2113</v>
      </c>
      <c r="E1494" s="128">
        <v>46023</v>
      </c>
      <c r="F1494" s="128">
        <v>46387</v>
      </c>
      <c r="G149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2113</v>
      </c>
      <c r="H1494" s="128" t="str">
        <f t="shared" ca="1" si="23"/>
        <v>YES</v>
      </c>
      <c r="Q1494" t="s">
        <v>2431</v>
      </c>
      <c r="R1494">
        <v>375.88126999999997</v>
      </c>
    </row>
    <row r="1495" spans="1:18">
      <c r="A1495" t="s">
        <v>992</v>
      </c>
      <c r="B1495" t="s">
        <v>1718</v>
      </c>
      <c r="C1495" t="s">
        <v>994</v>
      </c>
      <c r="D1495">
        <v>2092</v>
      </c>
      <c r="E1495" s="128">
        <v>46388</v>
      </c>
      <c r="F1495" s="128">
        <v>46752</v>
      </c>
      <c r="G149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2092</v>
      </c>
      <c r="H1495" s="128" t="str">
        <f t="shared" ca="1" si="23"/>
        <v>YES</v>
      </c>
      <c r="Q1495" t="s">
        <v>2432</v>
      </c>
      <c r="R1495">
        <v>338.28906000000001</v>
      </c>
    </row>
    <row r="1496" spans="1:18">
      <c r="A1496" t="s">
        <v>992</v>
      </c>
      <c r="B1496" t="s">
        <v>1718</v>
      </c>
      <c r="C1496" t="s">
        <v>994</v>
      </c>
      <c r="D1496">
        <v>2071</v>
      </c>
      <c r="E1496" s="128">
        <v>46753</v>
      </c>
      <c r="F1496" s="128">
        <v>49674</v>
      </c>
      <c r="G149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2071</v>
      </c>
      <c r="H1496" s="128" t="str">
        <f t="shared" ca="1" si="23"/>
        <v>YES</v>
      </c>
      <c r="Q1496" t="s">
        <v>2433</v>
      </c>
      <c r="R1496">
        <v>197.21586000000002</v>
      </c>
    </row>
    <row r="1497" spans="1:18">
      <c r="A1497" t="s">
        <v>992</v>
      </c>
      <c r="B1497" t="s">
        <v>1602</v>
      </c>
      <c r="C1497" t="s">
        <v>994</v>
      </c>
      <c r="D1497">
        <v>353.5</v>
      </c>
      <c r="E1497" s="128">
        <v>45560</v>
      </c>
      <c r="F1497" s="128">
        <v>47483</v>
      </c>
      <c r="G149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353.5</v>
      </c>
      <c r="H1497" s="128" t="str">
        <f t="shared" ca="1" si="23"/>
        <v>YES</v>
      </c>
      <c r="Q1497" t="s">
        <v>2434</v>
      </c>
      <c r="R1497">
        <v>162.27405000000002</v>
      </c>
    </row>
    <row r="1498" spans="1:18">
      <c r="A1498" t="s">
        <v>992</v>
      </c>
      <c r="B1498" t="s">
        <v>865</v>
      </c>
      <c r="C1498" t="s">
        <v>994</v>
      </c>
      <c r="D1498">
        <v>1940.0000000000002</v>
      </c>
      <c r="E1498" s="128">
        <v>45413</v>
      </c>
      <c r="F1498" s="128">
        <v>45657</v>
      </c>
      <c r="G149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1940.0000000000002</v>
      </c>
      <c r="H1498" s="128" t="str">
        <f t="shared" ca="1" si="23"/>
        <v>NO</v>
      </c>
      <c r="Q1498" t="s">
        <v>2435</v>
      </c>
      <c r="R1498">
        <v>927.0911000000001</v>
      </c>
    </row>
    <row r="1499" spans="1:18">
      <c r="A1499" t="s">
        <v>992</v>
      </c>
      <c r="B1499" t="s">
        <v>865</v>
      </c>
      <c r="C1499" t="s">
        <v>994</v>
      </c>
      <c r="D1499">
        <v>1895</v>
      </c>
      <c r="E1499" s="128">
        <v>44824</v>
      </c>
      <c r="F1499" s="128">
        <v>44834</v>
      </c>
      <c r="G149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1895</v>
      </c>
      <c r="H1499" s="128" t="str">
        <f t="shared" ca="1" si="23"/>
        <v>NO</v>
      </c>
      <c r="Q1499" t="s">
        <v>2436</v>
      </c>
      <c r="R1499">
        <v>136.91045</v>
      </c>
    </row>
    <row r="1500" spans="1:18">
      <c r="A1500" t="s">
        <v>992</v>
      </c>
      <c r="B1500" t="s">
        <v>865</v>
      </c>
      <c r="C1500" t="s">
        <v>994</v>
      </c>
      <c r="D1500">
        <v>1989.0000000000002</v>
      </c>
      <c r="E1500" s="128">
        <v>44835</v>
      </c>
      <c r="F1500" s="128">
        <v>44971</v>
      </c>
      <c r="G150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1989.0000000000002</v>
      </c>
      <c r="H1500" s="128" t="str">
        <f t="shared" ca="1" si="23"/>
        <v>NO</v>
      </c>
      <c r="Q1500" t="s">
        <v>2437</v>
      </c>
      <c r="R1500">
        <v>721.04560000000004</v>
      </c>
    </row>
    <row r="1501" spans="1:18">
      <c r="A1501" t="s">
        <v>992</v>
      </c>
      <c r="B1501" t="s">
        <v>865</v>
      </c>
      <c r="C1501" t="s">
        <v>994</v>
      </c>
      <c r="D1501">
        <v>1999.9999999999998</v>
      </c>
      <c r="E1501" s="128">
        <v>44972</v>
      </c>
      <c r="F1501" s="128">
        <v>45412</v>
      </c>
      <c r="G150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1999.9999999999998</v>
      </c>
      <c r="H1501" s="128" t="str">
        <f t="shared" ca="1" si="23"/>
        <v>NO</v>
      </c>
      <c r="Q1501" t="s">
        <v>2438</v>
      </c>
      <c r="R1501">
        <v>208.20682000000002</v>
      </c>
    </row>
    <row r="1502" spans="1:18">
      <c r="A1502" t="s">
        <v>992</v>
      </c>
      <c r="B1502" t="s">
        <v>865</v>
      </c>
      <c r="C1502" t="s">
        <v>994</v>
      </c>
      <c r="D1502">
        <v>2020</v>
      </c>
      <c r="E1502" s="128">
        <v>45017</v>
      </c>
      <c r="F1502" s="128">
        <v>45291</v>
      </c>
      <c r="G150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2020</v>
      </c>
      <c r="H1502" s="128" t="str">
        <f t="shared" ca="1" si="23"/>
        <v>NO</v>
      </c>
      <c r="Q1502" t="s">
        <v>2439</v>
      </c>
      <c r="R1502">
        <v>847.00588000000005</v>
      </c>
    </row>
    <row r="1503" spans="1:18">
      <c r="A1503" t="s">
        <v>992</v>
      </c>
      <c r="B1503" t="s">
        <v>865</v>
      </c>
      <c r="C1503" t="s">
        <v>994</v>
      </c>
      <c r="D1503">
        <v>1999.9999999999998</v>
      </c>
      <c r="E1503" s="128">
        <v>45292</v>
      </c>
      <c r="F1503" s="128">
        <v>45412</v>
      </c>
      <c r="G150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1999.9999999999998</v>
      </c>
      <c r="H1503" s="128" t="str">
        <f t="shared" ca="1" si="23"/>
        <v>NO</v>
      </c>
      <c r="Q1503" t="s">
        <v>2440</v>
      </c>
      <c r="R1503">
        <v>130.23968000000002</v>
      </c>
    </row>
    <row r="1504" spans="1:18">
      <c r="A1504" t="s">
        <v>992</v>
      </c>
      <c r="B1504" t="s">
        <v>1603</v>
      </c>
      <c r="C1504" t="s">
        <v>994</v>
      </c>
      <c r="D1504">
        <v>172</v>
      </c>
      <c r="E1504" s="128">
        <v>45575</v>
      </c>
      <c r="F1504" s="128">
        <v>47483</v>
      </c>
      <c r="G150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172</v>
      </c>
      <c r="H1504" s="128" t="str">
        <f t="shared" ca="1" si="23"/>
        <v>YES</v>
      </c>
      <c r="Q1504" t="s">
        <v>2441</v>
      </c>
      <c r="R1504">
        <v>230.67565000000002</v>
      </c>
    </row>
    <row r="1505" spans="1:18">
      <c r="A1505" t="s">
        <v>992</v>
      </c>
      <c r="B1505" t="s">
        <v>865</v>
      </c>
      <c r="C1505" t="s">
        <v>994</v>
      </c>
      <c r="D1505">
        <v>1960</v>
      </c>
      <c r="E1505" s="128">
        <v>45658</v>
      </c>
      <c r="F1505" s="128">
        <v>46022</v>
      </c>
      <c r="G1505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1960</v>
      </c>
      <c r="H1505" s="128" t="str">
        <f t="shared" ca="1" si="23"/>
        <v>YES</v>
      </c>
      <c r="Q1505" t="s">
        <v>2442</v>
      </c>
      <c r="R1505">
        <v>52.614329999999995</v>
      </c>
    </row>
    <row r="1506" spans="1:18">
      <c r="A1506" t="s">
        <v>992</v>
      </c>
      <c r="B1506" t="s">
        <v>1603</v>
      </c>
      <c r="C1506" t="s">
        <v>994</v>
      </c>
      <c r="D1506">
        <v>119.00000000000001</v>
      </c>
      <c r="E1506" s="128">
        <v>45575</v>
      </c>
      <c r="F1506" s="128">
        <v>47483</v>
      </c>
      <c r="G1506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119.00000000000001</v>
      </c>
      <c r="H1506" s="128" t="str">
        <f t="shared" ca="1" si="23"/>
        <v>YES</v>
      </c>
      <c r="Q1506" t="s">
        <v>2443</v>
      </c>
      <c r="R1506">
        <v>160.36669000000001</v>
      </c>
    </row>
    <row r="1507" spans="1:18">
      <c r="A1507" t="s">
        <v>992</v>
      </c>
      <c r="B1507" t="s">
        <v>1462</v>
      </c>
      <c r="C1507" t="s">
        <v>994</v>
      </c>
      <c r="D1507">
        <v>579</v>
      </c>
      <c r="E1507" s="128">
        <v>45579</v>
      </c>
      <c r="F1507" s="128">
        <v>47483</v>
      </c>
      <c r="G1507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579</v>
      </c>
      <c r="H1507" s="128" t="str">
        <f t="shared" ca="1" si="23"/>
        <v>YES</v>
      </c>
      <c r="Q1507" t="s">
        <v>2444</v>
      </c>
      <c r="R1507">
        <v>155.86919</v>
      </c>
    </row>
    <row r="1508" spans="1:18">
      <c r="A1508" t="s">
        <v>992</v>
      </c>
      <c r="B1508" t="s">
        <v>1337</v>
      </c>
      <c r="C1508" t="s">
        <v>994</v>
      </c>
      <c r="D1508">
        <v>557.59999999999991</v>
      </c>
      <c r="E1508" s="128">
        <v>45580</v>
      </c>
      <c r="F1508" s="128">
        <v>47483</v>
      </c>
      <c r="G1508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557.59999999999991</v>
      </c>
      <c r="H1508" s="128" t="str">
        <f t="shared" ca="1" si="23"/>
        <v>YES</v>
      </c>
      <c r="Q1508" t="s">
        <v>2445</v>
      </c>
      <c r="R1508">
        <v>154.16586999999998</v>
      </c>
    </row>
    <row r="1509" spans="1:18">
      <c r="A1509" t="s">
        <v>992</v>
      </c>
      <c r="B1509" t="s">
        <v>1374</v>
      </c>
      <c r="C1509" t="s">
        <v>994</v>
      </c>
      <c r="D1509">
        <v>547.54000000000008</v>
      </c>
      <c r="E1509" s="128">
        <v>45587</v>
      </c>
      <c r="F1509" s="128">
        <v>47483</v>
      </c>
      <c r="G1509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547.54000000000008</v>
      </c>
      <c r="H1509" s="128" t="str">
        <f t="shared" ca="1" si="23"/>
        <v>YES</v>
      </c>
      <c r="Q1509" t="s">
        <v>2446</v>
      </c>
      <c r="R1509">
        <v>152.87985</v>
      </c>
    </row>
    <row r="1510" spans="1:18">
      <c r="A1510" t="s">
        <v>992</v>
      </c>
      <c r="B1510" t="s">
        <v>1464</v>
      </c>
      <c r="C1510" t="s">
        <v>994</v>
      </c>
      <c r="D1510">
        <v>384</v>
      </c>
      <c r="E1510" s="128">
        <v>45614</v>
      </c>
      <c r="F1510" s="128">
        <v>47483</v>
      </c>
      <c r="G1510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384</v>
      </c>
      <c r="H1510" s="128" t="str">
        <f t="shared" ca="1" si="23"/>
        <v>YES</v>
      </c>
      <c r="Q1510" t="s">
        <v>2447</v>
      </c>
      <c r="R1510">
        <v>225.49063999999998</v>
      </c>
    </row>
    <row r="1511" spans="1:18">
      <c r="A1511" t="s">
        <v>992</v>
      </c>
      <c r="B1511" t="s">
        <v>1720</v>
      </c>
      <c r="C1511" t="s">
        <v>994</v>
      </c>
      <c r="D1511">
        <v>243</v>
      </c>
      <c r="E1511" s="128">
        <v>45625</v>
      </c>
      <c r="F1511" s="128">
        <v>47483</v>
      </c>
      <c r="G1511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243</v>
      </c>
      <c r="H1511" s="128" t="str">
        <f t="shared" ca="1" si="23"/>
        <v>YES</v>
      </c>
      <c r="Q1511" t="s">
        <v>2448</v>
      </c>
      <c r="R1511">
        <v>327.86075</v>
      </c>
    </row>
    <row r="1512" spans="1:18">
      <c r="A1512" t="s">
        <v>992</v>
      </c>
      <c r="B1512" t="s">
        <v>1720</v>
      </c>
      <c r="C1512" t="s">
        <v>994</v>
      </c>
      <c r="D1512">
        <v>175</v>
      </c>
      <c r="E1512" s="128">
        <v>45625</v>
      </c>
      <c r="F1512" s="128">
        <v>47483</v>
      </c>
      <c r="G1512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175</v>
      </c>
      <c r="H1512" s="128" t="str">
        <f t="shared" ca="1" si="23"/>
        <v>YES</v>
      </c>
      <c r="Q1512" t="s">
        <v>2449</v>
      </c>
      <c r="R1512">
        <v>55.588520000000003</v>
      </c>
    </row>
    <row r="1513" spans="1:18">
      <c r="A1513" t="s">
        <v>992</v>
      </c>
      <c r="B1513" t="s">
        <v>1470</v>
      </c>
      <c r="C1513" t="s">
        <v>994</v>
      </c>
      <c r="D1513">
        <v>766</v>
      </c>
      <c r="E1513" s="128">
        <v>45628</v>
      </c>
      <c r="F1513" s="128">
        <v>47483</v>
      </c>
      <c r="G1513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766</v>
      </c>
      <c r="H1513" s="128" t="str">
        <f t="shared" ca="1" si="23"/>
        <v>YES</v>
      </c>
      <c r="Q1513" t="s">
        <v>2450</v>
      </c>
      <c r="R1513">
        <v>151.98304000000002</v>
      </c>
    </row>
    <row r="1514" spans="1:18">
      <c r="A1514" t="s">
        <v>992</v>
      </c>
      <c r="B1514" t="s">
        <v>1470</v>
      </c>
      <c r="C1514" t="s">
        <v>994</v>
      </c>
      <c r="D1514">
        <v>725.6</v>
      </c>
      <c r="E1514" s="128">
        <v>45628</v>
      </c>
      <c r="F1514" s="128">
        <v>47483</v>
      </c>
      <c r="G1514" s="399">
        <f>IF(Táblázat_SEI_Interconnect_ÉLES_ne_haszn_Price_List_Line_437dbf0e_84ff_417a_965d_ed2bb96507[[#This Row],[Currency Code]]="USD",Táblázat_SEI_Interconnect_ÉLES_ne_haszn_Price_List_Line_437dbf0e_84ff_417a_965d_ed2bb96507[[#This Row],[Unit Price]]*0.88,Táblázat_SEI_Interconnect_ÉLES_ne_haszn_Price_List_Line_437dbf0e_84ff_417a_965d_ed2bb96507[[#This Row],[Unit Price]])</f>
        <v>725.6</v>
      </c>
      <c r="H1514" s="128" t="str">
        <f t="shared" ca="1" si="23"/>
        <v>YES</v>
      </c>
      <c r="Q1514" t="s">
        <v>2451</v>
      </c>
      <c r="R1514">
        <v>72.137</v>
      </c>
    </row>
    <row r="1515" spans="1:18">
      <c r="Q1515" t="s">
        <v>2452</v>
      </c>
      <c r="R1515">
        <v>106.51100000000001</v>
      </c>
    </row>
    <row r="1516" spans="1:18">
      <c r="Q1516" t="s">
        <v>2453</v>
      </c>
      <c r="R1516">
        <v>365.01666</v>
      </c>
    </row>
    <row r="1517" spans="1:18">
      <c r="Q1517" t="s">
        <v>2454</v>
      </c>
      <c r="R1517">
        <v>361.97753999999998</v>
      </c>
    </row>
    <row r="1518" spans="1:18">
      <c r="Q1518" t="s">
        <v>2455</v>
      </c>
      <c r="R1518">
        <v>564.37791000000004</v>
      </c>
    </row>
    <row r="1519" spans="1:18">
      <c r="Q1519" t="s">
        <v>2456</v>
      </c>
      <c r="R1519">
        <v>359.22622000000001</v>
      </c>
    </row>
    <row r="1520" spans="1:18">
      <c r="Q1520" t="s">
        <v>2457</v>
      </c>
      <c r="R1520">
        <v>251.76854</v>
      </c>
    </row>
    <row r="1521" spans="17:18">
      <c r="Q1521" t="s">
        <v>2458</v>
      </c>
      <c r="R1521">
        <v>348.84419000000003</v>
      </c>
    </row>
    <row r="1522" spans="17:18">
      <c r="Q1522" t="s">
        <v>2459</v>
      </c>
      <c r="R1522">
        <v>323.94066999999995</v>
      </c>
    </row>
    <row r="1523" spans="17:18">
      <c r="Q1523" t="s">
        <v>2460</v>
      </c>
      <c r="R1523">
        <v>132.38781</v>
      </c>
    </row>
    <row r="1524" spans="17:18">
      <c r="Q1524" t="s">
        <v>2461</v>
      </c>
      <c r="R1524">
        <v>99.195179999999993</v>
      </c>
    </row>
    <row r="1525" spans="17:18">
      <c r="Q1525" t="s">
        <v>2462</v>
      </c>
      <c r="R1525">
        <v>317.95299</v>
      </c>
    </row>
    <row r="1526" spans="17:18">
      <c r="Q1526" t="s">
        <v>2463</v>
      </c>
      <c r="R1526">
        <v>281.59139000000005</v>
      </c>
    </row>
    <row r="1527" spans="17:18">
      <c r="Q1527" t="s">
        <v>2464</v>
      </c>
      <c r="R1527">
        <v>213.18165999999999</v>
      </c>
    </row>
    <row r="1528" spans="17:18">
      <c r="Q1528" t="s">
        <v>2465</v>
      </c>
      <c r="R1528">
        <v>288.65926000000002</v>
      </c>
    </row>
    <row r="1529" spans="17:18">
      <c r="Q1529" t="s">
        <v>2466</v>
      </c>
      <c r="R1529">
        <v>283.14870999999999</v>
      </c>
    </row>
    <row r="1530" spans="17:18">
      <c r="Q1530" t="s">
        <v>2467</v>
      </c>
      <c r="R1530">
        <v>49.750039999999998</v>
      </c>
    </row>
    <row r="1531" spans="17:18">
      <c r="Q1531" t="s">
        <v>2468</v>
      </c>
      <c r="R1531">
        <v>199.72231000000002</v>
      </c>
    </row>
    <row r="1532" spans="17:18">
      <c r="Q1532" t="s">
        <v>2469</v>
      </c>
      <c r="R1532">
        <v>243.14132000000001</v>
      </c>
    </row>
    <row r="1533" spans="17:18">
      <c r="Q1533" t="s">
        <v>2470</v>
      </c>
      <c r="R1533">
        <v>242.95735000000002</v>
      </c>
    </row>
    <row r="1534" spans="17:18">
      <c r="Q1534" t="s">
        <v>2471</v>
      </c>
      <c r="R1534">
        <v>162.44954999999999</v>
      </c>
    </row>
    <row r="1535" spans="17:18">
      <c r="Q1535" t="s">
        <v>2472</v>
      </c>
      <c r="R1535">
        <v>405.23320000000001</v>
      </c>
    </row>
    <row r="1536" spans="17:18">
      <c r="Q1536" t="s">
        <v>2473</v>
      </c>
      <c r="R1536">
        <v>194.31531000000001</v>
      </c>
    </row>
    <row r="1537" spans="17:18">
      <c r="Q1537" t="s">
        <v>2474</v>
      </c>
      <c r="R1537">
        <v>273.15178000000003</v>
      </c>
    </row>
    <row r="1538" spans="17:18">
      <c r="Q1538" t="s">
        <v>2475</v>
      </c>
      <c r="R1538">
        <v>585.03209000000004</v>
      </c>
    </row>
    <row r="1539" spans="17:18">
      <c r="Q1539" t="s">
        <v>2476</v>
      </c>
      <c r="R1539">
        <v>520.09551999999996</v>
      </c>
    </row>
    <row r="1540" spans="17:18">
      <c r="Q1540" t="s">
        <v>2477</v>
      </c>
      <c r="R1540">
        <v>127.73546</v>
      </c>
    </row>
    <row r="1541" spans="17:18">
      <c r="Q1541" t="s">
        <v>2478</v>
      </c>
      <c r="R1541">
        <v>169.68753999999998</v>
      </c>
    </row>
    <row r="1542" spans="17:18">
      <c r="Q1542" t="s">
        <v>2479</v>
      </c>
      <c r="R1542">
        <v>168.07722000000001</v>
      </c>
    </row>
    <row r="1543" spans="17:18">
      <c r="Q1543" t="s">
        <v>2480</v>
      </c>
      <c r="R1543">
        <v>48.134359999999994</v>
      </c>
    </row>
    <row r="1544" spans="17:18">
      <c r="Q1544" t="s">
        <v>2481</v>
      </c>
      <c r="R1544">
        <v>196.86332999999999</v>
      </c>
    </row>
    <row r="1545" spans="17:18">
      <c r="Q1545" t="s">
        <v>2482</v>
      </c>
      <c r="R1545">
        <v>126.70617999999999</v>
      </c>
    </row>
    <row r="1546" spans="17:18">
      <c r="Q1546" t="s">
        <v>2483</v>
      </c>
      <c r="R1546">
        <v>152.78075999999999</v>
      </c>
    </row>
    <row r="1547" spans="17:18">
      <c r="Q1547" t="s">
        <v>2484</v>
      </c>
      <c r="R1547">
        <v>144.13312999999999</v>
      </c>
    </row>
    <row r="1548" spans="17:18">
      <c r="Q1548" t="s">
        <v>2485</v>
      </c>
      <c r="R1548">
        <v>143.64651000000001</v>
      </c>
    </row>
    <row r="1549" spans="17:18">
      <c r="Q1549" t="s">
        <v>2486</v>
      </c>
      <c r="R1549">
        <v>96.895700000000005</v>
      </c>
    </row>
    <row r="1550" spans="17:18">
      <c r="Q1550" t="s">
        <v>2487</v>
      </c>
      <c r="R1550">
        <v>136.76420000000002</v>
      </c>
    </row>
    <row r="1551" spans="17:18">
      <c r="Q1551" t="s">
        <v>2488</v>
      </c>
      <c r="R1551">
        <v>930.45744999999999</v>
      </c>
    </row>
    <row r="1552" spans="17:18">
      <c r="Q1552" t="s">
        <v>2489</v>
      </c>
      <c r="R1552">
        <v>50.68271</v>
      </c>
    </row>
    <row r="1553" spans="17:18">
      <c r="Q1553" t="s">
        <v>2490</v>
      </c>
      <c r="R1553">
        <v>158.81617</v>
      </c>
    </row>
    <row r="1554" spans="17:18">
      <c r="Q1554" t="s">
        <v>2491</v>
      </c>
      <c r="R1554">
        <v>121.77251</v>
      </c>
    </row>
    <row r="1555" spans="17:18">
      <c r="Q1555" t="s">
        <v>2492</v>
      </c>
      <c r="R1555">
        <v>273.60572000000002</v>
      </c>
    </row>
    <row r="1556" spans="17:18">
      <c r="Q1556" t="s">
        <v>2493</v>
      </c>
      <c r="R1556">
        <v>114.47559</v>
      </c>
    </row>
    <row r="1557" spans="17:18">
      <c r="Q1557" t="s">
        <v>2494</v>
      </c>
      <c r="R1557">
        <v>247.01123000000001</v>
      </c>
    </row>
    <row r="1558" spans="17:18">
      <c r="Q1558" t="s">
        <v>2495</v>
      </c>
      <c r="R1558">
        <v>193.69370000000001</v>
      </c>
    </row>
    <row r="1559" spans="17:18">
      <c r="Q1559" t="s">
        <v>2496</v>
      </c>
      <c r="R1559">
        <v>50.460300000000004</v>
      </c>
    </row>
    <row r="1560" spans="17:18">
      <c r="Q1560" t="s">
        <v>2497</v>
      </c>
      <c r="R1560">
        <v>365.70152999999999</v>
      </c>
    </row>
    <row r="1561" spans="17:18">
      <c r="Q1561" t="s">
        <v>2498</v>
      </c>
      <c r="R1561">
        <v>192.29761000000002</v>
      </c>
    </row>
    <row r="1562" spans="17:18">
      <c r="Q1562" t="s">
        <v>2499</v>
      </c>
      <c r="R1562">
        <v>185.13325</v>
      </c>
    </row>
    <row r="1563" spans="17:18">
      <c r="Q1563" t="s">
        <v>2500</v>
      </c>
      <c r="R1563">
        <v>823.72895000000005</v>
      </c>
    </row>
    <row r="1564" spans="17:18">
      <c r="Q1564" t="s">
        <v>2501</v>
      </c>
      <c r="R1564">
        <v>626.79644999999994</v>
      </c>
    </row>
    <row r="1565" spans="17:18">
      <c r="Q1565" t="s">
        <v>2502</v>
      </c>
      <c r="R1565">
        <v>351.85406999999998</v>
      </c>
    </row>
    <row r="1566" spans="17:18">
      <c r="Q1566" t="s">
        <v>2503</v>
      </c>
      <c r="R1566">
        <v>255.8604</v>
      </c>
    </row>
    <row r="1567" spans="17:18">
      <c r="Q1567" t="s">
        <v>2504</v>
      </c>
      <c r="R1567">
        <v>235.26784000000001</v>
      </c>
    </row>
    <row r="1568" spans="17:18">
      <c r="Q1568" t="s">
        <v>2505</v>
      </c>
      <c r="R1568">
        <v>373.78552000000002</v>
      </c>
    </row>
    <row r="1569" spans="17:18">
      <c r="Q1569" t="s">
        <v>2506</v>
      </c>
      <c r="R1569">
        <v>223.04640000000001</v>
      </c>
    </row>
    <row r="1570" spans="17:18">
      <c r="Q1570" t="s">
        <v>2507</v>
      </c>
      <c r="R1570">
        <v>327.64272999999997</v>
      </c>
    </row>
    <row r="1571" spans="17:18">
      <c r="Q1571" t="s">
        <v>2508</v>
      </c>
      <c r="R1571">
        <v>343.36907000000002</v>
      </c>
    </row>
    <row r="1572" spans="17:18">
      <c r="Q1572" t="s">
        <v>2509</v>
      </c>
      <c r="R1572">
        <v>216.72873999999999</v>
      </c>
    </row>
    <row r="1573" spans="17:18">
      <c r="Q1573" t="s">
        <v>2510</v>
      </c>
      <c r="R1573">
        <v>282.09129000000001</v>
      </c>
    </row>
    <row r="1574" spans="17:18">
      <c r="Q1574" t="s">
        <v>2511</v>
      </c>
      <c r="R1574">
        <v>225.20013</v>
      </c>
    </row>
    <row r="1575" spans="17:18">
      <c r="Q1575" t="s">
        <v>2512</v>
      </c>
      <c r="R1575">
        <v>225.16964999999999</v>
      </c>
    </row>
    <row r="1576" spans="17:18">
      <c r="Q1576" t="s">
        <v>2513</v>
      </c>
      <c r="R1576">
        <v>169.48286000000002</v>
      </c>
    </row>
    <row r="1577" spans="17:18">
      <c r="Q1577" t="s">
        <v>2514</v>
      </c>
      <c r="R1577">
        <v>399.65469000000002</v>
      </c>
    </row>
    <row r="1578" spans="17:18">
      <c r="Q1578" t="s">
        <v>2515</v>
      </c>
      <c r="R1578">
        <v>313.22505999999998</v>
      </c>
    </row>
    <row r="1579" spans="17:18">
      <c r="Q1579" t="s">
        <v>2516</v>
      </c>
      <c r="R1579">
        <v>201.93589999999998</v>
      </c>
    </row>
    <row r="1580" spans="17:18">
      <c r="Q1580" t="s">
        <v>2517</v>
      </c>
      <c r="R1580">
        <v>443.79804999999993</v>
      </c>
    </row>
    <row r="1581" spans="17:18">
      <c r="Q1581" t="s">
        <v>2518</v>
      </c>
      <c r="R1581">
        <v>177.46895000000001</v>
      </c>
    </row>
    <row r="1582" spans="17:18">
      <c r="Q1582" t="s">
        <v>2519</v>
      </c>
      <c r="R1582">
        <v>223.67616999999998</v>
      </c>
    </row>
    <row r="1583" spans="17:18">
      <c r="Q1583" t="s">
        <v>2520</v>
      </c>
      <c r="R1583">
        <v>229.95741999999998</v>
      </c>
    </row>
    <row r="1584" spans="17:18">
      <c r="Q1584" t="s">
        <v>2521</v>
      </c>
      <c r="R1584">
        <v>89.179320000000004</v>
      </c>
    </row>
    <row r="1585" spans="17:18">
      <c r="Q1585" t="s">
        <v>2522</v>
      </c>
      <c r="R1585">
        <v>573.69335999999998</v>
      </c>
    </row>
    <row r="1586" spans="17:18">
      <c r="Q1586" t="s">
        <v>2523</v>
      </c>
      <c r="R1586">
        <v>174.06399000000002</v>
      </c>
    </row>
    <row r="1587" spans="17:18">
      <c r="Q1587" t="s">
        <v>2524</v>
      </c>
      <c r="R1587">
        <v>153.99250000000001</v>
      </c>
    </row>
    <row r="1588" spans="17:18">
      <c r="Q1588" t="s">
        <v>2525</v>
      </c>
      <c r="R1588">
        <v>224.41679999999999</v>
      </c>
    </row>
    <row r="1589" spans="17:18">
      <c r="Q1589" t="s">
        <v>2526</v>
      </c>
      <c r="R1589">
        <v>144.83360999999999</v>
      </c>
    </row>
    <row r="1590" spans="17:18">
      <c r="Q1590" t="s">
        <v>2527</v>
      </c>
      <c r="R1590">
        <v>154.70976999999999</v>
      </c>
    </row>
    <row r="1591" spans="17:18">
      <c r="Q1591" t="s">
        <v>2528</v>
      </c>
      <c r="R1591">
        <v>162.86103</v>
      </c>
    </row>
    <row r="1592" spans="17:18">
      <c r="Q1592" t="s">
        <v>2529</v>
      </c>
      <c r="R1592">
        <v>208.7</v>
      </c>
    </row>
    <row r="1593" spans="17:18">
      <c r="Q1593" t="s">
        <v>2530</v>
      </c>
      <c r="R1593">
        <v>146.52616</v>
      </c>
    </row>
    <row r="1594" spans="17:18">
      <c r="Q1594" t="s">
        <v>2531</v>
      </c>
      <c r="R1594">
        <v>1348.77502</v>
      </c>
    </row>
    <row r="1595" spans="17:18">
      <c r="Q1595" t="s">
        <v>2532</v>
      </c>
      <c r="R1595">
        <v>422.01788000000005</v>
      </c>
    </row>
    <row r="1596" spans="17:18">
      <c r="Q1596" t="s">
        <v>2533</v>
      </c>
      <c r="R1596">
        <v>130.26033999999999</v>
      </c>
    </row>
    <row r="1597" spans="17:18">
      <c r="Q1597" t="s">
        <v>2534</v>
      </c>
      <c r="R1597">
        <v>74.714230000000001</v>
      </c>
    </row>
    <row r="1598" spans="17:18">
      <c r="Q1598" t="s">
        <v>2535</v>
      </c>
      <c r="R1598">
        <v>287.13315</v>
      </c>
    </row>
    <row r="1599" spans="17:18">
      <c r="Q1599" t="s">
        <v>2536</v>
      </c>
      <c r="R1599">
        <v>362.10386999999997</v>
      </c>
    </row>
    <row r="1600" spans="17:18">
      <c r="Q1600" t="s">
        <v>2537</v>
      </c>
      <c r="R1600">
        <v>236.35414</v>
      </c>
    </row>
    <row r="1601" spans="17:18">
      <c r="Q1601" t="s">
        <v>2538</v>
      </c>
      <c r="R1601">
        <v>376.98608999999999</v>
      </c>
    </row>
    <row r="1602" spans="17:18">
      <c r="Q1602" t="s">
        <v>2539</v>
      </c>
      <c r="R1602">
        <v>365.5</v>
      </c>
    </row>
    <row r="1603" spans="17:18">
      <c r="Q1603" t="s">
        <v>2540</v>
      </c>
      <c r="R1603">
        <v>270.5</v>
      </c>
    </row>
    <row r="1604" spans="17:18">
      <c r="Q1604" t="s">
        <v>2541</v>
      </c>
      <c r="R1604">
        <v>334.20839000000001</v>
      </c>
    </row>
    <row r="1605" spans="17:18">
      <c r="Q1605" t="s">
        <v>2542</v>
      </c>
      <c r="R1605">
        <v>304.15983999999997</v>
      </c>
    </row>
    <row r="1606" spans="17:18">
      <c r="Q1606" t="s">
        <v>2543</v>
      </c>
      <c r="R1606">
        <v>301.58334000000002</v>
      </c>
    </row>
    <row r="1607" spans="17:18">
      <c r="Q1607" t="s">
        <v>2544</v>
      </c>
      <c r="R1607">
        <v>73.045990000000003</v>
      </c>
    </row>
    <row r="1608" spans="17:18">
      <c r="Q1608" t="s">
        <v>2545</v>
      </c>
      <c r="R1608">
        <v>283.87855000000002</v>
      </c>
    </row>
    <row r="1609" spans="17:18">
      <c r="Q1609" t="s">
        <v>2546</v>
      </c>
      <c r="R1609">
        <v>558.87245000000007</v>
      </c>
    </row>
    <row r="1610" spans="17:18">
      <c r="Q1610" t="s">
        <v>2547</v>
      </c>
      <c r="R1610">
        <v>57.423840000000006</v>
      </c>
    </row>
    <row r="1611" spans="17:18">
      <c r="Q1611" t="s">
        <v>2548</v>
      </c>
      <c r="R1611">
        <v>106.84661</v>
      </c>
    </row>
    <row r="1612" spans="17:18">
      <c r="Q1612" t="s">
        <v>2549</v>
      </c>
      <c r="R1612">
        <v>115.90656</v>
      </c>
    </row>
    <row r="1613" spans="17:18">
      <c r="Q1613" t="s">
        <v>2550</v>
      </c>
      <c r="R1613">
        <v>696.9905</v>
      </c>
    </row>
    <row r="1614" spans="17:18">
      <c r="Q1614" t="s">
        <v>2551</v>
      </c>
      <c r="R1614">
        <v>145.94747999999998</v>
      </c>
    </row>
    <row r="1615" spans="17:18">
      <c r="Q1615" t="s">
        <v>2552</v>
      </c>
      <c r="R1615">
        <v>174.49152999999998</v>
      </c>
    </row>
    <row r="1616" spans="17:18">
      <c r="Q1616" t="s">
        <v>2553</v>
      </c>
      <c r="R1616">
        <v>273.65858000000003</v>
      </c>
    </row>
    <row r="1617" spans="17:18">
      <c r="Q1617" t="s">
        <v>2554</v>
      </c>
      <c r="R1617">
        <v>154.81004000000001</v>
      </c>
    </row>
    <row r="1618" spans="17:18">
      <c r="Q1618" t="s">
        <v>2555</v>
      </c>
      <c r="R1618">
        <v>316.87116000000003</v>
      </c>
    </row>
    <row r="1619" spans="17:18">
      <c r="Q1619" t="s">
        <v>2556</v>
      </c>
      <c r="R1619">
        <v>567.30999999999995</v>
      </c>
    </row>
    <row r="1620" spans="17:18">
      <c r="Q1620" t="s">
        <v>2557</v>
      </c>
      <c r="R1620">
        <v>780.66000000000008</v>
      </c>
    </row>
    <row r="1621" spans="17:18">
      <c r="Q1621" t="s">
        <v>2558</v>
      </c>
      <c r="R1621">
        <v>152.17862</v>
      </c>
    </row>
    <row r="1622" spans="17:18">
      <c r="Q1622" t="s">
        <v>2559</v>
      </c>
      <c r="R1622">
        <v>125.51176000000001</v>
      </c>
    </row>
    <row r="1623" spans="17:18">
      <c r="Q1623" t="s">
        <v>2560</v>
      </c>
      <c r="R1623">
        <v>196.08131</v>
      </c>
    </row>
    <row r="1624" spans="17:18">
      <c r="Q1624" t="s">
        <v>2561</v>
      </c>
      <c r="R1624">
        <v>223.73000000000002</v>
      </c>
    </row>
    <row r="1625" spans="17:18">
      <c r="Q1625" t="s">
        <v>2562</v>
      </c>
      <c r="R1625">
        <v>188.81934000000001</v>
      </c>
    </row>
    <row r="1626" spans="17:18">
      <c r="Q1626" t="s">
        <v>2563</v>
      </c>
      <c r="R1626">
        <v>110.94183</v>
      </c>
    </row>
    <row r="1627" spans="17:18">
      <c r="Q1627" t="s">
        <v>2564</v>
      </c>
      <c r="R1627">
        <v>117.23899</v>
      </c>
    </row>
    <row r="1628" spans="17:18">
      <c r="Q1628" t="s">
        <v>2565</v>
      </c>
      <c r="R1628">
        <v>385.53385000000003</v>
      </c>
    </row>
    <row r="1629" spans="17:18">
      <c r="Q1629" t="s">
        <v>2566</v>
      </c>
      <c r="R1629">
        <v>295.41442000000001</v>
      </c>
    </row>
    <row r="1630" spans="17:18">
      <c r="Q1630" t="s">
        <v>2567</v>
      </c>
      <c r="R1630">
        <v>336.89072999999996</v>
      </c>
    </row>
    <row r="1631" spans="17:18">
      <c r="Q1631" t="s">
        <v>2568</v>
      </c>
      <c r="R1631">
        <v>194.70464999999999</v>
      </c>
    </row>
    <row r="1632" spans="17:18">
      <c r="Q1632" t="s">
        <v>2569</v>
      </c>
      <c r="R1632">
        <v>156.80119999999999</v>
      </c>
    </row>
    <row r="1633" spans="17:18">
      <c r="Q1633" t="s">
        <v>2570</v>
      </c>
      <c r="R1633">
        <v>156.52898999999999</v>
      </c>
    </row>
    <row r="1634" spans="17:18">
      <c r="Q1634" t="s">
        <v>2571</v>
      </c>
      <c r="R1634">
        <v>145.91956999999999</v>
      </c>
    </row>
    <row r="1635" spans="17:18">
      <c r="Q1635" t="s">
        <v>2572</v>
      </c>
      <c r="R1635">
        <v>150.27449000000001</v>
      </c>
    </row>
    <row r="1636" spans="17:18">
      <c r="Q1636" t="s">
        <v>2573</v>
      </c>
      <c r="R1636">
        <v>304.68529999999998</v>
      </c>
    </row>
    <row r="1637" spans="17:18">
      <c r="Q1637" t="s">
        <v>2574</v>
      </c>
      <c r="R1637">
        <v>495.64060999999998</v>
      </c>
    </row>
    <row r="1638" spans="17:18">
      <c r="Q1638" t="s">
        <v>2575</v>
      </c>
      <c r="R1638">
        <v>324.96132</v>
      </c>
    </row>
    <row r="1639" spans="17:18">
      <c r="Q1639" t="s">
        <v>2576</v>
      </c>
      <c r="R1639">
        <v>223.70150999999998</v>
      </c>
    </row>
    <row r="1640" spans="17:18">
      <c r="Q1640" t="s">
        <v>2577</v>
      </c>
      <c r="R1640">
        <v>142.83514</v>
      </c>
    </row>
    <row r="1641" spans="17:18">
      <c r="Q1641" t="s">
        <v>2578</v>
      </c>
      <c r="R1641">
        <v>171.65107</v>
      </c>
    </row>
    <row r="1642" spans="17:18">
      <c r="Q1642" t="s">
        <v>2579</v>
      </c>
      <c r="R1642">
        <v>195.46799000000001</v>
      </c>
    </row>
    <row r="1643" spans="17:18">
      <c r="Q1643" t="s">
        <v>2580</v>
      </c>
      <c r="R1643">
        <v>169.25627</v>
      </c>
    </row>
    <row r="1644" spans="17:18">
      <c r="Q1644" t="s">
        <v>2581</v>
      </c>
      <c r="R1644">
        <v>175.58744999999999</v>
      </c>
    </row>
    <row r="1645" spans="17:18">
      <c r="Q1645" t="s">
        <v>2582</v>
      </c>
      <c r="R1645">
        <v>221.41103000000001</v>
      </c>
    </row>
    <row r="1646" spans="17:18">
      <c r="Q1646" t="s">
        <v>2583</v>
      </c>
      <c r="R1646">
        <v>249.93333999999999</v>
      </c>
    </row>
    <row r="1647" spans="17:18">
      <c r="Q1647" t="s">
        <v>2584</v>
      </c>
      <c r="R1647">
        <v>78.963419999999999</v>
      </c>
    </row>
    <row r="1648" spans="17:18">
      <c r="Q1648" t="s">
        <v>2585</v>
      </c>
      <c r="R1648">
        <v>143.16747000000001</v>
      </c>
    </row>
    <row r="1649" spans="17:18">
      <c r="Q1649" t="s">
        <v>2586</v>
      </c>
      <c r="R1649">
        <v>180.32069000000001</v>
      </c>
    </row>
    <row r="1650" spans="17:18">
      <c r="Q1650" t="s">
        <v>2587</v>
      </c>
      <c r="R1650">
        <v>74.880040000000008</v>
      </c>
    </row>
    <row r="1651" spans="17:18">
      <c r="Q1651" t="s">
        <v>2588</v>
      </c>
      <c r="R1651">
        <v>85.360219999999998</v>
      </c>
    </row>
    <row r="1652" spans="17:18">
      <c r="Q1652" t="s">
        <v>2589</v>
      </c>
      <c r="R1652">
        <v>143.15440000000001</v>
      </c>
    </row>
    <row r="1653" spans="17:18">
      <c r="Q1653" t="s">
        <v>2590</v>
      </c>
      <c r="R1653">
        <v>371.50099</v>
      </c>
    </row>
    <row r="1654" spans="17:18">
      <c r="Q1654" t="s">
        <v>2591</v>
      </c>
      <c r="R1654">
        <v>187.50837999999999</v>
      </c>
    </row>
    <row r="1655" spans="17:18">
      <c r="Q1655" t="s">
        <v>2592</v>
      </c>
      <c r="R1655">
        <v>437.45392000000004</v>
      </c>
    </row>
    <row r="1656" spans="17:18">
      <c r="Q1656" t="s">
        <v>2593</v>
      </c>
      <c r="R1656">
        <v>112.32203999999999</v>
      </c>
    </row>
    <row r="1657" spans="17:18">
      <c r="Q1657" t="s">
        <v>2594</v>
      </c>
      <c r="R1657">
        <v>114.25612</v>
      </c>
    </row>
    <row r="1658" spans="17:18">
      <c r="Q1658" t="s">
        <v>2595</v>
      </c>
      <c r="R1658">
        <v>145.72525999999999</v>
      </c>
    </row>
    <row r="1659" spans="17:18">
      <c r="Q1659" t="s">
        <v>2596</v>
      </c>
      <c r="R1659">
        <v>56.560200000000002</v>
      </c>
    </row>
    <row r="1660" spans="17:18">
      <c r="Q1660" t="s">
        <v>2597</v>
      </c>
      <c r="R1660">
        <v>74.469360000000009</v>
      </c>
    </row>
    <row r="1661" spans="17:18">
      <c r="Q1661" t="s">
        <v>2598</v>
      </c>
      <c r="R1661">
        <v>68.104560000000006</v>
      </c>
    </row>
    <row r="1662" spans="17:18">
      <c r="Q1662" t="s">
        <v>2599</v>
      </c>
      <c r="R1662">
        <v>112.69065999999999</v>
      </c>
    </row>
    <row r="1663" spans="17:18">
      <c r="Q1663" t="s">
        <v>2600</v>
      </c>
      <c r="R1663">
        <v>73.094399999999993</v>
      </c>
    </row>
    <row r="1664" spans="17:18">
      <c r="Q1664" t="s">
        <v>2601</v>
      </c>
      <c r="R1664">
        <v>85.494649999999993</v>
      </c>
    </row>
    <row r="1665" spans="17:18">
      <c r="Q1665" t="s">
        <v>2602</v>
      </c>
      <c r="R1665">
        <v>459.77645000000001</v>
      </c>
    </row>
    <row r="1666" spans="17:18">
      <c r="Q1666" t="s">
        <v>2603</v>
      </c>
      <c r="R1666">
        <v>466.53222999999997</v>
      </c>
    </row>
    <row r="1667" spans="17:18">
      <c r="Q1667" t="s">
        <v>2604</v>
      </c>
      <c r="R1667">
        <v>62.841359999999995</v>
      </c>
    </row>
    <row r="1668" spans="17:18">
      <c r="Q1668" t="s">
        <v>2605</v>
      </c>
      <c r="R1668">
        <v>67.964030000000008</v>
      </c>
    </row>
    <row r="1669" spans="17:18">
      <c r="Q1669" t="s">
        <v>2606</v>
      </c>
      <c r="R1669">
        <v>157.46182999999999</v>
      </c>
    </row>
    <row r="1670" spans="17:18">
      <c r="Q1670" t="s">
        <v>2607</v>
      </c>
      <c r="R1670">
        <v>141.33888999999999</v>
      </c>
    </row>
    <row r="1671" spans="17:18">
      <c r="Q1671" t="s">
        <v>2608</v>
      </c>
      <c r="R1671">
        <v>168.02708000000001</v>
      </c>
    </row>
    <row r="1672" spans="17:18">
      <c r="Q1672" t="s">
        <v>2609</v>
      </c>
      <c r="R1672">
        <v>275.59050000000002</v>
      </c>
    </row>
    <row r="1673" spans="17:18">
      <c r="Q1673" t="s">
        <v>2610</v>
      </c>
      <c r="R1673">
        <v>315.79577999999998</v>
      </c>
    </row>
    <row r="1674" spans="17:18">
      <c r="Q1674" t="s">
        <v>2611</v>
      </c>
      <c r="R1674">
        <v>101.61321</v>
      </c>
    </row>
    <row r="1675" spans="17:18">
      <c r="Q1675" t="s">
        <v>2612</v>
      </c>
      <c r="R1675">
        <v>138.13758000000001</v>
      </c>
    </row>
    <row r="1676" spans="17:18">
      <c r="Q1676" t="s">
        <v>2613</v>
      </c>
      <c r="R1676">
        <v>117.14861999999999</v>
      </c>
    </row>
    <row r="1677" spans="17:18">
      <c r="Q1677" t="s">
        <v>2614</v>
      </c>
      <c r="R1677">
        <v>103.67317</v>
      </c>
    </row>
    <row r="1678" spans="17:18">
      <c r="Q1678" t="s">
        <v>2615</v>
      </c>
      <c r="R1678">
        <v>390.80840999999998</v>
      </c>
    </row>
    <row r="1679" spans="17:18">
      <c r="Q1679" t="s">
        <v>2616</v>
      </c>
      <c r="R1679">
        <v>214.85203999999999</v>
      </c>
    </row>
    <row r="1680" spans="17:18">
      <c r="Q1680" t="s">
        <v>2617</v>
      </c>
      <c r="R1680">
        <v>266.93234999999999</v>
      </c>
    </row>
    <row r="1681" spans="17:18">
      <c r="Q1681" t="s">
        <v>2618</v>
      </c>
      <c r="R1681">
        <v>116.72936</v>
      </c>
    </row>
    <row r="1682" spans="17:18">
      <c r="Q1682" t="s">
        <v>2619</v>
      </c>
      <c r="R1682">
        <v>126.19790999999999</v>
      </c>
    </row>
    <row r="1683" spans="17:18">
      <c r="Q1683" t="s">
        <v>2620</v>
      </c>
      <c r="R1683">
        <v>137.27156000000002</v>
      </c>
    </row>
    <row r="1684" spans="17:18">
      <c r="Q1684" t="s">
        <v>2621</v>
      </c>
      <c r="R1684">
        <v>146.65097</v>
      </c>
    </row>
    <row r="1685" spans="17:18">
      <c r="Q1685" t="s">
        <v>2622</v>
      </c>
      <c r="R1685">
        <v>217.721</v>
      </c>
    </row>
    <row r="1686" spans="17:18">
      <c r="Q1686" t="s">
        <v>2623</v>
      </c>
      <c r="R1686">
        <v>224.08775999999997</v>
      </c>
    </row>
    <row r="1687" spans="17:18">
      <c r="Q1687" t="s">
        <v>2624</v>
      </c>
      <c r="R1687">
        <v>197.83905000000001</v>
      </c>
    </row>
    <row r="1688" spans="17:18">
      <c r="Q1688" t="s">
        <v>2625</v>
      </c>
      <c r="R1688">
        <v>181.67153999999999</v>
      </c>
    </row>
    <row r="1689" spans="17:18">
      <c r="Q1689" t="s">
        <v>2626</v>
      </c>
      <c r="R1689">
        <v>130.09482</v>
      </c>
    </row>
    <row r="1690" spans="17:18">
      <c r="Q1690" t="s">
        <v>2627</v>
      </c>
      <c r="R1690">
        <v>151.83019000000002</v>
      </c>
    </row>
    <row r="1691" spans="17:18">
      <c r="Q1691" t="s">
        <v>2628</v>
      </c>
      <c r="R1691">
        <v>57.371259999999992</v>
      </c>
    </row>
    <row r="1692" spans="17:18">
      <c r="Q1692" t="s">
        <v>2629</v>
      </c>
      <c r="R1692">
        <v>208.90060000000003</v>
      </c>
    </row>
    <row r="1693" spans="17:18">
      <c r="Q1693" t="s">
        <v>2630</v>
      </c>
      <c r="R1693">
        <v>3398.5935999999997</v>
      </c>
    </row>
    <row r="1694" spans="17:18">
      <c r="Q1694" t="s">
        <v>2631</v>
      </c>
      <c r="R1694">
        <v>3228.0107600000001</v>
      </c>
    </row>
    <row r="1695" spans="17:18">
      <c r="Q1695" t="s">
        <v>2632</v>
      </c>
      <c r="R1695">
        <v>125.11718</v>
      </c>
    </row>
    <row r="1696" spans="17:18">
      <c r="Q1696" t="s">
        <v>2633</v>
      </c>
      <c r="R1696">
        <v>145.98000000000002</v>
      </c>
    </row>
    <row r="1697" spans="17:18">
      <c r="Q1697" t="s">
        <v>2634</v>
      </c>
      <c r="R1697">
        <v>487.51481000000001</v>
      </c>
    </row>
    <row r="1698" spans="17:18">
      <c r="Q1698" t="s">
        <v>2635</v>
      </c>
      <c r="R1698">
        <v>258.85840999999999</v>
      </c>
    </row>
    <row r="1699" spans="17:18">
      <c r="Q1699" t="s">
        <v>2636</v>
      </c>
      <c r="R1699">
        <v>242.98754</v>
      </c>
    </row>
    <row r="1700" spans="17:18">
      <c r="Q1700" t="s">
        <v>2637</v>
      </c>
      <c r="R1700">
        <v>137.32543000000001</v>
      </c>
    </row>
    <row r="1701" spans="17:18">
      <c r="Q1701" t="s">
        <v>2638</v>
      </c>
      <c r="R1701">
        <v>791.38193000000001</v>
      </c>
    </row>
    <row r="1702" spans="17:18">
      <c r="Q1702" t="s">
        <v>2639</v>
      </c>
      <c r="R1702">
        <v>431.61104</v>
      </c>
    </row>
    <row r="1703" spans="17:18">
      <c r="Q1703" t="s">
        <v>2640</v>
      </c>
      <c r="R1703">
        <v>288.99883</v>
      </c>
    </row>
    <row r="1704" spans="17:18">
      <c r="Q1704" t="s">
        <v>2641</v>
      </c>
      <c r="R1704">
        <v>319.09658000000002</v>
      </c>
    </row>
    <row r="1705" spans="17:18">
      <c r="Q1705" t="s">
        <v>2642</v>
      </c>
      <c r="R1705">
        <v>307.40627000000001</v>
      </c>
    </row>
    <row r="1706" spans="17:18">
      <c r="Q1706" t="s">
        <v>2643</v>
      </c>
      <c r="R1706">
        <v>275.50043999999997</v>
      </c>
    </row>
    <row r="1707" spans="17:18">
      <c r="Q1707" t="s">
        <v>2644</v>
      </c>
      <c r="R1707">
        <v>439.90210000000002</v>
      </c>
    </row>
    <row r="1708" spans="17:18">
      <c r="Q1708" t="s">
        <v>2645</v>
      </c>
      <c r="R1708">
        <v>851.60859000000005</v>
      </c>
    </row>
    <row r="1709" spans="17:18">
      <c r="Q1709" t="s">
        <v>2646</v>
      </c>
      <c r="R1709">
        <v>393.10032999999999</v>
      </c>
    </row>
    <row r="1710" spans="17:18">
      <c r="Q1710" t="s">
        <v>2647</v>
      </c>
      <c r="R1710">
        <v>925.45013999999992</v>
      </c>
    </row>
    <row r="1711" spans="17:18">
      <c r="Q1711" t="s">
        <v>2648</v>
      </c>
      <c r="R1711">
        <v>446.26573999999999</v>
      </c>
    </row>
    <row r="1712" spans="17:18">
      <c r="Q1712" t="s">
        <v>2649</v>
      </c>
      <c r="R1712">
        <v>532.73316</v>
      </c>
    </row>
    <row r="1713" spans="17:18">
      <c r="Q1713" t="s">
        <v>2650</v>
      </c>
      <c r="R1713">
        <v>575.31658000000004</v>
      </c>
    </row>
    <row r="1714" spans="17:18">
      <c r="Q1714" t="s">
        <v>2651</v>
      </c>
      <c r="R1714">
        <v>218.04068000000001</v>
      </c>
    </row>
    <row r="1715" spans="17:18">
      <c r="Q1715" t="s">
        <v>2652</v>
      </c>
      <c r="R1715">
        <v>595.63966000000005</v>
      </c>
    </row>
    <row r="1716" spans="17:18">
      <c r="Q1716" t="s">
        <v>2653</v>
      </c>
      <c r="R1716">
        <v>1126.5680299999999</v>
      </c>
    </row>
    <row r="1717" spans="17:18">
      <c r="Q1717" t="s">
        <v>2654</v>
      </c>
      <c r="R1717">
        <v>779.68472999999994</v>
      </c>
    </row>
    <row r="1718" spans="17:18">
      <c r="Q1718" t="s">
        <v>2655</v>
      </c>
      <c r="R1718">
        <v>809.39169000000004</v>
      </c>
    </row>
    <row r="1719" spans="17:18">
      <c r="Q1719" t="s">
        <v>2656</v>
      </c>
      <c r="R1719">
        <v>205.37097</v>
      </c>
    </row>
    <row r="1720" spans="17:18">
      <c r="Q1720" t="s">
        <v>2657</v>
      </c>
      <c r="R1720">
        <v>282.22888999999998</v>
      </c>
    </row>
    <row r="1721" spans="17:18">
      <c r="Q1721" t="s">
        <v>2658</v>
      </c>
      <c r="R1721">
        <v>281.17186000000004</v>
      </c>
    </row>
    <row r="1722" spans="17:18">
      <c r="Q1722" t="s">
        <v>2659</v>
      </c>
      <c r="R1722">
        <v>544.82749999999999</v>
      </c>
    </row>
    <row r="1723" spans="17:18">
      <c r="Q1723" t="s">
        <v>2660</v>
      </c>
      <c r="R1723">
        <v>1290.9995799999999</v>
      </c>
    </row>
    <row r="1724" spans="17:18">
      <c r="Q1724" t="s">
        <v>2661</v>
      </c>
      <c r="R1724">
        <v>731.49176999999997</v>
      </c>
    </row>
    <row r="1725" spans="17:18">
      <c r="Q1725" t="s">
        <v>2662</v>
      </c>
      <c r="R1725">
        <v>1043.4907900000001</v>
      </c>
    </row>
    <row r="1726" spans="17:18">
      <c r="Q1726" t="s">
        <v>2663</v>
      </c>
      <c r="R1726">
        <v>1777.7487000000001</v>
      </c>
    </row>
    <row r="1727" spans="17:18">
      <c r="Q1727" t="s">
        <v>2664</v>
      </c>
      <c r="R1727">
        <v>415.67295999999999</v>
      </c>
    </row>
    <row r="1728" spans="17:18">
      <c r="Q1728" t="s">
        <v>2665</v>
      </c>
      <c r="R1728">
        <v>1305.18452</v>
      </c>
    </row>
    <row r="1729" spans="17:18">
      <c r="Q1729" t="s">
        <v>2666</v>
      </c>
      <c r="R1729">
        <v>859.63085999999998</v>
      </c>
    </row>
    <row r="1730" spans="17:18">
      <c r="Q1730" t="s">
        <v>2667</v>
      </c>
      <c r="R1730">
        <v>1061.55447</v>
      </c>
    </row>
    <row r="1731" spans="17:18">
      <c r="Q1731" t="s">
        <v>2668</v>
      </c>
      <c r="R1731">
        <v>730.64841000000001</v>
      </c>
    </row>
    <row r="1732" spans="17:18">
      <c r="Q1732" t="s">
        <v>2669</v>
      </c>
      <c r="R1732">
        <v>886.22865000000002</v>
      </c>
    </row>
    <row r="1733" spans="17:18">
      <c r="Q1733" t="s">
        <v>2670</v>
      </c>
      <c r="R1733">
        <v>562.79775999999993</v>
      </c>
    </row>
    <row r="1734" spans="17:18">
      <c r="Q1734" t="s">
        <v>2671</v>
      </c>
      <c r="R1734">
        <v>431.41699999999997</v>
      </c>
    </row>
    <row r="1735" spans="17:18">
      <c r="Q1735" t="s">
        <v>2672</v>
      </c>
      <c r="R1735">
        <v>814.34920000000011</v>
      </c>
    </row>
    <row r="1736" spans="17:18">
      <c r="Q1736" t="s">
        <v>2673</v>
      </c>
      <c r="R1736">
        <v>1140.8714599999998</v>
      </c>
    </row>
    <row r="1737" spans="17:18">
      <c r="Q1737" t="s">
        <v>2674</v>
      </c>
      <c r="R1737">
        <v>468.36462</v>
      </c>
    </row>
    <row r="1738" spans="17:18">
      <c r="Q1738" t="s">
        <v>2675</v>
      </c>
      <c r="R1738">
        <v>856.42504999999994</v>
      </c>
    </row>
    <row r="1739" spans="17:18">
      <c r="Q1739" t="s">
        <v>2676</v>
      </c>
      <c r="R1739">
        <v>463.42829</v>
      </c>
    </row>
    <row r="1740" spans="17:18">
      <c r="Q1740" t="s">
        <v>2677</v>
      </c>
      <c r="R1740">
        <v>477.40172999999999</v>
      </c>
    </row>
    <row r="1741" spans="17:18">
      <c r="Q1741" t="s">
        <v>2678</v>
      </c>
      <c r="R1741">
        <v>4513.9857199999997</v>
      </c>
    </row>
    <row r="1742" spans="17:18">
      <c r="Q1742" t="s">
        <v>2679</v>
      </c>
      <c r="R1742">
        <v>4236.6531999999997</v>
      </c>
    </row>
    <row r="1743" spans="17:18">
      <c r="Q1743" t="s">
        <v>2680</v>
      </c>
      <c r="R1743">
        <v>852.90710000000001</v>
      </c>
    </row>
    <row r="1744" spans="17:18">
      <c r="Q1744" t="s">
        <v>2681</v>
      </c>
      <c r="R1744">
        <v>389.04363999999998</v>
      </c>
    </row>
    <row r="1745" spans="17:18">
      <c r="Q1745" t="s">
        <v>2682</v>
      </c>
      <c r="R1745">
        <v>739.30120999999997</v>
      </c>
    </row>
    <row r="1746" spans="17:18">
      <c r="Q1746" t="s">
        <v>2683</v>
      </c>
      <c r="R1746">
        <v>852.01968999999997</v>
      </c>
    </row>
    <row r="1747" spans="17:18">
      <c r="Q1747" t="s">
        <v>2684</v>
      </c>
      <c r="R1747">
        <v>887.89528999999993</v>
      </c>
    </row>
    <row r="1748" spans="17:18">
      <c r="Q1748" t="s">
        <v>2685</v>
      </c>
      <c r="R1748">
        <v>846.45243000000005</v>
      </c>
    </row>
    <row r="1749" spans="17:18">
      <c r="Q1749" t="s">
        <v>2686</v>
      </c>
      <c r="R1749">
        <v>872.87366999999995</v>
      </c>
    </row>
    <row r="1750" spans="17:18">
      <c r="Q1750" t="s">
        <v>2687</v>
      </c>
      <c r="R1750">
        <v>956.26535000000001</v>
      </c>
    </row>
    <row r="1751" spans="17:18">
      <c r="Q1751" t="s">
        <v>2688</v>
      </c>
      <c r="R1751">
        <v>1188.33132</v>
      </c>
    </row>
    <row r="1752" spans="17:18">
      <c r="Q1752" t="s">
        <v>2689</v>
      </c>
      <c r="R1752">
        <v>805.38995</v>
      </c>
    </row>
    <row r="1753" spans="17:18">
      <c r="Q1753" t="s">
        <v>2690</v>
      </c>
      <c r="R1753">
        <v>827.81114999999988</v>
      </c>
    </row>
    <row r="1754" spans="17:18">
      <c r="Q1754" t="s">
        <v>2691</v>
      </c>
      <c r="R1754">
        <v>1484.308</v>
      </c>
    </row>
    <row r="1755" spans="17:18">
      <c r="Q1755" t="s">
        <v>2692</v>
      </c>
      <c r="R1755">
        <v>1055.55</v>
      </c>
    </row>
    <row r="1756" spans="17:18">
      <c r="Q1756" t="s">
        <v>2693</v>
      </c>
      <c r="R1756">
        <v>1550.56</v>
      </c>
    </row>
    <row r="1757" spans="17:18">
      <c r="Q1757" t="s">
        <v>2694</v>
      </c>
      <c r="R1757">
        <v>1063.81</v>
      </c>
    </row>
    <row r="1758" spans="17:18">
      <c r="Q1758" t="s">
        <v>2695</v>
      </c>
      <c r="R1758">
        <v>1100</v>
      </c>
    </row>
    <row r="1759" spans="17:18">
      <c r="Q1759" t="s">
        <v>2696</v>
      </c>
      <c r="R1759">
        <v>1064.8800000000001</v>
      </c>
    </row>
    <row r="1760" spans="17:18">
      <c r="Q1760" t="s">
        <v>2697</v>
      </c>
      <c r="R1760">
        <v>241.23349000000002</v>
      </c>
    </row>
    <row r="1761" spans="17:18">
      <c r="Q1761" t="s">
        <v>2698</v>
      </c>
      <c r="R1761">
        <v>238.24563000000001</v>
      </c>
    </row>
    <row r="1762" spans="17:18">
      <c r="Q1762" t="s">
        <v>2699</v>
      </c>
      <c r="R1762">
        <v>677.75198999999998</v>
      </c>
    </row>
    <row r="1763" spans="17:18">
      <c r="Q1763" t="s">
        <v>2700</v>
      </c>
      <c r="R1763">
        <v>554.49473999999998</v>
      </c>
    </row>
    <row r="1764" spans="17:18">
      <c r="Q1764" t="s">
        <v>2701</v>
      </c>
      <c r="R1764">
        <v>408.32679000000002</v>
      </c>
    </row>
    <row r="1765" spans="17:18">
      <c r="Q1765" t="s">
        <v>2702</v>
      </c>
      <c r="R1765">
        <v>1934.97075</v>
      </c>
    </row>
    <row r="1766" spans="17:18">
      <c r="Q1766" t="s">
        <v>2703</v>
      </c>
      <c r="R1766">
        <v>750.42672000000005</v>
      </c>
    </row>
    <row r="1767" spans="17:18">
      <c r="Q1767" t="s">
        <v>2704</v>
      </c>
      <c r="R1767">
        <v>1218.14915</v>
      </c>
    </row>
    <row r="1768" spans="17:18">
      <c r="Q1768" t="s">
        <v>2705</v>
      </c>
      <c r="R1768">
        <v>1035.1630599999999</v>
      </c>
    </row>
    <row r="1769" spans="17:18">
      <c r="Q1769" t="s">
        <v>2706</v>
      </c>
      <c r="R1769">
        <v>1245.6605199999999</v>
      </c>
    </row>
    <row r="1770" spans="17:18">
      <c r="Q1770" t="s">
        <v>2707</v>
      </c>
      <c r="R1770">
        <v>1127.4904099999999</v>
      </c>
    </row>
    <row r="1771" spans="17:18">
      <c r="Q1771" t="s">
        <v>2708</v>
      </c>
      <c r="R1771">
        <v>841.04</v>
      </c>
    </row>
    <row r="1772" spans="17:18">
      <c r="Q1772" t="s">
        <v>2709</v>
      </c>
      <c r="R1772">
        <v>1082.13959</v>
      </c>
    </row>
    <row r="1773" spans="17:18">
      <c r="Q1773" t="s">
        <v>2710</v>
      </c>
      <c r="R1773">
        <v>853.34917999999993</v>
      </c>
    </row>
    <row r="1774" spans="17:18">
      <c r="Q1774" t="s">
        <v>2711</v>
      </c>
      <c r="R1774">
        <v>1012.8113199999999</v>
      </c>
    </row>
    <row r="1775" spans="17:18">
      <c r="Q1775" t="s">
        <v>2712</v>
      </c>
      <c r="R1775">
        <v>1405.9733200000001</v>
      </c>
    </row>
    <row r="1776" spans="17:18">
      <c r="Q1776" t="s">
        <v>2713</v>
      </c>
      <c r="R1776">
        <v>1664</v>
      </c>
    </row>
    <row r="1777" spans="17:18">
      <c r="Q1777" t="s">
        <v>2714</v>
      </c>
      <c r="R1777">
        <v>1738</v>
      </c>
    </row>
    <row r="1778" spans="17:18">
      <c r="Q1778" t="s">
        <v>2715</v>
      </c>
      <c r="R1778">
        <v>566</v>
      </c>
    </row>
    <row r="1779" spans="17:18">
      <c r="Q1779" t="s">
        <v>2716</v>
      </c>
      <c r="R1779">
        <v>663.20802000000003</v>
      </c>
    </row>
    <row r="1780" spans="17:18">
      <c r="Q1780" t="s">
        <v>2717</v>
      </c>
      <c r="R1780">
        <v>924.63007000000005</v>
      </c>
    </row>
    <row r="1781" spans="17:18">
      <c r="Q1781" t="s">
        <v>2718</v>
      </c>
      <c r="R1781">
        <v>357.81443000000002</v>
      </c>
    </row>
    <row r="1782" spans="17:18">
      <c r="Q1782" t="s">
        <v>2719</v>
      </c>
      <c r="R1782">
        <v>727.59456999999998</v>
      </c>
    </row>
    <row r="1783" spans="17:18">
      <c r="Q1783" t="s">
        <v>2720</v>
      </c>
      <c r="R1783">
        <v>162.83812</v>
      </c>
    </row>
    <row r="1784" spans="17:18">
      <c r="Q1784" t="s">
        <v>2721</v>
      </c>
      <c r="R1784">
        <v>755.97484999999995</v>
      </c>
    </row>
    <row r="1785" spans="17:18">
      <c r="Q1785" t="s">
        <v>2722</v>
      </c>
      <c r="R1785">
        <v>186.67312000000001</v>
      </c>
    </row>
    <row r="1786" spans="17:18">
      <c r="Q1786" t="s">
        <v>2723</v>
      </c>
      <c r="R1786">
        <v>73.44641</v>
      </c>
    </row>
    <row r="1787" spans="17:18">
      <c r="Q1787" t="s">
        <v>2724</v>
      </c>
      <c r="R1787">
        <v>555.73626999999999</v>
      </c>
    </row>
    <row r="1788" spans="17:18">
      <c r="Q1788" t="s">
        <v>2725</v>
      </c>
      <c r="R1788">
        <v>806.41711000000009</v>
      </c>
    </row>
    <row r="1789" spans="17:18">
      <c r="Q1789" t="s">
        <v>2726</v>
      </c>
      <c r="R1789">
        <v>618.86496999999997</v>
      </c>
    </row>
    <row r="1790" spans="17:18">
      <c r="Q1790" t="s">
        <v>2727</v>
      </c>
      <c r="R1790">
        <v>1466.1597099999999</v>
      </c>
    </row>
    <row r="1791" spans="17:18">
      <c r="Q1791" t="s">
        <v>2728</v>
      </c>
      <c r="R1791">
        <v>1615.9840999999999</v>
      </c>
    </row>
    <row r="1792" spans="17:18">
      <c r="Q1792" t="s">
        <v>2729</v>
      </c>
      <c r="R1792">
        <v>1068.9835800000001</v>
      </c>
    </row>
    <row r="1793" spans="17:18">
      <c r="Q1793" t="s">
        <v>2730</v>
      </c>
      <c r="R1793">
        <v>434.08346</v>
      </c>
    </row>
    <row r="1794" spans="17:18">
      <c r="Q1794" t="s">
        <v>2731</v>
      </c>
      <c r="R1794">
        <v>758.11158999999998</v>
      </c>
    </row>
    <row r="1795" spans="17:18">
      <c r="Q1795" t="s">
        <v>2732</v>
      </c>
      <c r="R1795">
        <v>544.29471000000001</v>
      </c>
    </row>
    <row r="1796" spans="17:18">
      <c r="Q1796" t="s">
        <v>2733</v>
      </c>
      <c r="R1796">
        <v>405.5292</v>
      </c>
    </row>
    <row r="1797" spans="17:18">
      <c r="Q1797" t="s">
        <v>2734</v>
      </c>
      <c r="R1797">
        <v>735</v>
      </c>
    </row>
    <row r="1798" spans="17:18">
      <c r="Q1798" t="s">
        <v>2735</v>
      </c>
      <c r="R1798">
        <v>726.05129999999997</v>
      </c>
    </row>
    <row r="1799" spans="17:18">
      <c r="Q1799" t="s">
        <v>2736</v>
      </c>
      <c r="R1799">
        <v>964.83709999999996</v>
      </c>
    </row>
    <row r="1800" spans="17:18">
      <c r="Q1800" t="s">
        <v>2737</v>
      </c>
      <c r="R1800">
        <v>733.45155</v>
      </c>
    </row>
    <row r="1801" spans="17:18">
      <c r="Q1801" t="s">
        <v>2738</v>
      </c>
      <c r="R1801">
        <v>872.18454000000008</v>
      </c>
    </row>
    <row r="1802" spans="17:18">
      <c r="Q1802" t="s">
        <v>2739</v>
      </c>
      <c r="R1802">
        <v>2134.1243599999998</v>
      </c>
    </row>
    <row r="1803" spans="17:18">
      <c r="Q1803" t="s">
        <v>2740</v>
      </c>
      <c r="R1803">
        <v>545.29894000000002</v>
      </c>
    </row>
    <row r="1804" spans="17:18">
      <c r="Q1804" t="s">
        <v>2741</v>
      </c>
      <c r="R1804">
        <v>1367.9658300000001</v>
      </c>
    </row>
    <row r="1805" spans="17:18">
      <c r="Q1805" t="s">
        <v>2742</v>
      </c>
      <c r="R1805">
        <v>1076.9446</v>
      </c>
    </row>
    <row r="1806" spans="17:18">
      <c r="Q1806" t="s">
        <v>2743</v>
      </c>
      <c r="R1806">
        <v>542.72526000000005</v>
      </c>
    </row>
    <row r="1807" spans="17:18">
      <c r="Q1807" t="s">
        <v>2744</v>
      </c>
      <c r="R1807">
        <v>146.34519</v>
      </c>
    </row>
    <row r="1808" spans="17:18">
      <c r="Q1808" t="s">
        <v>2745</v>
      </c>
      <c r="R1808">
        <v>198.30132</v>
      </c>
    </row>
    <row r="1809" spans="17:18">
      <c r="Q1809" t="s">
        <v>2746</v>
      </c>
      <c r="R1809">
        <v>255.12646000000001</v>
      </c>
    </row>
    <row r="1810" spans="17:18">
      <c r="Q1810" t="s">
        <v>2747</v>
      </c>
      <c r="R1810">
        <v>297.81569999999999</v>
      </c>
    </row>
    <row r="1811" spans="17:18">
      <c r="Q1811" t="s">
        <v>2748</v>
      </c>
      <c r="R1811">
        <v>197.38464999999999</v>
      </c>
    </row>
    <row r="1812" spans="17:18">
      <c r="Q1812" t="s">
        <v>2749</v>
      </c>
      <c r="R1812">
        <v>321.73761999999999</v>
      </c>
    </row>
    <row r="1813" spans="17:18">
      <c r="Q1813" t="s">
        <v>2750</v>
      </c>
      <c r="R1813">
        <v>197.21037000000001</v>
      </c>
    </row>
    <row r="1814" spans="17:18">
      <c r="Q1814" t="s">
        <v>2751</v>
      </c>
      <c r="R1814">
        <v>50.362210000000005</v>
      </c>
    </row>
    <row r="1815" spans="17:18">
      <c r="Q1815" t="s">
        <v>2752</v>
      </c>
      <c r="R1815">
        <v>118.97111000000001</v>
      </c>
    </row>
    <row r="1816" spans="17:18">
      <c r="Q1816" t="s">
        <v>2753</v>
      </c>
      <c r="R1816">
        <v>160.89061000000001</v>
      </c>
    </row>
    <row r="1817" spans="17:18">
      <c r="Q1817" t="s">
        <v>2754</v>
      </c>
      <c r="R1817">
        <v>130.51138</v>
      </c>
    </row>
    <row r="1818" spans="17:18">
      <c r="Q1818" t="s">
        <v>2755</v>
      </c>
      <c r="R1818">
        <v>209.69068000000001</v>
      </c>
    </row>
    <row r="1819" spans="17:18">
      <c r="Q1819" t="s">
        <v>2756</v>
      </c>
      <c r="R1819">
        <v>144.83652000000001</v>
      </c>
    </row>
    <row r="1820" spans="17:18">
      <c r="Q1820" t="s">
        <v>2757</v>
      </c>
      <c r="R1820">
        <v>245.82077999999998</v>
      </c>
    </row>
    <row r="1821" spans="17:18">
      <c r="Q1821" t="s">
        <v>2758</v>
      </c>
      <c r="R1821">
        <v>65.970210000000009</v>
      </c>
    </row>
    <row r="1822" spans="17:18">
      <c r="Q1822" t="s">
        <v>2759</v>
      </c>
      <c r="R1822">
        <v>152.28819999999999</v>
      </c>
    </row>
    <row r="1823" spans="17:18">
      <c r="Q1823" t="s">
        <v>2760</v>
      </c>
      <c r="R1823">
        <v>164.43544</v>
      </c>
    </row>
    <row r="1824" spans="17:18">
      <c r="Q1824" t="s">
        <v>2761</v>
      </c>
      <c r="R1824">
        <v>155.75993</v>
      </c>
    </row>
    <row r="1825" spans="17:18">
      <c r="Q1825" t="s">
        <v>2762</v>
      </c>
      <c r="R1825">
        <v>138.34540000000001</v>
      </c>
    </row>
    <row r="1826" spans="17:18">
      <c r="Q1826" t="s">
        <v>2763</v>
      </c>
      <c r="R1826">
        <v>183.97119000000001</v>
      </c>
    </row>
    <row r="1827" spans="17:18">
      <c r="Q1827" t="s">
        <v>2764</v>
      </c>
      <c r="R1827">
        <v>151.36997000000002</v>
      </c>
    </row>
    <row r="1828" spans="17:18">
      <c r="Q1828" t="s">
        <v>2765</v>
      </c>
      <c r="R1828">
        <v>121.18056999999999</v>
      </c>
    </row>
    <row r="1829" spans="17:18">
      <c r="Q1829" t="s">
        <v>2766</v>
      </c>
      <c r="R1829">
        <v>188.70273</v>
      </c>
    </row>
    <row r="1830" spans="17:18">
      <c r="Q1830" t="s">
        <v>2767</v>
      </c>
      <c r="R1830">
        <v>340.50861000000003</v>
      </c>
    </row>
    <row r="1831" spans="17:18">
      <c r="Q1831" t="s">
        <v>2768</v>
      </c>
      <c r="R1831">
        <v>241.13729000000001</v>
      </c>
    </row>
    <row r="1832" spans="17:18">
      <c r="Q1832" t="s">
        <v>2769</v>
      </c>
      <c r="R1832">
        <v>496.88554999999997</v>
      </c>
    </row>
    <row r="1833" spans="17:18">
      <c r="Q1833" t="s">
        <v>2770</v>
      </c>
      <c r="R1833">
        <v>429.55491000000001</v>
      </c>
    </row>
    <row r="1834" spans="17:18">
      <c r="Q1834" t="s">
        <v>2771</v>
      </c>
      <c r="R1834">
        <v>125.22457999999999</v>
      </c>
    </row>
    <row r="1835" spans="17:18">
      <c r="Q1835" t="s">
        <v>2772</v>
      </c>
      <c r="R1835">
        <v>209.69068000000001</v>
      </c>
    </row>
    <row r="1836" spans="17:18">
      <c r="Q1836" t="s">
        <v>2773</v>
      </c>
      <c r="R1836">
        <v>145.50927999999999</v>
      </c>
    </row>
    <row r="1837" spans="17:18">
      <c r="Q1837" t="s">
        <v>2774</v>
      </c>
      <c r="R1837">
        <v>173.07258999999999</v>
      </c>
    </row>
    <row r="1838" spans="17:18">
      <c r="Q1838" t="s">
        <v>2775</v>
      </c>
      <c r="R1838">
        <v>138.47666999999998</v>
      </c>
    </row>
    <row r="1839" spans="17:18">
      <c r="Q1839" t="s">
        <v>2776</v>
      </c>
      <c r="R1839">
        <v>189.40679</v>
      </c>
    </row>
    <row r="1840" spans="17:18">
      <c r="Q1840" t="s">
        <v>2777</v>
      </c>
      <c r="R1840">
        <v>130.51138</v>
      </c>
    </row>
    <row r="1841" spans="17:18">
      <c r="Q1841" t="s">
        <v>2778</v>
      </c>
      <c r="R1841">
        <v>116.50999999999999</v>
      </c>
    </row>
    <row r="1842" spans="17:18">
      <c r="Q1842" t="s">
        <v>2779</v>
      </c>
      <c r="R1842">
        <v>95.751020000000011</v>
      </c>
    </row>
    <row r="1843" spans="17:18">
      <c r="Q1843" t="s">
        <v>2780</v>
      </c>
      <c r="R1843">
        <v>209.14782000000002</v>
      </c>
    </row>
    <row r="1844" spans="17:18">
      <c r="Q1844" t="s">
        <v>2781</v>
      </c>
      <c r="R1844">
        <v>111.4019</v>
      </c>
    </row>
    <row r="1845" spans="17:18">
      <c r="Q1845" t="s">
        <v>2782</v>
      </c>
      <c r="R1845">
        <v>220.23185000000001</v>
      </c>
    </row>
    <row r="1846" spans="17:18">
      <c r="Q1846" t="s">
        <v>2783</v>
      </c>
      <c r="R1846">
        <v>167.10172</v>
      </c>
    </row>
    <row r="1847" spans="17:18">
      <c r="Q1847" t="s">
        <v>2784</v>
      </c>
      <c r="R1847">
        <v>76.280279999999991</v>
      </c>
    </row>
    <row r="1848" spans="17:18">
      <c r="Q1848" t="s">
        <v>2785</v>
      </c>
      <c r="R1848">
        <v>111.39382999999999</v>
      </c>
    </row>
    <row r="1849" spans="17:18">
      <c r="Q1849" t="s">
        <v>2786</v>
      </c>
      <c r="R1849">
        <v>165.13961</v>
      </c>
    </row>
    <row r="1850" spans="17:18">
      <c r="Q1850" t="s">
        <v>2787</v>
      </c>
      <c r="R1850">
        <v>119.70177999999999</v>
      </c>
    </row>
    <row r="1851" spans="17:18">
      <c r="Q1851" t="s">
        <v>2788</v>
      </c>
      <c r="R1851">
        <v>202.68467999999999</v>
      </c>
    </row>
    <row r="1852" spans="17:18">
      <c r="Q1852" t="s">
        <v>2789</v>
      </c>
      <c r="R1852">
        <v>144.86926</v>
      </c>
    </row>
    <row r="1853" spans="17:18">
      <c r="Q1853" t="s">
        <v>2790</v>
      </c>
      <c r="R1853">
        <v>245.82077999999998</v>
      </c>
    </row>
    <row r="1854" spans="17:18">
      <c r="Q1854" t="s">
        <v>2791</v>
      </c>
      <c r="R1854">
        <v>116.83018</v>
      </c>
    </row>
    <row r="1855" spans="17:18">
      <c r="Q1855" t="s">
        <v>2792</v>
      </c>
      <c r="R1855">
        <v>130.10102000000001</v>
      </c>
    </row>
    <row r="1856" spans="17:18">
      <c r="Q1856" t="s">
        <v>2793</v>
      </c>
      <c r="R1856">
        <v>81.971329999999995</v>
      </c>
    </row>
    <row r="1857" spans="17:18">
      <c r="Q1857" t="s">
        <v>2794</v>
      </c>
      <c r="R1857">
        <v>118.15577</v>
      </c>
    </row>
    <row r="1858" spans="17:18">
      <c r="Q1858" t="s">
        <v>2795</v>
      </c>
      <c r="R1858">
        <v>85.907839999999993</v>
      </c>
    </row>
    <row r="1859" spans="17:18">
      <c r="Q1859" t="s">
        <v>2796</v>
      </c>
      <c r="R1859">
        <v>81.596740000000011</v>
      </c>
    </row>
    <row r="1860" spans="17:18">
      <c r="Q1860" t="s">
        <v>2797</v>
      </c>
      <c r="R1860">
        <v>92.073080000000004</v>
      </c>
    </row>
    <row r="1861" spans="17:18">
      <c r="Q1861" t="s">
        <v>2798</v>
      </c>
      <c r="R1861">
        <v>100.78967</v>
      </c>
    </row>
    <row r="1862" spans="17:18">
      <c r="Q1862" t="s">
        <v>2799</v>
      </c>
      <c r="R1862">
        <v>227.27334999999999</v>
      </c>
    </row>
    <row r="1863" spans="17:18">
      <c r="Q1863" t="s">
        <v>2800</v>
      </c>
      <c r="R1863">
        <v>99.179750000000013</v>
      </c>
    </row>
    <row r="1864" spans="17:18">
      <c r="Q1864" t="s">
        <v>2801</v>
      </c>
      <c r="R1864">
        <v>117.82779000000001</v>
      </c>
    </row>
    <row r="1865" spans="17:18">
      <c r="Q1865" t="s">
        <v>2802</v>
      </c>
      <c r="R1865">
        <v>90.504239999999996</v>
      </c>
    </row>
    <row r="1866" spans="17:18">
      <c r="Q1866" t="s">
        <v>2803</v>
      </c>
      <c r="R1866">
        <v>31.391189999999998</v>
      </c>
    </row>
    <row r="1867" spans="17:18">
      <c r="Q1867" t="s">
        <v>2804</v>
      </c>
      <c r="R1867">
        <v>79.137509999999992</v>
      </c>
    </row>
    <row r="1868" spans="17:18">
      <c r="Q1868" t="s">
        <v>2805</v>
      </c>
      <c r="R1868">
        <v>71.681380000000004</v>
      </c>
    </row>
    <row r="1869" spans="17:18">
      <c r="Q1869" t="s">
        <v>2806</v>
      </c>
      <c r="R1869">
        <v>71.681380000000004</v>
      </c>
    </row>
    <row r="1870" spans="17:18">
      <c r="Q1870" t="s">
        <v>2807</v>
      </c>
      <c r="R1870">
        <v>80.090399999999988</v>
      </c>
    </row>
    <row r="1871" spans="17:18">
      <c r="Q1871" t="s">
        <v>2808</v>
      </c>
      <c r="R1871">
        <v>150.72196</v>
      </c>
    </row>
    <row r="1872" spans="17:18">
      <c r="Q1872" t="s">
        <v>2809</v>
      </c>
      <c r="R1872">
        <v>93.395520000000005</v>
      </c>
    </row>
    <row r="1873" spans="17:18">
      <c r="Q1873" t="s">
        <v>2810</v>
      </c>
      <c r="R1873">
        <v>86.892499999999998</v>
      </c>
    </row>
    <row r="1874" spans="17:18">
      <c r="Q1874" t="s">
        <v>2811</v>
      </c>
      <c r="R1874">
        <v>136.09568000000002</v>
      </c>
    </row>
    <row r="1875" spans="17:18">
      <c r="Q1875" t="s">
        <v>2812</v>
      </c>
      <c r="R1875">
        <v>93.11497</v>
      </c>
    </row>
    <row r="1876" spans="17:18">
      <c r="Q1876" t="s">
        <v>2813</v>
      </c>
      <c r="R1876">
        <v>80.230249999999998</v>
      </c>
    </row>
    <row r="1877" spans="17:18">
      <c r="Q1877" t="s">
        <v>2814</v>
      </c>
      <c r="R1877">
        <v>55.924879999999995</v>
      </c>
    </row>
    <row r="1878" spans="17:18">
      <c r="Q1878" t="s">
        <v>2815</v>
      </c>
      <c r="R1878">
        <v>166.94317000000001</v>
      </c>
    </row>
    <row r="1879" spans="17:18">
      <c r="Q1879" t="s">
        <v>2816</v>
      </c>
      <c r="R1879">
        <v>221.36901</v>
      </c>
    </row>
    <row r="1880" spans="17:18">
      <c r="Q1880" t="s">
        <v>2817</v>
      </c>
      <c r="R1880">
        <v>180.02381</v>
      </c>
    </row>
    <row r="1881" spans="17:18">
      <c r="Q1881" t="s">
        <v>2818</v>
      </c>
      <c r="R1881">
        <v>149.77291</v>
      </c>
    </row>
    <row r="1882" spans="17:18">
      <c r="Q1882" t="s">
        <v>2819</v>
      </c>
      <c r="R1882">
        <v>135.22863000000001</v>
      </c>
    </row>
    <row r="1883" spans="17:18">
      <c r="Q1883" t="s">
        <v>2820</v>
      </c>
      <c r="R1883">
        <v>129.13377</v>
      </c>
    </row>
    <row r="1884" spans="17:18">
      <c r="Q1884" t="s">
        <v>2821</v>
      </c>
      <c r="R1884">
        <v>117.01702</v>
      </c>
    </row>
    <row r="1885" spans="17:18">
      <c r="Q1885" t="s">
        <v>2822</v>
      </c>
      <c r="R1885">
        <v>117.06097</v>
      </c>
    </row>
    <row r="1886" spans="17:18">
      <c r="Q1886" t="s">
        <v>2823</v>
      </c>
      <c r="R1886">
        <v>165.60205999999999</v>
      </c>
    </row>
    <row r="1887" spans="17:18">
      <c r="Q1887" t="s">
        <v>2824</v>
      </c>
      <c r="R1887">
        <v>140.17506</v>
      </c>
    </row>
    <row r="1888" spans="17:18">
      <c r="Q1888" t="s">
        <v>2825</v>
      </c>
      <c r="R1888">
        <v>129.70278000000002</v>
      </c>
    </row>
    <row r="1889" spans="17:18">
      <c r="Q1889" t="s">
        <v>2826</v>
      </c>
      <c r="R1889">
        <v>190.29697000000002</v>
      </c>
    </row>
    <row r="1890" spans="17:18">
      <c r="Q1890" t="s">
        <v>2827</v>
      </c>
      <c r="R1890">
        <v>136.10338000000002</v>
      </c>
    </row>
    <row r="1891" spans="17:18">
      <c r="Q1891" t="s">
        <v>2828</v>
      </c>
      <c r="R1891">
        <v>422.26393999999999</v>
      </c>
    </row>
    <row r="1892" spans="17:18">
      <c r="Q1892" t="s">
        <v>2829</v>
      </c>
      <c r="R1892">
        <v>340.50861000000003</v>
      </c>
    </row>
    <row r="1893" spans="17:18">
      <c r="Q1893" t="s">
        <v>2830</v>
      </c>
      <c r="R1893">
        <v>51.730500000000006</v>
      </c>
    </row>
    <row r="1894" spans="17:18">
      <c r="Q1894" t="s">
        <v>2831</v>
      </c>
      <c r="R1894">
        <v>121.10372</v>
      </c>
    </row>
    <row r="1895" spans="17:18">
      <c r="Q1895" t="s">
        <v>2832</v>
      </c>
      <c r="R1895">
        <v>357.16476</v>
      </c>
    </row>
    <row r="1896" spans="17:18">
      <c r="Q1896" t="s">
        <v>2833</v>
      </c>
      <c r="R1896">
        <v>462.10792000000004</v>
      </c>
    </row>
    <row r="1897" spans="17:18">
      <c r="Q1897" t="s">
        <v>2834</v>
      </c>
      <c r="R1897">
        <v>255.61696000000001</v>
      </c>
    </row>
    <row r="1898" spans="17:18">
      <c r="Q1898" t="s">
        <v>2835</v>
      </c>
      <c r="R1898">
        <v>200.09706</v>
      </c>
    </row>
    <row r="1899" spans="17:18">
      <c r="Q1899" t="s">
        <v>2836</v>
      </c>
      <c r="R1899">
        <v>97.437839999999994</v>
      </c>
    </row>
    <row r="1900" spans="17:18">
      <c r="Q1900" t="s">
        <v>2837</v>
      </c>
      <c r="R1900">
        <v>119.14698999999999</v>
      </c>
    </row>
    <row r="1901" spans="17:18">
      <c r="Q1901" t="s">
        <v>2838</v>
      </c>
      <c r="R1901">
        <v>196.29381999999998</v>
      </c>
    </row>
    <row r="1902" spans="17:18">
      <c r="Q1902" t="s">
        <v>2839</v>
      </c>
      <c r="R1902">
        <v>75.282709999999994</v>
      </c>
    </row>
    <row r="1903" spans="17:18">
      <c r="Q1903" t="s">
        <v>2840</v>
      </c>
      <c r="R1903">
        <v>75.282709999999994</v>
      </c>
    </row>
    <row r="1904" spans="17:18">
      <c r="Q1904" t="s">
        <v>2841</v>
      </c>
      <c r="R1904">
        <v>45.436920000000001</v>
      </c>
    </row>
    <row r="1905" spans="17:18">
      <c r="Q1905" t="s">
        <v>2842</v>
      </c>
      <c r="R1905">
        <v>170.89174</v>
      </c>
    </row>
    <row r="1906" spans="17:18">
      <c r="Q1906" t="s">
        <v>2843</v>
      </c>
      <c r="R1906">
        <v>48.27458</v>
      </c>
    </row>
    <row r="1907" spans="17:18">
      <c r="Q1907" t="s">
        <v>2844</v>
      </c>
      <c r="R1907">
        <v>50.580579999999998</v>
      </c>
    </row>
    <row r="1908" spans="17:18">
      <c r="Q1908" t="s">
        <v>2845</v>
      </c>
      <c r="R1908">
        <v>279.09146000000004</v>
      </c>
    </row>
    <row r="1909" spans="17:18">
      <c r="Q1909" t="s">
        <v>2846</v>
      </c>
      <c r="R1909">
        <v>283.05779000000001</v>
      </c>
    </row>
    <row r="1910" spans="17:18">
      <c r="Q1910" t="s">
        <v>2847</v>
      </c>
      <c r="R1910">
        <v>282.44233000000003</v>
      </c>
    </row>
    <row r="1911" spans="17:18">
      <c r="Q1911" t="s">
        <v>2848</v>
      </c>
      <c r="R1911">
        <v>459.76049</v>
      </c>
    </row>
    <row r="1912" spans="17:18">
      <c r="Q1912" t="s">
        <v>2849</v>
      </c>
      <c r="R1912">
        <v>458.76812999999999</v>
      </c>
    </row>
    <row r="1913" spans="17:18">
      <c r="Q1913" t="s">
        <v>2850</v>
      </c>
      <c r="R1913">
        <v>468.50177000000002</v>
      </c>
    </row>
    <row r="1914" spans="17:18">
      <c r="Q1914" t="s">
        <v>2851</v>
      </c>
      <c r="R1914">
        <v>819.51747999999998</v>
      </c>
    </row>
    <row r="1915" spans="17:18">
      <c r="Q1915" t="s">
        <v>2852</v>
      </c>
      <c r="R1915">
        <v>783.09761000000003</v>
      </c>
    </row>
    <row r="1916" spans="17:18">
      <c r="Q1916" t="s">
        <v>2853</v>
      </c>
      <c r="R1916">
        <v>76.848309999999998</v>
      </c>
    </row>
    <row r="1917" spans="17:18">
      <c r="Q1917" t="s">
        <v>2854</v>
      </c>
      <c r="R1917">
        <v>75.109200000000001</v>
      </c>
    </row>
    <row r="1918" spans="17:18">
      <c r="Q1918" t="s">
        <v>2855</v>
      </c>
      <c r="R1918">
        <v>82.614459999999994</v>
      </c>
    </row>
    <row r="1919" spans="17:18">
      <c r="Q1919" t="s">
        <v>2856</v>
      </c>
      <c r="R1919">
        <v>296.43490000000003</v>
      </c>
    </row>
    <row r="1920" spans="17:18">
      <c r="Q1920" t="s">
        <v>2857</v>
      </c>
      <c r="R1920">
        <v>248.75637</v>
      </c>
    </row>
    <row r="1921" spans="17:18">
      <c r="Q1921" t="s">
        <v>2858</v>
      </c>
      <c r="R1921">
        <v>316.51582999999999</v>
      </c>
    </row>
    <row r="1922" spans="17:18">
      <c r="Q1922" t="s">
        <v>2859</v>
      </c>
      <c r="R1922">
        <v>280.25175999999999</v>
      </c>
    </row>
    <row r="1923" spans="17:18">
      <c r="Q1923" t="s">
        <v>2860</v>
      </c>
      <c r="R1923">
        <v>187.12662</v>
      </c>
    </row>
    <row r="1924" spans="17:18">
      <c r="Q1924" t="s">
        <v>2861</v>
      </c>
      <c r="R1924">
        <v>389.73622</v>
      </c>
    </row>
    <row r="1925" spans="17:18">
      <c r="Q1925" t="s">
        <v>2862</v>
      </c>
      <c r="R1925">
        <v>262.86658</v>
      </c>
    </row>
    <row r="1926" spans="17:18">
      <c r="Q1926" t="s">
        <v>2863</v>
      </c>
      <c r="R1926">
        <v>423.84574000000003</v>
      </c>
    </row>
    <row r="1927" spans="17:18">
      <c r="Q1927" t="s">
        <v>2864</v>
      </c>
      <c r="R1927">
        <v>2147.1884700000001</v>
      </c>
    </row>
    <row r="1928" spans="17:18">
      <c r="Q1928" t="s">
        <v>2865</v>
      </c>
      <c r="R1928">
        <v>311.95062999999999</v>
      </c>
    </row>
    <row r="1929" spans="17:18">
      <c r="Q1929" t="s">
        <v>2866</v>
      </c>
      <c r="R1929">
        <v>462.90134</v>
      </c>
    </row>
    <row r="1930" spans="17:18">
      <c r="Q1930" t="s">
        <v>2867</v>
      </c>
      <c r="R1930">
        <v>255.45675000000003</v>
      </c>
    </row>
    <row r="1931" spans="17:18">
      <c r="Q1931" t="s">
        <v>2868</v>
      </c>
      <c r="R1931">
        <v>292.84661999999997</v>
      </c>
    </row>
    <row r="1932" spans="17:18">
      <c r="Q1932" t="s">
        <v>2869</v>
      </c>
      <c r="R1932">
        <v>231.90504000000001</v>
      </c>
    </row>
    <row r="1933" spans="17:18">
      <c r="Q1933" t="s">
        <v>2870</v>
      </c>
      <c r="R1933">
        <v>347.44862999999998</v>
      </c>
    </row>
    <row r="1934" spans="17:18">
      <c r="Q1934" t="s">
        <v>2871</v>
      </c>
      <c r="R1934">
        <v>232.20579999999998</v>
      </c>
    </row>
    <row r="1935" spans="17:18">
      <c r="Q1935" t="s">
        <v>2872</v>
      </c>
      <c r="R1935">
        <v>6591.8807499999994</v>
      </c>
    </row>
    <row r="1936" spans="17:18">
      <c r="Q1936" t="s">
        <v>2873</v>
      </c>
      <c r="R1936">
        <v>630.00522000000001</v>
      </c>
    </row>
    <row r="1937" spans="17:18">
      <c r="Q1937" t="s">
        <v>2874</v>
      </c>
      <c r="R1937">
        <v>835.02928000000009</v>
      </c>
    </row>
    <row r="1938" spans="17:18">
      <c r="Q1938" t="s">
        <v>2875</v>
      </c>
      <c r="R1938">
        <v>208.42647999999997</v>
      </c>
    </row>
    <row r="1939" spans="17:18">
      <c r="Q1939" t="s">
        <v>2876</v>
      </c>
      <c r="R1939">
        <v>228.67486</v>
      </c>
    </row>
    <row r="1940" spans="17:18">
      <c r="Q1940" t="s">
        <v>2877</v>
      </c>
      <c r="R1940">
        <v>1785.1769000000002</v>
      </c>
    </row>
    <row r="1941" spans="17:18">
      <c r="Q1941" t="s">
        <v>2878</v>
      </c>
      <c r="R1941">
        <v>178.88068000000001</v>
      </c>
    </row>
    <row r="1942" spans="17:18">
      <c r="Q1942" t="s">
        <v>2879</v>
      </c>
      <c r="R1942">
        <v>76.664320000000004</v>
      </c>
    </row>
    <row r="1943" spans="17:18">
      <c r="Q1943" t="s">
        <v>2880</v>
      </c>
      <c r="R1943">
        <v>75.525069999999999</v>
      </c>
    </row>
    <row r="1944" spans="17:18">
      <c r="Q1944" t="s">
        <v>2881</v>
      </c>
      <c r="R1944">
        <v>296.32656000000003</v>
      </c>
    </row>
    <row r="1945" spans="17:18">
      <c r="Q1945" t="s">
        <v>2882</v>
      </c>
      <c r="R1945">
        <v>182.72888</v>
      </c>
    </row>
    <row r="1946" spans="17:18">
      <c r="Q1946" t="s">
        <v>2883</v>
      </c>
      <c r="R1946">
        <v>2226.9340299999999</v>
      </c>
    </row>
    <row r="1947" spans="17:18">
      <c r="Q1947" t="s">
        <v>2884</v>
      </c>
      <c r="R1947">
        <v>176.05922000000001</v>
      </c>
    </row>
    <row r="1948" spans="17:18">
      <c r="Q1948" t="s">
        <v>2885</v>
      </c>
      <c r="R1948">
        <v>176.95035999999999</v>
      </c>
    </row>
    <row r="1949" spans="17:18">
      <c r="Q1949" t="s">
        <v>2886</v>
      </c>
      <c r="R1949">
        <v>214.16052999999999</v>
      </c>
    </row>
    <row r="1950" spans="17:18">
      <c r="Q1950" t="s">
        <v>2887</v>
      </c>
      <c r="R1950">
        <v>286.07335</v>
      </c>
    </row>
    <row r="1951" spans="17:18">
      <c r="Q1951" t="s">
        <v>2888</v>
      </c>
      <c r="R1951">
        <v>390.54021000000006</v>
      </c>
    </row>
    <row r="1952" spans="17:18">
      <c r="Q1952" t="s">
        <v>2889</v>
      </c>
      <c r="R1952">
        <v>425.36448000000001</v>
      </c>
    </row>
    <row r="1953" spans="17:18">
      <c r="Q1953" t="s">
        <v>2890</v>
      </c>
      <c r="R1953">
        <v>710.89104999999995</v>
      </c>
    </row>
    <row r="1954" spans="17:18">
      <c r="Q1954" t="s">
        <v>2891</v>
      </c>
      <c r="R1954">
        <v>882.63729999999998</v>
      </c>
    </row>
    <row r="1955" spans="17:18">
      <c r="Q1955" t="s">
        <v>2892</v>
      </c>
      <c r="R1955">
        <v>192.64905999999999</v>
      </c>
    </row>
    <row r="1956" spans="17:18">
      <c r="Q1956" t="s">
        <v>2893</v>
      </c>
      <c r="R1956">
        <v>265.99426999999997</v>
      </c>
    </row>
    <row r="1957" spans="17:18">
      <c r="Q1957" t="s">
        <v>2894</v>
      </c>
      <c r="R1957">
        <v>237.93555000000001</v>
      </c>
    </row>
    <row r="1958" spans="17:18">
      <c r="Q1958" t="s">
        <v>2895</v>
      </c>
      <c r="R1958">
        <v>670.50272999999993</v>
      </c>
    </row>
    <row r="1959" spans="17:18">
      <c r="Q1959" t="s">
        <v>2896</v>
      </c>
      <c r="R1959">
        <v>167.24881999999999</v>
      </c>
    </row>
    <row r="1960" spans="17:18">
      <c r="Q1960" t="s">
        <v>2897</v>
      </c>
      <c r="R1960">
        <v>4940.1808199999996</v>
      </c>
    </row>
    <row r="1961" spans="17:18">
      <c r="Q1961" t="s">
        <v>2898</v>
      </c>
      <c r="R1961">
        <v>0</v>
      </c>
    </row>
    <row r="1962" spans="17:18">
      <c r="Q1962" t="s">
        <v>2899</v>
      </c>
      <c r="R1962">
        <v>0</v>
      </c>
    </row>
    <row r="1963" spans="17:18">
      <c r="Q1963" t="s">
        <v>2900</v>
      </c>
      <c r="R1963">
        <v>0</v>
      </c>
    </row>
    <row r="1964" spans="17:18">
      <c r="Q1964" t="s">
        <v>2901</v>
      </c>
      <c r="R1964">
        <v>0</v>
      </c>
    </row>
    <row r="1965" spans="17:18">
      <c r="Q1965" t="s">
        <v>2902</v>
      </c>
      <c r="R1965">
        <v>0</v>
      </c>
    </row>
    <row r="1966" spans="17:18">
      <c r="Q1966" t="s">
        <v>2903</v>
      </c>
      <c r="R1966">
        <v>0</v>
      </c>
    </row>
    <row r="1967" spans="17:18">
      <c r="Q1967" t="s">
        <v>2904</v>
      </c>
      <c r="R1967">
        <v>0</v>
      </c>
    </row>
    <row r="1968" spans="17:18">
      <c r="Q1968" t="s">
        <v>2905</v>
      </c>
      <c r="R1968">
        <v>0</v>
      </c>
    </row>
    <row r="1969" spans="17:18">
      <c r="Q1969" t="s">
        <v>2906</v>
      </c>
      <c r="R1969">
        <v>0</v>
      </c>
    </row>
    <row r="1970" spans="17:18">
      <c r="Q1970" t="s">
        <v>2907</v>
      </c>
      <c r="R1970">
        <v>0</v>
      </c>
    </row>
    <row r="1971" spans="17:18">
      <c r="Q1971" t="s">
        <v>2908</v>
      </c>
      <c r="R1971">
        <v>0</v>
      </c>
    </row>
    <row r="1972" spans="17:18">
      <c r="Q1972" t="s">
        <v>2909</v>
      </c>
      <c r="R1972">
        <v>0</v>
      </c>
    </row>
    <row r="1973" spans="17:18">
      <c r="Q1973" t="s">
        <v>2910</v>
      </c>
      <c r="R1973">
        <v>0</v>
      </c>
    </row>
    <row r="1974" spans="17:18">
      <c r="Q1974" t="s">
        <v>2911</v>
      </c>
      <c r="R1974">
        <v>0</v>
      </c>
    </row>
    <row r="1975" spans="17:18">
      <c r="Q1975" t="s">
        <v>2912</v>
      </c>
      <c r="R1975">
        <v>0</v>
      </c>
    </row>
    <row r="1976" spans="17:18">
      <c r="Q1976" t="s">
        <v>2913</v>
      </c>
      <c r="R1976">
        <v>0</v>
      </c>
    </row>
    <row r="1977" spans="17:18">
      <c r="Q1977" t="s">
        <v>2914</v>
      </c>
      <c r="R1977">
        <v>0</v>
      </c>
    </row>
    <row r="1978" spans="17:18">
      <c r="Q1978" t="s">
        <v>2915</v>
      </c>
      <c r="R1978">
        <v>0</v>
      </c>
    </row>
    <row r="1979" spans="17:18">
      <c r="Q1979" t="s">
        <v>2916</v>
      </c>
      <c r="R1979">
        <v>0</v>
      </c>
    </row>
    <row r="1980" spans="17:18">
      <c r="Q1980" t="s">
        <v>2917</v>
      </c>
      <c r="R1980">
        <v>0</v>
      </c>
    </row>
    <row r="1981" spans="17:18">
      <c r="Q1981" t="s">
        <v>2918</v>
      </c>
      <c r="R1981">
        <v>0</v>
      </c>
    </row>
    <row r="1982" spans="17:18">
      <c r="Q1982" t="s">
        <v>2919</v>
      </c>
      <c r="R1982">
        <v>0</v>
      </c>
    </row>
    <row r="1983" spans="17:18">
      <c r="Q1983" t="s">
        <v>2920</v>
      </c>
      <c r="R1983">
        <v>0</v>
      </c>
    </row>
    <row r="1984" spans="17:18">
      <c r="Q1984" t="s">
        <v>2921</v>
      </c>
      <c r="R1984">
        <v>0</v>
      </c>
    </row>
    <row r="1985" spans="17:18">
      <c r="Q1985" t="s">
        <v>2922</v>
      </c>
      <c r="R1985">
        <v>0</v>
      </c>
    </row>
    <row r="1986" spans="17:18">
      <c r="Q1986" t="s">
        <v>2923</v>
      </c>
      <c r="R1986">
        <v>0</v>
      </c>
    </row>
    <row r="1987" spans="17:18">
      <c r="Q1987" t="s">
        <v>2924</v>
      </c>
      <c r="R1987">
        <v>0</v>
      </c>
    </row>
    <row r="1988" spans="17:18">
      <c r="Q1988" t="s">
        <v>2925</v>
      </c>
      <c r="R1988">
        <v>0</v>
      </c>
    </row>
    <row r="1989" spans="17:18">
      <c r="Q1989" t="s">
        <v>2926</v>
      </c>
      <c r="R1989">
        <v>0</v>
      </c>
    </row>
    <row r="1990" spans="17:18">
      <c r="Q1990" t="s">
        <v>2927</v>
      </c>
      <c r="R1990">
        <v>0</v>
      </c>
    </row>
    <row r="1991" spans="17:18">
      <c r="Q1991" t="s">
        <v>2928</v>
      </c>
      <c r="R1991">
        <v>0</v>
      </c>
    </row>
    <row r="1992" spans="17:18">
      <c r="Q1992" t="s">
        <v>2929</v>
      </c>
      <c r="R1992">
        <v>0</v>
      </c>
    </row>
    <row r="1993" spans="17:18">
      <c r="Q1993" t="s">
        <v>2930</v>
      </c>
      <c r="R1993">
        <v>0</v>
      </c>
    </row>
    <row r="1994" spans="17:18">
      <c r="Q1994" t="s">
        <v>2931</v>
      </c>
      <c r="R1994">
        <v>0</v>
      </c>
    </row>
    <row r="1995" spans="17:18">
      <c r="Q1995" t="s">
        <v>2932</v>
      </c>
      <c r="R1995">
        <v>0</v>
      </c>
    </row>
    <row r="1996" spans="17:18">
      <c r="Q1996" t="s">
        <v>2933</v>
      </c>
      <c r="R1996">
        <v>0</v>
      </c>
    </row>
    <row r="1997" spans="17:18">
      <c r="Q1997" t="s">
        <v>2934</v>
      </c>
      <c r="R1997">
        <v>0</v>
      </c>
    </row>
    <row r="1998" spans="17:18">
      <c r="Q1998" t="s">
        <v>2935</v>
      </c>
      <c r="R1998">
        <v>0</v>
      </c>
    </row>
    <row r="1999" spans="17:18">
      <c r="Q1999" t="s">
        <v>2936</v>
      </c>
      <c r="R1999">
        <v>0</v>
      </c>
    </row>
    <row r="2000" spans="17:18">
      <c r="Q2000" t="s">
        <v>2937</v>
      </c>
      <c r="R2000">
        <v>0</v>
      </c>
    </row>
    <row r="2001" spans="17:18">
      <c r="Q2001" t="s">
        <v>2938</v>
      </c>
      <c r="R2001">
        <v>0</v>
      </c>
    </row>
    <row r="2002" spans="17:18">
      <c r="Q2002" t="s">
        <v>2939</v>
      </c>
      <c r="R2002">
        <v>0</v>
      </c>
    </row>
    <row r="2003" spans="17:18">
      <c r="Q2003" t="s">
        <v>2940</v>
      </c>
      <c r="R2003">
        <v>0</v>
      </c>
    </row>
    <row r="2004" spans="17:18">
      <c r="Q2004" t="s">
        <v>2941</v>
      </c>
      <c r="R2004">
        <v>0</v>
      </c>
    </row>
    <row r="2005" spans="17:18">
      <c r="Q2005" t="s">
        <v>2942</v>
      </c>
      <c r="R2005">
        <v>0</v>
      </c>
    </row>
    <row r="2006" spans="17:18">
      <c r="Q2006" t="s">
        <v>2943</v>
      </c>
      <c r="R2006">
        <v>0</v>
      </c>
    </row>
    <row r="2007" spans="17:18">
      <c r="Q2007" t="s">
        <v>2944</v>
      </c>
      <c r="R2007">
        <v>0</v>
      </c>
    </row>
    <row r="2008" spans="17:18">
      <c r="Q2008" t="s">
        <v>2945</v>
      </c>
      <c r="R2008">
        <v>0</v>
      </c>
    </row>
    <row r="2009" spans="17:18">
      <c r="Q2009" t="s">
        <v>2946</v>
      </c>
      <c r="R2009">
        <v>0</v>
      </c>
    </row>
    <row r="2010" spans="17:18">
      <c r="Q2010" t="s">
        <v>2947</v>
      </c>
      <c r="R2010">
        <v>0</v>
      </c>
    </row>
    <row r="2011" spans="17:18">
      <c r="Q2011" t="s">
        <v>2948</v>
      </c>
      <c r="R2011">
        <v>0</v>
      </c>
    </row>
    <row r="2012" spans="17:18">
      <c r="Q2012" t="s">
        <v>2949</v>
      </c>
      <c r="R2012">
        <v>0</v>
      </c>
    </row>
    <row r="2013" spans="17:18">
      <c r="Q2013" t="s">
        <v>2950</v>
      </c>
      <c r="R2013">
        <v>0</v>
      </c>
    </row>
    <row r="2014" spans="17:18">
      <c r="Q2014" t="s">
        <v>2951</v>
      </c>
      <c r="R2014">
        <v>0</v>
      </c>
    </row>
    <row r="2015" spans="17:18">
      <c r="Q2015" t="s">
        <v>2952</v>
      </c>
      <c r="R2015">
        <v>0</v>
      </c>
    </row>
    <row r="2016" spans="17:18">
      <c r="Q2016" t="s">
        <v>2953</v>
      </c>
      <c r="R2016">
        <v>0</v>
      </c>
    </row>
    <row r="2017" spans="17:18">
      <c r="Q2017" t="s">
        <v>2954</v>
      </c>
      <c r="R2017">
        <v>0</v>
      </c>
    </row>
    <row r="2018" spans="17:18">
      <c r="Q2018" t="s">
        <v>2955</v>
      </c>
      <c r="R2018">
        <v>0</v>
      </c>
    </row>
    <row r="2019" spans="17:18">
      <c r="Q2019" t="s">
        <v>2956</v>
      </c>
      <c r="R2019">
        <v>0</v>
      </c>
    </row>
    <row r="2020" spans="17:18">
      <c r="Q2020" t="s">
        <v>2957</v>
      </c>
      <c r="R2020">
        <v>0</v>
      </c>
    </row>
    <row r="2021" spans="17:18">
      <c r="Q2021" t="s">
        <v>2958</v>
      </c>
      <c r="R2021">
        <v>0</v>
      </c>
    </row>
    <row r="2022" spans="17:18">
      <c r="Q2022" t="s">
        <v>2959</v>
      </c>
      <c r="R2022">
        <v>0</v>
      </c>
    </row>
    <row r="2023" spans="17:18">
      <c r="Q2023" t="s">
        <v>2960</v>
      </c>
      <c r="R2023">
        <v>0</v>
      </c>
    </row>
    <row r="2024" spans="17:18">
      <c r="Q2024" t="s">
        <v>2961</v>
      </c>
      <c r="R2024">
        <v>0</v>
      </c>
    </row>
    <row r="2025" spans="17:18">
      <c r="Q2025" t="s">
        <v>2962</v>
      </c>
      <c r="R2025">
        <v>0</v>
      </c>
    </row>
    <row r="2026" spans="17:18">
      <c r="Q2026" t="s">
        <v>2963</v>
      </c>
      <c r="R2026">
        <v>0</v>
      </c>
    </row>
    <row r="2027" spans="17:18">
      <c r="Q2027" t="s">
        <v>2964</v>
      </c>
      <c r="R2027">
        <v>0</v>
      </c>
    </row>
    <row r="2028" spans="17:18">
      <c r="Q2028" t="s">
        <v>2965</v>
      </c>
      <c r="R2028">
        <v>0</v>
      </c>
    </row>
    <row r="2029" spans="17:18">
      <c r="Q2029" t="s">
        <v>2966</v>
      </c>
      <c r="R2029">
        <v>0</v>
      </c>
    </row>
    <row r="2030" spans="17:18">
      <c r="Q2030" t="s">
        <v>2967</v>
      </c>
      <c r="R2030">
        <v>0</v>
      </c>
    </row>
    <row r="2031" spans="17:18">
      <c r="Q2031" t="s">
        <v>2968</v>
      </c>
      <c r="R2031">
        <v>0</v>
      </c>
    </row>
    <row r="2032" spans="17:18">
      <c r="Q2032" t="s">
        <v>2969</v>
      </c>
      <c r="R2032">
        <v>0</v>
      </c>
    </row>
    <row r="2033" spans="17:18">
      <c r="Q2033" t="s">
        <v>2970</v>
      </c>
      <c r="R2033">
        <v>0</v>
      </c>
    </row>
    <row r="2034" spans="17:18">
      <c r="Q2034" t="s">
        <v>2971</v>
      </c>
      <c r="R2034">
        <v>0</v>
      </c>
    </row>
    <row r="2035" spans="17:18">
      <c r="Q2035" t="s">
        <v>2972</v>
      </c>
      <c r="R2035">
        <v>0</v>
      </c>
    </row>
    <row r="2036" spans="17:18">
      <c r="Q2036" t="s">
        <v>2973</v>
      </c>
      <c r="R2036">
        <v>0</v>
      </c>
    </row>
    <row r="2037" spans="17:18">
      <c r="Q2037" t="s">
        <v>2974</v>
      </c>
      <c r="R2037">
        <v>0</v>
      </c>
    </row>
    <row r="2038" spans="17:18">
      <c r="Q2038" t="s">
        <v>2975</v>
      </c>
      <c r="R2038">
        <v>0</v>
      </c>
    </row>
    <row r="2039" spans="17:18">
      <c r="Q2039" t="s">
        <v>2976</v>
      </c>
      <c r="R2039">
        <v>0</v>
      </c>
    </row>
    <row r="2040" spans="17:18">
      <c r="Q2040" t="s">
        <v>2977</v>
      </c>
      <c r="R2040">
        <v>0</v>
      </c>
    </row>
    <row r="2041" spans="17:18">
      <c r="Q2041" t="s">
        <v>2978</v>
      </c>
      <c r="R2041">
        <v>0</v>
      </c>
    </row>
    <row r="2042" spans="17:18">
      <c r="Q2042" t="s">
        <v>2979</v>
      </c>
      <c r="R2042">
        <v>0</v>
      </c>
    </row>
    <row r="2043" spans="17:18">
      <c r="Q2043" t="s">
        <v>2980</v>
      </c>
      <c r="R2043">
        <v>0</v>
      </c>
    </row>
    <row r="2044" spans="17:18">
      <c r="Q2044" t="s">
        <v>2981</v>
      </c>
      <c r="R2044">
        <v>0</v>
      </c>
    </row>
    <row r="2045" spans="17:18">
      <c r="Q2045" t="s">
        <v>2982</v>
      </c>
      <c r="R2045">
        <v>0</v>
      </c>
    </row>
    <row r="2046" spans="17:18">
      <c r="Q2046" t="s">
        <v>2983</v>
      </c>
      <c r="R2046">
        <v>0</v>
      </c>
    </row>
    <row r="2047" spans="17:18">
      <c r="Q2047" t="s">
        <v>2984</v>
      </c>
      <c r="R2047">
        <v>0</v>
      </c>
    </row>
    <row r="2048" spans="17:18">
      <c r="Q2048" t="s">
        <v>2985</v>
      </c>
      <c r="R2048">
        <v>0</v>
      </c>
    </row>
    <row r="2049" spans="17:18">
      <c r="Q2049" t="s">
        <v>2986</v>
      </c>
      <c r="R2049">
        <v>0</v>
      </c>
    </row>
    <row r="2050" spans="17:18">
      <c r="Q2050" t="s">
        <v>2987</v>
      </c>
      <c r="R2050">
        <v>0</v>
      </c>
    </row>
    <row r="2051" spans="17:18">
      <c r="Q2051" t="s">
        <v>2988</v>
      </c>
      <c r="R2051">
        <v>0</v>
      </c>
    </row>
    <row r="2052" spans="17:18">
      <c r="Q2052" t="s">
        <v>2989</v>
      </c>
      <c r="R2052">
        <v>0</v>
      </c>
    </row>
    <row r="2053" spans="17:18">
      <c r="Q2053" t="s">
        <v>2990</v>
      </c>
      <c r="R2053">
        <v>0</v>
      </c>
    </row>
    <row r="2054" spans="17:18">
      <c r="Q2054" t="s">
        <v>2991</v>
      </c>
      <c r="R2054">
        <v>0</v>
      </c>
    </row>
    <row r="2055" spans="17:18">
      <c r="Q2055" t="s">
        <v>2992</v>
      </c>
      <c r="R2055">
        <v>0</v>
      </c>
    </row>
    <row r="2056" spans="17:18">
      <c r="Q2056" t="s">
        <v>2993</v>
      </c>
      <c r="R2056">
        <v>0</v>
      </c>
    </row>
    <row r="2057" spans="17:18">
      <c r="Q2057" t="s">
        <v>2994</v>
      </c>
      <c r="R2057">
        <v>0</v>
      </c>
    </row>
    <row r="2058" spans="17:18">
      <c r="Q2058" t="s">
        <v>2995</v>
      </c>
      <c r="R2058">
        <v>0</v>
      </c>
    </row>
    <row r="2059" spans="17:18">
      <c r="Q2059" t="s">
        <v>2996</v>
      </c>
      <c r="R2059">
        <v>0</v>
      </c>
    </row>
    <row r="2060" spans="17:18">
      <c r="Q2060" t="s">
        <v>2997</v>
      </c>
      <c r="R2060">
        <v>0</v>
      </c>
    </row>
    <row r="2061" spans="17:18">
      <c r="Q2061" t="s">
        <v>2998</v>
      </c>
      <c r="R2061">
        <v>0</v>
      </c>
    </row>
    <row r="2062" spans="17:18">
      <c r="Q2062" t="s">
        <v>2999</v>
      </c>
      <c r="R2062">
        <v>0</v>
      </c>
    </row>
    <row r="2063" spans="17:18">
      <c r="Q2063" t="s">
        <v>3000</v>
      </c>
      <c r="R2063">
        <v>0</v>
      </c>
    </row>
    <row r="2064" spans="17:18">
      <c r="Q2064" t="s">
        <v>3001</v>
      </c>
      <c r="R2064">
        <v>0</v>
      </c>
    </row>
    <row r="2065" spans="17:18">
      <c r="Q2065" t="s">
        <v>3002</v>
      </c>
      <c r="R2065">
        <v>0</v>
      </c>
    </row>
    <row r="2066" spans="17:18">
      <c r="Q2066" t="s">
        <v>3003</v>
      </c>
      <c r="R2066">
        <v>0</v>
      </c>
    </row>
    <row r="2067" spans="17:18">
      <c r="Q2067" t="s">
        <v>3004</v>
      </c>
      <c r="R2067">
        <v>0</v>
      </c>
    </row>
    <row r="2068" spans="17:18">
      <c r="Q2068" t="s">
        <v>3005</v>
      </c>
      <c r="R2068">
        <v>0</v>
      </c>
    </row>
    <row r="2069" spans="17:18">
      <c r="Q2069" t="s">
        <v>3006</v>
      </c>
      <c r="R2069">
        <v>0</v>
      </c>
    </row>
    <row r="2070" spans="17:18">
      <c r="Q2070" t="s">
        <v>3007</v>
      </c>
      <c r="R2070">
        <v>0</v>
      </c>
    </row>
    <row r="2071" spans="17:18">
      <c r="Q2071" t="s">
        <v>3008</v>
      </c>
      <c r="R2071">
        <v>0</v>
      </c>
    </row>
    <row r="2072" spans="17:18">
      <c r="Q2072" t="s">
        <v>3009</v>
      </c>
      <c r="R2072">
        <v>0</v>
      </c>
    </row>
    <row r="2073" spans="17:18">
      <c r="Q2073" t="s">
        <v>3010</v>
      </c>
      <c r="R2073">
        <v>0</v>
      </c>
    </row>
    <row r="2074" spans="17:18">
      <c r="Q2074" t="s">
        <v>3011</v>
      </c>
      <c r="R2074">
        <v>0</v>
      </c>
    </row>
    <row r="2075" spans="17:18">
      <c r="Q2075" t="s">
        <v>3012</v>
      </c>
      <c r="R2075">
        <v>0</v>
      </c>
    </row>
    <row r="2076" spans="17:18">
      <c r="Q2076" t="s">
        <v>3013</v>
      </c>
      <c r="R2076">
        <v>0</v>
      </c>
    </row>
    <row r="2077" spans="17:18">
      <c r="Q2077" t="s">
        <v>3014</v>
      </c>
      <c r="R2077">
        <v>0</v>
      </c>
    </row>
    <row r="2078" spans="17:18">
      <c r="Q2078" t="s">
        <v>3015</v>
      </c>
      <c r="R2078">
        <v>0</v>
      </c>
    </row>
    <row r="2079" spans="17:18">
      <c r="Q2079" t="s">
        <v>3016</v>
      </c>
      <c r="R2079">
        <v>0</v>
      </c>
    </row>
    <row r="2080" spans="17:18">
      <c r="Q2080" t="s">
        <v>3017</v>
      </c>
      <c r="R2080">
        <v>0</v>
      </c>
    </row>
    <row r="2081" spans="17:18">
      <c r="Q2081" t="s">
        <v>3018</v>
      </c>
      <c r="R2081">
        <v>0</v>
      </c>
    </row>
    <row r="2082" spans="17:18">
      <c r="Q2082" t="s">
        <v>3019</v>
      </c>
      <c r="R2082">
        <v>0</v>
      </c>
    </row>
    <row r="2083" spans="17:18">
      <c r="Q2083" t="s">
        <v>3020</v>
      </c>
      <c r="R2083">
        <v>0</v>
      </c>
    </row>
    <row r="2084" spans="17:18">
      <c r="Q2084" t="s">
        <v>3021</v>
      </c>
      <c r="R2084">
        <v>0</v>
      </c>
    </row>
    <row r="2085" spans="17:18">
      <c r="Q2085" t="s">
        <v>3022</v>
      </c>
      <c r="R2085">
        <v>0</v>
      </c>
    </row>
    <row r="2086" spans="17:18">
      <c r="Q2086" t="s">
        <v>3023</v>
      </c>
      <c r="R2086">
        <v>0</v>
      </c>
    </row>
    <row r="2087" spans="17:18">
      <c r="Q2087" t="s">
        <v>3024</v>
      </c>
      <c r="R2087">
        <v>0</v>
      </c>
    </row>
    <row r="2088" spans="17:18">
      <c r="Q2088" t="s">
        <v>3025</v>
      </c>
      <c r="R2088">
        <v>0</v>
      </c>
    </row>
    <row r="2089" spans="17:18">
      <c r="Q2089" t="s">
        <v>3026</v>
      </c>
      <c r="R2089">
        <v>0</v>
      </c>
    </row>
    <row r="2090" spans="17:18">
      <c r="Q2090" t="s">
        <v>3027</v>
      </c>
      <c r="R2090">
        <v>0</v>
      </c>
    </row>
    <row r="2091" spans="17:18">
      <c r="Q2091" t="s">
        <v>3028</v>
      </c>
      <c r="R2091">
        <v>0</v>
      </c>
    </row>
    <row r="2092" spans="17:18">
      <c r="Q2092" t="s">
        <v>3029</v>
      </c>
      <c r="R2092">
        <v>0</v>
      </c>
    </row>
    <row r="2093" spans="17:18">
      <c r="Q2093" t="s">
        <v>3030</v>
      </c>
      <c r="R2093">
        <v>0</v>
      </c>
    </row>
    <row r="2094" spans="17:18">
      <c r="Q2094" t="s">
        <v>3031</v>
      </c>
      <c r="R2094">
        <v>0</v>
      </c>
    </row>
    <row r="2095" spans="17:18">
      <c r="Q2095" t="s">
        <v>3032</v>
      </c>
      <c r="R2095">
        <v>0</v>
      </c>
    </row>
    <row r="2096" spans="17:18">
      <c r="Q2096" t="s">
        <v>3033</v>
      </c>
      <c r="R2096">
        <v>0</v>
      </c>
    </row>
    <row r="2097" spans="17:18">
      <c r="Q2097" t="s">
        <v>3034</v>
      </c>
      <c r="R2097">
        <v>0</v>
      </c>
    </row>
    <row r="2098" spans="17:18">
      <c r="Q2098" t="s">
        <v>3035</v>
      </c>
      <c r="R2098">
        <v>0</v>
      </c>
    </row>
    <row r="2099" spans="17:18">
      <c r="Q2099" t="s">
        <v>3036</v>
      </c>
      <c r="R2099">
        <v>0</v>
      </c>
    </row>
    <row r="2100" spans="17:18">
      <c r="Q2100" t="s">
        <v>3037</v>
      </c>
      <c r="R2100">
        <v>0</v>
      </c>
    </row>
    <row r="2101" spans="17:18">
      <c r="Q2101" t="s">
        <v>3038</v>
      </c>
      <c r="R2101">
        <v>0</v>
      </c>
    </row>
    <row r="2102" spans="17:18">
      <c r="Q2102" t="s">
        <v>3039</v>
      </c>
      <c r="R2102">
        <v>0</v>
      </c>
    </row>
    <row r="2103" spans="17:18">
      <c r="Q2103" t="s">
        <v>3040</v>
      </c>
      <c r="R2103">
        <v>0</v>
      </c>
    </row>
    <row r="2104" spans="17:18">
      <c r="Q2104" t="s">
        <v>3041</v>
      </c>
      <c r="R2104">
        <v>0</v>
      </c>
    </row>
    <row r="2105" spans="17:18">
      <c r="Q2105" t="s">
        <v>3042</v>
      </c>
      <c r="R2105">
        <v>0</v>
      </c>
    </row>
    <row r="2106" spans="17:18">
      <c r="Q2106" t="s">
        <v>3043</v>
      </c>
      <c r="R2106">
        <v>0</v>
      </c>
    </row>
    <row r="2107" spans="17:18">
      <c r="Q2107" t="s">
        <v>3044</v>
      </c>
      <c r="R2107">
        <v>0</v>
      </c>
    </row>
    <row r="2108" spans="17:18">
      <c r="Q2108" t="s">
        <v>3045</v>
      </c>
      <c r="R2108">
        <v>0</v>
      </c>
    </row>
    <row r="2109" spans="17:18">
      <c r="Q2109" t="s">
        <v>3046</v>
      </c>
      <c r="R2109">
        <v>0</v>
      </c>
    </row>
    <row r="2110" spans="17:18">
      <c r="Q2110" t="s">
        <v>3047</v>
      </c>
      <c r="R2110">
        <v>0</v>
      </c>
    </row>
    <row r="2111" spans="17:18">
      <c r="Q2111" t="s">
        <v>3048</v>
      </c>
      <c r="R2111">
        <v>0</v>
      </c>
    </row>
    <row r="2112" spans="17:18">
      <c r="Q2112" t="s">
        <v>3049</v>
      </c>
      <c r="R2112">
        <v>0</v>
      </c>
    </row>
    <row r="2113" spans="17:18">
      <c r="Q2113" t="s">
        <v>3050</v>
      </c>
      <c r="R2113">
        <v>0</v>
      </c>
    </row>
    <row r="2114" spans="17:18">
      <c r="Q2114" t="s">
        <v>3051</v>
      </c>
      <c r="R2114">
        <v>0</v>
      </c>
    </row>
    <row r="2115" spans="17:18">
      <c r="Q2115" t="s">
        <v>3052</v>
      </c>
      <c r="R2115">
        <v>0</v>
      </c>
    </row>
    <row r="2116" spans="17:18">
      <c r="Q2116" t="s">
        <v>3053</v>
      </c>
      <c r="R2116">
        <v>0</v>
      </c>
    </row>
    <row r="2117" spans="17:18">
      <c r="Q2117" t="s">
        <v>3054</v>
      </c>
      <c r="R2117">
        <v>0</v>
      </c>
    </row>
    <row r="2118" spans="17:18">
      <c r="Q2118" t="s">
        <v>3055</v>
      </c>
      <c r="R2118">
        <v>0</v>
      </c>
    </row>
    <row r="2119" spans="17:18">
      <c r="Q2119" t="s">
        <v>3056</v>
      </c>
      <c r="R2119">
        <v>0</v>
      </c>
    </row>
    <row r="2120" spans="17:18">
      <c r="Q2120" t="s">
        <v>3057</v>
      </c>
      <c r="R2120">
        <v>0</v>
      </c>
    </row>
    <row r="2121" spans="17:18">
      <c r="Q2121" t="s">
        <v>3058</v>
      </c>
      <c r="R2121">
        <v>0</v>
      </c>
    </row>
    <row r="2122" spans="17:18">
      <c r="Q2122" t="s">
        <v>3059</v>
      </c>
      <c r="R2122">
        <v>0</v>
      </c>
    </row>
    <row r="2123" spans="17:18">
      <c r="Q2123" t="s">
        <v>3060</v>
      </c>
      <c r="R2123">
        <v>0</v>
      </c>
    </row>
    <row r="2124" spans="17:18">
      <c r="Q2124" t="s">
        <v>3061</v>
      </c>
      <c r="R2124">
        <v>0</v>
      </c>
    </row>
    <row r="2125" spans="17:18">
      <c r="Q2125" t="s">
        <v>3062</v>
      </c>
      <c r="R2125">
        <v>0</v>
      </c>
    </row>
    <row r="2126" spans="17:18">
      <c r="Q2126" t="s">
        <v>3063</v>
      </c>
      <c r="R2126">
        <v>0</v>
      </c>
    </row>
    <row r="2127" spans="17:18">
      <c r="Q2127" t="s">
        <v>3064</v>
      </c>
      <c r="R2127">
        <v>0</v>
      </c>
    </row>
    <row r="2128" spans="17:18">
      <c r="Q2128" t="s">
        <v>3065</v>
      </c>
      <c r="R2128">
        <v>0</v>
      </c>
    </row>
    <row r="2129" spans="17:18">
      <c r="Q2129" t="s">
        <v>3066</v>
      </c>
      <c r="R2129">
        <v>0</v>
      </c>
    </row>
    <row r="2130" spans="17:18">
      <c r="Q2130" t="s">
        <v>3067</v>
      </c>
      <c r="R2130">
        <v>0</v>
      </c>
    </row>
    <row r="2131" spans="17:18">
      <c r="Q2131" t="s">
        <v>3068</v>
      </c>
      <c r="R2131">
        <v>0</v>
      </c>
    </row>
    <row r="2132" spans="17:18">
      <c r="Q2132" t="s">
        <v>3069</v>
      </c>
      <c r="R2132">
        <v>0</v>
      </c>
    </row>
    <row r="2133" spans="17:18">
      <c r="Q2133" t="s">
        <v>3070</v>
      </c>
      <c r="R2133">
        <v>0</v>
      </c>
    </row>
    <row r="2134" spans="17:18">
      <c r="Q2134" t="s">
        <v>3071</v>
      </c>
      <c r="R2134">
        <v>0</v>
      </c>
    </row>
    <row r="2135" spans="17:18">
      <c r="Q2135" t="s">
        <v>3072</v>
      </c>
      <c r="R2135">
        <v>0</v>
      </c>
    </row>
    <row r="2136" spans="17:18">
      <c r="Q2136" t="s">
        <v>3073</v>
      </c>
      <c r="R2136">
        <v>0</v>
      </c>
    </row>
    <row r="2137" spans="17:18">
      <c r="Q2137" t="s">
        <v>3074</v>
      </c>
      <c r="R2137">
        <v>0</v>
      </c>
    </row>
    <row r="2138" spans="17:18">
      <c r="Q2138" t="s">
        <v>3075</v>
      </c>
      <c r="R2138">
        <v>0</v>
      </c>
    </row>
    <row r="2139" spans="17:18">
      <c r="Q2139" t="s">
        <v>3076</v>
      </c>
      <c r="R2139">
        <v>0</v>
      </c>
    </row>
    <row r="2140" spans="17:18">
      <c r="Q2140" t="s">
        <v>3077</v>
      </c>
      <c r="R2140">
        <v>0</v>
      </c>
    </row>
    <row r="2141" spans="17:18">
      <c r="Q2141" t="s">
        <v>3078</v>
      </c>
      <c r="R2141">
        <v>0</v>
      </c>
    </row>
    <row r="2142" spans="17:18">
      <c r="Q2142" t="s">
        <v>3079</v>
      </c>
      <c r="R2142">
        <v>0</v>
      </c>
    </row>
    <row r="2143" spans="17:18">
      <c r="Q2143" t="s">
        <v>3080</v>
      </c>
      <c r="R2143">
        <v>0</v>
      </c>
    </row>
    <row r="2144" spans="17:18">
      <c r="Q2144" t="s">
        <v>3081</v>
      </c>
      <c r="R2144">
        <v>0</v>
      </c>
    </row>
    <row r="2145" spans="17:18">
      <c r="Q2145" t="s">
        <v>3082</v>
      </c>
      <c r="R2145">
        <v>0</v>
      </c>
    </row>
    <row r="2146" spans="17:18">
      <c r="Q2146" t="s">
        <v>3083</v>
      </c>
      <c r="R2146">
        <v>0</v>
      </c>
    </row>
    <row r="2147" spans="17:18">
      <c r="Q2147" t="s">
        <v>3084</v>
      </c>
      <c r="R2147">
        <v>0</v>
      </c>
    </row>
    <row r="2148" spans="17:18">
      <c r="Q2148" t="s">
        <v>3085</v>
      </c>
      <c r="R2148">
        <v>0</v>
      </c>
    </row>
    <row r="2149" spans="17:18">
      <c r="Q2149" t="s">
        <v>3086</v>
      </c>
      <c r="R2149">
        <v>0</v>
      </c>
    </row>
    <row r="2150" spans="17:18">
      <c r="Q2150" t="s">
        <v>3087</v>
      </c>
      <c r="R2150">
        <v>0</v>
      </c>
    </row>
    <row r="2151" spans="17:18">
      <c r="Q2151" t="s">
        <v>3088</v>
      </c>
      <c r="R2151">
        <v>0</v>
      </c>
    </row>
    <row r="2152" spans="17:18">
      <c r="Q2152" t="s">
        <v>3089</v>
      </c>
      <c r="R2152">
        <v>0</v>
      </c>
    </row>
    <row r="2153" spans="17:18">
      <c r="Q2153" t="s">
        <v>3090</v>
      </c>
      <c r="R2153">
        <v>0</v>
      </c>
    </row>
    <row r="2154" spans="17:18">
      <c r="Q2154" t="s">
        <v>3091</v>
      </c>
      <c r="R2154">
        <v>0</v>
      </c>
    </row>
    <row r="2155" spans="17:18">
      <c r="Q2155" t="s">
        <v>3092</v>
      </c>
      <c r="R2155">
        <v>0</v>
      </c>
    </row>
    <row r="2156" spans="17:18">
      <c r="Q2156" t="s">
        <v>3093</v>
      </c>
      <c r="R2156">
        <v>0</v>
      </c>
    </row>
    <row r="2157" spans="17:18">
      <c r="Q2157" t="s">
        <v>3094</v>
      </c>
      <c r="R2157">
        <v>0</v>
      </c>
    </row>
    <row r="2158" spans="17:18">
      <c r="Q2158" t="s">
        <v>3095</v>
      </c>
      <c r="R2158">
        <v>0</v>
      </c>
    </row>
    <row r="2159" spans="17:18">
      <c r="Q2159" t="s">
        <v>3096</v>
      </c>
      <c r="R2159">
        <v>0</v>
      </c>
    </row>
    <row r="2160" spans="17:18">
      <c r="Q2160" t="s">
        <v>3097</v>
      </c>
      <c r="R2160">
        <v>0</v>
      </c>
    </row>
    <row r="2161" spans="17:18">
      <c r="Q2161" t="s">
        <v>3098</v>
      </c>
      <c r="R2161">
        <v>0</v>
      </c>
    </row>
    <row r="2162" spans="17:18">
      <c r="Q2162" t="s">
        <v>3099</v>
      </c>
      <c r="R2162">
        <v>0</v>
      </c>
    </row>
    <row r="2163" spans="17:18">
      <c r="Q2163" t="s">
        <v>3100</v>
      </c>
      <c r="R2163">
        <v>0</v>
      </c>
    </row>
    <row r="2164" spans="17:18">
      <c r="Q2164" t="s">
        <v>3101</v>
      </c>
      <c r="R2164">
        <v>0</v>
      </c>
    </row>
    <row r="2165" spans="17:18">
      <c r="Q2165" t="s">
        <v>3102</v>
      </c>
      <c r="R2165">
        <v>0</v>
      </c>
    </row>
    <row r="2166" spans="17:18">
      <c r="Q2166" t="s">
        <v>3103</v>
      </c>
      <c r="R2166">
        <v>0</v>
      </c>
    </row>
    <row r="2167" spans="17:18">
      <c r="Q2167" t="s">
        <v>3104</v>
      </c>
      <c r="R2167">
        <v>0</v>
      </c>
    </row>
    <row r="2168" spans="17:18">
      <c r="Q2168" t="s">
        <v>3105</v>
      </c>
      <c r="R2168">
        <v>0</v>
      </c>
    </row>
    <row r="2169" spans="17:18">
      <c r="Q2169" t="s">
        <v>3106</v>
      </c>
      <c r="R2169">
        <v>0</v>
      </c>
    </row>
    <row r="2170" spans="17:18">
      <c r="Q2170" t="s">
        <v>3107</v>
      </c>
      <c r="R2170">
        <v>0</v>
      </c>
    </row>
    <row r="2171" spans="17:18">
      <c r="Q2171" t="s">
        <v>3108</v>
      </c>
      <c r="R2171">
        <v>0</v>
      </c>
    </row>
    <row r="2172" spans="17:18">
      <c r="Q2172" t="s">
        <v>3109</v>
      </c>
      <c r="R2172">
        <v>0</v>
      </c>
    </row>
    <row r="2173" spans="17:18">
      <c r="Q2173" t="s">
        <v>3110</v>
      </c>
      <c r="R2173">
        <v>0</v>
      </c>
    </row>
    <row r="2174" spans="17:18">
      <c r="Q2174" t="s">
        <v>3111</v>
      </c>
      <c r="R2174">
        <v>0</v>
      </c>
    </row>
    <row r="2175" spans="17:18">
      <c r="Q2175" t="s">
        <v>3112</v>
      </c>
      <c r="R2175">
        <v>0</v>
      </c>
    </row>
    <row r="2176" spans="17:18">
      <c r="Q2176" t="s">
        <v>3113</v>
      </c>
      <c r="R2176">
        <v>0</v>
      </c>
    </row>
    <row r="2177" spans="17:18">
      <c r="Q2177" t="s">
        <v>3114</v>
      </c>
      <c r="R2177">
        <v>0</v>
      </c>
    </row>
    <row r="2178" spans="17:18">
      <c r="Q2178" t="s">
        <v>3115</v>
      </c>
      <c r="R2178">
        <v>0</v>
      </c>
    </row>
    <row r="2179" spans="17:18">
      <c r="Q2179" t="s">
        <v>3116</v>
      </c>
      <c r="R2179">
        <v>0</v>
      </c>
    </row>
    <row r="2180" spans="17:18">
      <c r="Q2180" t="s">
        <v>3117</v>
      </c>
      <c r="R2180">
        <v>0</v>
      </c>
    </row>
    <row r="2181" spans="17:18">
      <c r="Q2181" t="s">
        <v>3118</v>
      </c>
      <c r="R2181">
        <v>0</v>
      </c>
    </row>
    <row r="2182" spans="17:18">
      <c r="Q2182" t="s">
        <v>3119</v>
      </c>
      <c r="R2182">
        <v>0</v>
      </c>
    </row>
    <row r="2183" spans="17:18">
      <c r="Q2183" t="s">
        <v>1716</v>
      </c>
      <c r="R2183">
        <v>0</v>
      </c>
    </row>
    <row r="2184" spans="17:18">
      <c r="Q2184" t="s">
        <v>3120</v>
      </c>
      <c r="R2184">
        <v>0</v>
      </c>
    </row>
    <row r="2185" spans="17:18">
      <c r="Q2185" t="s">
        <v>3121</v>
      </c>
      <c r="R2185">
        <v>0</v>
      </c>
    </row>
    <row r="2186" spans="17:18">
      <c r="Q2186" t="s">
        <v>3122</v>
      </c>
      <c r="R2186">
        <v>0</v>
      </c>
    </row>
    <row r="2187" spans="17:18">
      <c r="Q2187" t="s">
        <v>3123</v>
      </c>
      <c r="R2187">
        <v>0</v>
      </c>
    </row>
    <row r="2188" spans="17:18">
      <c r="Q2188" t="s">
        <v>3124</v>
      </c>
      <c r="R2188">
        <v>0</v>
      </c>
    </row>
    <row r="2189" spans="17:18">
      <c r="Q2189" t="s">
        <v>3125</v>
      </c>
      <c r="R2189">
        <v>0</v>
      </c>
    </row>
    <row r="2190" spans="17:18">
      <c r="Q2190" t="s">
        <v>3126</v>
      </c>
      <c r="R2190">
        <v>0</v>
      </c>
    </row>
    <row r="2191" spans="17:18">
      <c r="Q2191" t="s">
        <v>3127</v>
      </c>
      <c r="R2191">
        <v>0</v>
      </c>
    </row>
    <row r="2192" spans="17:18">
      <c r="Q2192" t="s">
        <v>3128</v>
      </c>
      <c r="R2192">
        <v>0</v>
      </c>
    </row>
    <row r="2193" spans="17:18">
      <c r="Q2193" t="s">
        <v>3129</v>
      </c>
      <c r="R2193">
        <v>0</v>
      </c>
    </row>
    <row r="2194" spans="17:18">
      <c r="Q2194" t="s">
        <v>3130</v>
      </c>
      <c r="R2194">
        <v>0</v>
      </c>
    </row>
    <row r="2195" spans="17:18">
      <c r="Q2195" t="s">
        <v>3131</v>
      </c>
      <c r="R2195">
        <v>0</v>
      </c>
    </row>
    <row r="2196" spans="17:18">
      <c r="Q2196" t="s">
        <v>3132</v>
      </c>
      <c r="R2196">
        <v>0</v>
      </c>
    </row>
    <row r="2197" spans="17:18">
      <c r="Q2197" t="s">
        <v>3133</v>
      </c>
      <c r="R2197">
        <v>0</v>
      </c>
    </row>
    <row r="2198" spans="17:18">
      <c r="Q2198" t="s">
        <v>3134</v>
      </c>
      <c r="R2198">
        <v>0</v>
      </c>
    </row>
    <row r="2199" spans="17:18">
      <c r="Q2199" t="s">
        <v>3135</v>
      </c>
      <c r="R2199">
        <v>0</v>
      </c>
    </row>
    <row r="2200" spans="17:18">
      <c r="Q2200" t="s">
        <v>3136</v>
      </c>
      <c r="R2200">
        <v>0</v>
      </c>
    </row>
    <row r="2201" spans="17:18">
      <c r="Q2201" t="s">
        <v>3137</v>
      </c>
      <c r="R2201">
        <v>0</v>
      </c>
    </row>
    <row r="2202" spans="17:18">
      <c r="Q2202" t="s">
        <v>3138</v>
      </c>
      <c r="R2202">
        <v>0</v>
      </c>
    </row>
    <row r="2203" spans="17:18">
      <c r="Q2203" t="s">
        <v>3139</v>
      </c>
      <c r="R2203">
        <v>0</v>
      </c>
    </row>
    <row r="2204" spans="17:18">
      <c r="Q2204" t="s">
        <v>3140</v>
      </c>
      <c r="R2204">
        <v>0</v>
      </c>
    </row>
    <row r="2205" spans="17:18">
      <c r="Q2205" t="s">
        <v>3141</v>
      </c>
      <c r="R2205">
        <v>0</v>
      </c>
    </row>
    <row r="2206" spans="17:18">
      <c r="Q2206" t="s">
        <v>3142</v>
      </c>
      <c r="R2206">
        <v>0</v>
      </c>
    </row>
    <row r="2207" spans="17:18">
      <c r="Q2207" t="s">
        <v>3143</v>
      </c>
      <c r="R2207">
        <v>0</v>
      </c>
    </row>
    <row r="2208" spans="17:18">
      <c r="Q2208" t="s">
        <v>3144</v>
      </c>
      <c r="R2208">
        <v>0</v>
      </c>
    </row>
    <row r="2209" spans="17:18">
      <c r="Q2209" t="s">
        <v>3145</v>
      </c>
      <c r="R2209">
        <v>0</v>
      </c>
    </row>
    <row r="2210" spans="17:18">
      <c r="Q2210" t="s">
        <v>3146</v>
      </c>
      <c r="R2210">
        <v>0</v>
      </c>
    </row>
    <row r="2211" spans="17:18">
      <c r="Q2211" t="s">
        <v>3147</v>
      </c>
      <c r="R2211">
        <v>0</v>
      </c>
    </row>
    <row r="2212" spans="17:18">
      <c r="Q2212" t="s">
        <v>3148</v>
      </c>
      <c r="R2212">
        <v>0</v>
      </c>
    </row>
    <row r="2213" spans="17:18">
      <c r="Q2213" t="s">
        <v>3149</v>
      </c>
      <c r="R2213">
        <v>0</v>
      </c>
    </row>
    <row r="2214" spans="17:18">
      <c r="Q2214" t="s">
        <v>3150</v>
      </c>
      <c r="R2214">
        <v>0</v>
      </c>
    </row>
    <row r="2215" spans="17:18">
      <c r="Q2215" t="s">
        <v>3151</v>
      </c>
      <c r="R2215">
        <v>0</v>
      </c>
    </row>
    <row r="2216" spans="17:18">
      <c r="Q2216" t="s">
        <v>3152</v>
      </c>
      <c r="R2216">
        <v>0</v>
      </c>
    </row>
    <row r="2217" spans="17:18">
      <c r="Q2217" t="s">
        <v>3153</v>
      </c>
      <c r="R2217">
        <v>0</v>
      </c>
    </row>
    <row r="2218" spans="17:18">
      <c r="Q2218" t="s">
        <v>3154</v>
      </c>
      <c r="R2218">
        <v>0</v>
      </c>
    </row>
    <row r="2219" spans="17:18">
      <c r="Q2219" t="s">
        <v>3155</v>
      </c>
      <c r="R2219">
        <v>0</v>
      </c>
    </row>
    <row r="2220" spans="17:18">
      <c r="Q2220" t="s">
        <v>3156</v>
      </c>
      <c r="R2220">
        <v>0</v>
      </c>
    </row>
    <row r="2221" spans="17:18">
      <c r="Q2221" t="s">
        <v>3157</v>
      </c>
      <c r="R2221">
        <v>0</v>
      </c>
    </row>
    <row r="2222" spans="17:18">
      <c r="Q2222" t="s">
        <v>3158</v>
      </c>
      <c r="R2222">
        <v>0</v>
      </c>
    </row>
    <row r="2223" spans="17:18">
      <c r="Q2223" t="s">
        <v>3159</v>
      </c>
      <c r="R2223">
        <v>0</v>
      </c>
    </row>
    <row r="2224" spans="17:18">
      <c r="Q2224" t="s">
        <v>3160</v>
      </c>
      <c r="R2224">
        <v>0</v>
      </c>
    </row>
    <row r="2225" spans="17:18">
      <c r="Q2225" t="s">
        <v>3161</v>
      </c>
      <c r="R2225">
        <v>0</v>
      </c>
    </row>
    <row r="2226" spans="17:18">
      <c r="Q2226" t="s">
        <v>3162</v>
      </c>
      <c r="R2226">
        <v>0</v>
      </c>
    </row>
    <row r="2227" spans="17:18">
      <c r="Q2227" t="s">
        <v>3163</v>
      </c>
      <c r="R2227">
        <v>0</v>
      </c>
    </row>
    <row r="2228" spans="17:18">
      <c r="Q2228" t="s">
        <v>3164</v>
      </c>
      <c r="R2228">
        <v>0</v>
      </c>
    </row>
    <row r="2229" spans="17:18">
      <c r="Q2229" t="s">
        <v>3165</v>
      </c>
      <c r="R2229">
        <v>0</v>
      </c>
    </row>
    <row r="2230" spans="17:18">
      <c r="Q2230" t="s">
        <v>3166</v>
      </c>
      <c r="R2230">
        <v>0</v>
      </c>
    </row>
    <row r="2231" spans="17:18">
      <c r="Q2231" t="s">
        <v>3167</v>
      </c>
      <c r="R2231">
        <v>0</v>
      </c>
    </row>
    <row r="2232" spans="17:18">
      <c r="Q2232" t="s">
        <v>3168</v>
      </c>
      <c r="R2232">
        <v>0</v>
      </c>
    </row>
    <row r="2233" spans="17:18">
      <c r="Q2233" t="s">
        <v>3169</v>
      </c>
      <c r="R2233">
        <v>0</v>
      </c>
    </row>
    <row r="2234" spans="17:18">
      <c r="Q2234" t="s">
        <v>3170</v>
      </c>
      <c r="R2234">
        <v>0</v>
      </c>
    </row>
    <row r="2235" spans="17:18">
      <c r="Q2235" t="s">
        <v>3171</v>
      </c>
      <c r="R2235">
        <v>0</v>
      </c>
    </row>
    <row r="2236" spans="17:18">
      <c r="Q2236" t="s">
        <v>3172</v>
      </c>
      <c r="R2236">
        <v>0</v>
      </c>
    </row>
    <row r="2237" spans="17:18">
      <c r="Q2237" t="s">
        <v>3173</v>
      </c>
      <c r="R2237">
        <v>0</v>
      </c>
    </row>
    <row r="2238" spans="17:18">
      <c r="Q2238" t="s">
        <v>3174</v>
      </c>
      <c r="R2238">
        <v>0</v>
      </c>
    </row>
    <row r="2239" spans="17:18">
      <c r="Q2239" t="s">
        <v>3175</v>
      </c>
      <c r="R2239">
        <v>0</v>
      </c>
    </row>
    <row r="2240" spans="17:18">
      <c r="Q2240" t="s">
        <v>3176</v>
      </c>
      <c r="R2240">
        <v>0</v>
      </c>
    </row>
    <row r="2241" spans="17:18">
      <c r="Q2241" t="s">
        <v>3177</v>
      </c>
      <c r="R2241">
        <v>0</v>
      </c>
    </row>
    <row r="2242" spans="17:18">
      <c r="Q2242" t="s">
        <v>3178</v>
      </c>
      <c r="R2242">
        <v>0</v>
      </c>
    </row>
    <row r="2243" spans="17:18">
      <c r="Q2243" t="s">
        <v>3179</v>
      </c>
      <c r="R2243">
        <v>0</v>
      </c>
    </row>
    <row r="2244" spans="17:18">
      <c r="Q2244" t="s">
        <v>3180</v>
      </c>
      <c r="R2244">
        <v>0</v>
      </c>
    </row>
    <row r="2245" spans="17:18">
      <c r="Q2245" t="s">
        <v>3181</v>
      </c>
      <c r="R2245">
        <v>0</v>
      </c>
    </row>
    <row r="2246" spans="17:18">
      <c r="Q2246" t="s">
        <v>3182</v>
      </c>
      <c r="R2246">
        <v>0</v>
      </c>
    </row>
    <row r="2247" spans="17:18">
      <c r="Q2247" t="s">
        <v>3183</v>
      </c>
      <c r="R2247">
        <v>0</v>
      </c>
    </row>
    <row r="2248" spans="17:18">
      <c r="Q2248" t="s">
        <v>3184</v>
      </c>
      <c r="R2248">
        <v>0</v>
      </c>
    </row>
    <row r="2249" spans="17:18">
      <c r="Q2249" t="s">
        <v>3185</v>
      </c>
      <c r="R2249">
        <v>0</v>
      </c>
    </row>
    <row r="2250" spans="17:18">
      <c r="Q2250" t="s">
        <v>3186</v>
      </c>
      <c r="R2250">
        <v>0</v>
      </c>
    </row>
    <row r="2251" spans="17:18">
      <c r="Q2251" t="s">
        <v>3187</v>
      </c>
      <c r="R2251">
        <v>0</v>
      </c>
    </row>
    <row r="2252" spans="17:18">
      <c r="Q2252" t="s">
        <v>3188</v>
      </c>
      <c r="R2252">
        <v>0</v>
      </c>
    </row>
    <row r="2253" spans="17:18">
      <c r="Q2253" t="s">
        <v>3189</v>
      </c>
      <c r="R2253">
        <v>0</v>
      </c>
    </row>
    <row r="2254" spans="17:18">
      <c r="Q2254" t="s">
        <v>3190</v>
      </c>
      <c r="R2254">
        <v>0</v>
      </c>
    </row>
    <row r="2255" spans="17:18">
      <c r="Q2255" t="s">
        <v>3191</v>
      </c>
      <c r="R2255">
        <v>0</v>
      </c>
    </row>
    <row r="2256" spans="17:18">
      <c r="Q2256" t="s">
        <v>3192</v>
      </c>
      <c r="R2256">
        <v>0</v>
      </c>
    </row>
    <row r="2257" spans="17:18">
      <c r="Q2257" t="s">
        <v>3193</v>
      </c>
      <c r="R2257">
        <v>0</v>
      </c>
    </row>
    <row r="2258" spans="17:18">
      <c r="Q2258" t="s">
        <v>3194</v>
      </c>
      <c r="R2258">
        <v>0</v>
      </c>
    </row>
    <row r="2259" spans="17:18">
      <c r="Q2259" t="s">
        <v>3195</v>
      </c>
      <c r="R2259">
        <v>0</v>
      </c>
    </row>
    <row r="2260" spans="17:18">
      <c r="Q2260" t="s">
        <v>3196</v>
      </c>
      <c r="R2260">
        <v>0</v>
      </c>
    </row>
    <row r="2261" spans="17:18">
      <c r="Q2261" t="s">
        <v>3197</v>
      </c>
      <c r="R2261">
        <v>0</v>
      </c>
    </row>
    <row r="2262" spans="17:18">
      <c r="Q2262" t="s">
        <v>3198</v>
      </c>
      <c r="R2262">
        <v>0</v>
      </c>
    </row>
    <row r="2263" spans="17:18">
      <c r="Q2263" t="s">
        <v>3199</v>
      </c>
      <c r="R2263">
        <v>0</v>
      </c>
    </row>
    <row r="2264" spans="17:18">
      <c r="Q2264" t="s">
        <v>3200</v>
      </c>
      <c r="R2264">
        <v>0</v>
      </c>
    </row>
    <row r="2265" spans="17:18">
      <c r="Q2265" t="s">
        <v>3201</v>
      </c>
      <c r="R2265">
        <v>0</v>
      </c>
    </row>
    <row r="2266" spans="17:18">
      <c r="Q2266" t="s">
        <v>3202</v>
      </c>
      <c r="R2266">
        <v>0</v>
      </c>
    </row>
    <row r="2267" spans="17:18">
      <c r="Q2267" t="s">
        <v>3203</v>
      </c>
      <c r="R2267">
        <v>0</v>
      </c>
    </row>
    <row r="2268" spans="17:18">
      <c r="Q2268" t="s">
        <v>3204</v>
      </c>
      <c r="R2268">
        <v>0</v>
      </c>
    </row>
    <row r="2269" spans="17:18">
      <c r="Q2269" t="s">
        <v>3205</v>
      </c>
      <c r="R2269">
        <v>0</v>
      </c>
    </row>
    <row r="2270" spans="17:18">
      <c r="Q2270" t="s">
        <v>3206</v>
      </c>
      <c r="R2270">
        <v>0</v>
      </c>
    </row>
    <row r="2271" spans="17:18">
      <c r="Q2271" t="s">
        <v>3207</v>
      </c>
      <c r="R2271">
        <v>0</v>
      </c>
    </row>
    <row r="2272" spans="17:18">
      <c r="Q2272" t="s">
        <v>3208</v>
      </c>
      <c r="R2272">
        <v>0</v>
      </c>
    </row>
    <row r="2273" spans="17:18">
      <c r="Q2273" t="s">
        <v>3209</v>
      </c>
      <c r="R2273">
        <v>0</v>
      </c>
    </row>
    <row r="2274" spans="17:18">
      <c r="Q2274" t="s">
        <v>3210</v>
      </c>
      <c r="R2274">
        <v>0</v>
      </c>
    </row>
    <row r="2275" spans="17:18">
      <c r="Q2275" t="s">
        <v>3211</v>
      </c>
      <c r="R2275">
        <v>0</v>
      </c>
    </row>
    <row r="2276" spans="17:18">
      <c r="Q2276" t="s">
        <v>3212</v>
      </c>
      <c r="R2276">
        <v>0</v>
      </c>
    </row>
    <row r="2277" spans="17:18">
      <c r="Q2277" t="s">
        <v>3213</v>
      </c>
      <c r="R2277">
        <v>0</v>
      </c>
    </row>
    <row r="2278" spans="17:18">
      <c r="Q2278" t="s">
        <v>3214</v>
      </c>
      <c r="R2278">
        <v>0</v>
      </c>
    </row>
    <row r="2279" spans="17:18">
      <c r="Q2279" t="s">
        <v>3215</v>
      </c>
      <c r="R2279">
        <v>0</v>
      </c>
    </row>
    <row r="2280" spans="17:18">
      <c r="Q2280" t="s">
        <v>3216</v>
      </c>
      <c r="R2280">
        <v>0</v>
      </c>
    </row>
    <row r="2281" spans="17:18">
      <c r="Q2281" t="s">
        <v>3217</v>
      </c>
      <c r="R2281">
        <v>0</v>
      </c>
    </row>
    <row r="2282" spans="17:18">
      <c r="Q2282" t="s">
        <v>3218</v>
      </c>
      <c r="R2282">
        <v>0</v>
      </c>
    </row>
    <row r="2283" spans="17:18">
      <c r="Q2283" t="s">
        <v>3219</v>
      </c>
      <c r="R2283">
        <v>0</v>
      </c>
    </row>
    <row r="2284" spans="17:18">
      <c r="Q2284" t="s">
        <v>3220</v>
      </c>
      <c r="R2284">
        <v>0</v>
      </c>
    </row>
    <row r="2285" spans="17:18">
      <c r="Q2285" t="s">
        <v>3221</v>
      </c>
      <c r="R2285">
        <v>0</v>
      </c>
    </row>
    <row r="2286" spans="17:18">
      <c r="Q2286" t="s">
        <v>3222</v>
      </c>
      <c r="R2286">
        <v>0</v>
      </c>
    </row>
    <row r="2287" spans="17:18">
      <c r="Q2287" t="s">
        <v>3223</v>
      </c>
      <c r="R2287">
        <v>0</v>
      </c>
    </row>
    <row r="2288" spans="17:18">
      <c r="Q2288" t="s">
        <v>3224</v>
      </c>
      <c r="R2288">
        <v>0</v>
      </c>
    </row>
    <row r="2289" spans="17:18">
      <c r="Q2289" t="s">
        <v>3225</v>
      </c>
      <c r="R2289">
        <v>0</v>
      </c>
    </row>
    <row r="2290" spans="17:18">
      <c r="Q2290" t="s">
        <v>3226</v>
      </c>
      <c r="R2290">
        <v>0</v>
      </c>
    </row>
    <row r="2291" spans="17:18">
      <c r="Q2291" t="s">
        <v>3227</v>
      </c>
      <c r="R2291">
        <v>0</v>
      </c>
    </row>
    <row r="2292" spans="17:18">
      <c r="Q2292" t="s">
        <v>3228</v>
      </c>
      <c r="R2292">
        <v>0</v>
      </c>
    </row>
    <row r="2293" spans="17:18">
      <c r="Q2293" t="s">
        <v>3229</v>
      </c>
      <c r="R2293">
        <v>0</v>
      </c>
    </row>
    <row r="2294" spans="17:18">
      <c r="Q2294" t="s">
        <v>3230</v>
      </c>
      <c r="R2294">
        <v>0</v>
      </c>
    </row>
    <row r="2295" spans="17:18">
      <c r="Q2295" t="s">
        <v>3231</v>
      </c>
      <c r="R2295">
        <v>0</v>
      </c>
    </row>
    <row r="2296" spans="17:18">
      <c r="Q2296" t="s">
        <v>3232</v>
      </c>
      <c r="R2296">
        <v>0</v>
      </c>
    </row>
    <row r="2297" spans="17:18">
      <c r="Q2297" t="s">
        <v>3233</v>
      </c>
      <c r="R2297">
        <v>0</v>
      </c>
    </row>
    <row r="2298" spans="17:18">
      <c r="Q2298" t="s">
        <v>3234</v>
      </c>
      <c r="R2298">
        <v>0</v>
      </c>
    </row>
    <row r="2299" spans="17:18">
      <c r="Q2299" t="s">
        <v>3235</v>
      </c>
      <c r="R2299">
        <v>0</v>
      </c>
    </row>
    <row r="2300" spans="17:18">
      <c r="Q2300" t="s">
        <v>3236</v>
      </c>
      <c r="R2300">
        <v>0</v>
      </c>
    </row>
    <row r="2301" spans="17:18">
      <c r="Q2301" t="s">
        <v>3237</v>
      </c>
      <c r="R2301">
        <v>0</v>
      </c>
    </row>
    <row r="2302" spans="17:18">
      <c r="Q2302" t="s">
        <v>3238</v>
      </c>
      <c r="R2302">
        <v>0</v>
      </c>
    </row>
    <row r="2303" spans="17:18">
      <c r="Q2303" t="s">
        <v>3239</v>
      </c>
      <c r="R2303">
        <v>0</v>
      </c>
    </row>
    <row r="2304" spans="17:18">
      <c r="Q2304" t="s">
        <v>3240</v>
      </c>
      <c r="R2304">
        <v>0</v>
      </c>
    </row>
    <row r="2305" spans="17:18">
      <c r="Q2305" t="s">
        <v>3241</v>
      </c>
      <c r="R2305">
        <v>0</v>
      </c>
    </row>
    <row r="2306" spans="17:18">
      <c r="Q2306" t="s">
        <v>3242</v>
      </c>
      <c r="R2306">
        <v>0</v>
      </c>
    </row>
    <row r="2307" spans="17:18">
      <c r="Q2307" t="s">
        <v>3243</v>
      </c>
      <c r="R2307">
        <v>0</v>
      </c>
    </row>
    <row r="2308" spans="17:18">
      <c r="Q2308" t="s">
        <v>3244</v>
      </c>
      <c r="R2308">
        <v>0</v>
      </c>
    </row>
    <row r="2309" spans="17:18">
      <c r="Q2309" t="s">
        <v>3245</v>
      </c>
      <c r="R2309">
        <v>0</v>
      </c>
    </row>
    <row r="2310" spans="17:18">
      <c r="Q2310" t="s">
        <v>3246</v>
      </c>
      <c r="R2310">
        <v>0</v>
      </c>
    </row>
    <row r="2311" spans="17:18">
      <c r="Q2311" t="s">
        <v>3247</v>
      </c>
      <c r="R2311">
        <v>0</v>
      </c>
    </row>
    <row r="2312" spans="17:18">
      <c r="Q2312" t="s">
        <v>3248</v>
      </c>
      <c r="R2312">
        <v>0</v>
      </c>
    </row>
    <row r="2313" spans="17:18">
      <c r="Q2313" t="s">
        <v>3249</v>
      </c>
      <c r="R2313">
        <v>0</v>
      </c>
    </row>
    <row r="2314" spans="17:18">
      <c r="Q2314" t="s">
        <v>3250</v>
      </c>
      <c r="R2314">
        <v>0</v>
      </c>
    </row>
    <row r="2315" spans="17:18">
      <c r="Q2315" t="s">
        <v>3251</v>
      </c>
      <c r="R2315">
        <v>0</v>
      </c>
    </row>
    <row r="2316" spans="17:18">
      <c r="Q2316" t="s">
        <v>3252</v>
      </c>
      <c r="R2316">
        <v>0</v>
      </c>
    </row>
    <row r="2317" spans="17:18">
      <c r="Q2317" t="s">
        <v>3253</v>
      </c>
      <c r="R2317">
        <v>0</v>
      </c>
    </row>
    <row r="2318" spans="17:18">
      <c r="Q2318" t="s">
        <v>3254</v>
      </c>
      <c r="R2318">
        <v>0</v>
      </c>
    </row>
    <row r="2319" spans="17:18">
      <c r="Q2319" t="s">
        <v>3255</v>
      </c>
      <c r="R2319">
        <v>0</v>
      </c>
    </row>
    <row r="2320" spans="17:18">
      <c r="Q2320" t="s">
        <v>3256</v>
      </c>
      <c r="R2320">
        <v>0</v>
      </c>
    </row>
    <row r="2321" spans="17:18">
      <c r="Q2321" t="s">
        <v>3257</v>
      </c>
      <c r="R2321">
        <v>0</v>
      </c>
    </row>
    <row r="2322" spans="17:18">
      <c r="Q2322" t="s">
        <v>3258</v>
      </c>
      <c r="R2322">
        <v>0</v>
      </c>
    </row>
    <row r="2323" spans="17:18">
      <c r="Q2323" t="s">
        <v>3259</v>
      </c>
      <c r="R2323">
        <v>0</v>
      </c>
    </row>
    <row r="2324" spans="17:18">
      <c r="Q2324" t="s">
        <v>3260</v>
      </c>
      <c r="R2324">
        <v>0</v>
      </c>
    </row>
    <row r="2325" spans="17:18">
      <c r="Q2325" t="s">
        <v>3261</v>
      </c>
      <c r="R2325">
        <v>0</v>
      </c>
    </row>
    <row r="2326" spans="17:18">
      <c r="Q2326" t="s">
        <v>3262</v>
      </c>
      <c r="R2326">
        <v>0</v>
      </c>
    </row>
    <row r="2327" spans="17:18">
      <c r="Q2327" t="s">
        <v>3263</v>
      </c>
      <c r="R2327">
        <v>0</v>
      </c>
    </row>
    <row r="2328" spans="17:18">
      <c r="Q2328" t="s">
        <v>3264</v>
      </c>
      <c r="R2328">
        <v>0</v>
      </c>
    </row>
    <row r="2329" spans="17:18">
      <c r="Q2329" t="s">
        <v>3265</v>
      </c>
      <c r="R2329">
        <v>0</v>
      </c>
    </row>
    <row r="2330" spans="17:18">
      <c r="Q2330" t="s">
        <v>3266</v>
      </c>
      <c r="R2330">
        <v>0</v>
      </c>
    </row>
    <row r="2331" spans="17:18">
      <c r="Q2331" t="s">
        <v>3267</v>
      </c>
      <c r="R2331">
        <v>0</v>
      </c>
    </row>
    <row r="2332" spans="17:18">
      <c r="Q2332" t="s">
        <v>3268</v>
      </c>
      <c r="R2332">
        <v>0</v>
      </c>
    </row>
    <row r="2333" spans="17:18">
      <c r="Q2333" t="s">
        <v>3269</v>
      </c>
      <c r="R2333">
        <v>0</v>
      </c>
    </row>
    <row r="2334" spans="17:18">
      <c r="Q2334" t="s">
        <v>3270</v>
      </c>
      <c r="R2334">
        <v>0</v>
      </c>
    </row>
    <row r="2335" spans="17:18">
      <c r="Q2335" t="s">
        <v>3271</v>
      </c>
      <c r="R2335">
        <v>0</v>
      </c>
    </row>
    <row r="2336" spans="17:18">
      <c r="Q2336" t="s">
        <v>3272</v>
      </c>
      <c r="R2336">
        <v>0</v>
      </c>
    </row>
    <row r="2337" spans="17:18">
      <c r="Q2337" t="s">
        <v>3273</v>
      </c>
      <c r="R2337">
        <v>0</v>
      </c>
    </row>
    <row r="2338" spans="17:18">
      <c r="Q2338" t="s">
        <v>3274</v>
      </c>
      <c r="R2338">
        <v>0</v>
      </c>
    </row>
    <row r="2339" spans="17:18">
      <c r="Q2339" t="s">
        <v>3275</v>
      </c>
      <c r="R2339">
        <v>0</v>
      </c>
    </row>
    <row r="2340" spans="17:18">
      <c r="Q2340" t="s">
        <v>3276</v>
      </c>
      <c r="R2340">
        <v>0</v>
      </c>
    </row>
    <row r="2341" spans="17:18">
      <c r="Q2341" t="s">
        <v>3277</v>
      </c>
      <c r="R2341">
        <v>0</v>
      </c>
    </row>
    <row r="2342" spans="17:18">
      <c r="Q2342" t="s">
        <v>3278</v>
      </c>
      <c r="R2342">
        <v>0</v>
      </c>
    </row>
    <row r="2343" spans="17:18">
      <c r="Q2343" t="s">
        <v>3279</v>
      </c>
      <c r="R2343">
        <v>0</v>
      </c>
    </row>
    <row r="2344" spans="17:18">
      <c r="Q2344" t="s">
        <v>3280</v>
      </c>
      <c r="R2344">
        <v>0</v>
      </c>
    </row>
    <row r="2345" spans="17:18">
      <c r="Q2345" t="s">
        <v>3281</v>
      </c>
      <c r="R2345">
        <v>0</v>
      </c>
    </row>
    <row r="2346" spans="17:18">
      <c r="Q2346" t="s">
        <v>3282</v>
      </c>
      <c r="R2346">
        <v>0</v>
      </c>
    </row>
    <row r="2347" spans="17:18">
      <c r="Q2347" t="s">
        <v>3283</v>
      </c>
      <c r="R2347">
        <v>0</v>
      </c>
    </row>
    <row r="2348" spans="17:18">
      <c r="Q2348" t="s">
        <v>3284</v>
      </c>
      <c r="R2348">
        <v>0</v>
      </c>
    </row>
    <row r="2349" spans="17:18">
      <c r="Q2349" t="s">
        <v>3285</v>
      </c>
      <c r="R2349">
        <v>0</v>
      </c>
    </row>
    <row r="2350" spans="17:18">
      <c r="Q2350" t="s">
        <v>3286</v>
      </c>
      <c r="R2350">
        <v>0</v>
      </c>
    </row>
    <row r="2351" spans="17:18">
      <c r="Q2351" t="s">
        <v>3287</v>
      </c>
      <c r="R2351">
        <v>0</v>
      </c>
    </row>
    <row r="2352" spans="17:18">
      <c r="Q2352" t="s">
        <v>3288</v>
      </c>
      <c r="R2352">
        <v>0</v>
      </c>
    </row>
    <row r="2353" spans="17:18">
      <c r="Q2353" t="s">
        <v>3289</v>
      </c>
      <c r="R2353">
        <v>0</v>
      </c>
    </row>
    <row r="2354" spans="17:18">
      <c r="Q2354" t="s">
        <v>3290</v>
      </c>
      <c r="R2354">
        <v>0</v>
      </c>
    </row>
    <row r="2355" spans="17:18">
      <c r="Q2355" t="s">
        <v>3291</v>
      </c>
      <c r="R2355">
        <v>0</v>
      </c>
    </row>
    <row r="2356" spans="17:18">
      <c r="Q2356" t="s">
        <v>3292</v>
      </c>
      <c r="R2356">
        <v>0</v>
      </c>
    </row>
    <row r="2357" spans="17:18">
      <c r="Q2357" t="s">
        <v>3293</v>
      </c>
      <c r="R2357">
        <v>0</v>
      </c>
    </row>
    <row r="2358" spans="17:18">
      <c r="Q2358" t="s">
        <v>3294</v>
      </c>
      <c r="R2358">
        <v>0</v>
      </c>
    </row>
    <row r="2359" spans="17:18">
      <c r="Q2359" t="s">
        <v>3295</v>
      </c>
      <c r="R2359">
        <v>0</v>
      </c>
    </row>
    <row r="2360" spans="17:18">
      <c r="Q2360" t="s">
        <v>3296</v>
      </c>
      <c r="R2360">
        <v>0</v>
      </c>
    </row>
    <row r="2361" spans="17:18">
      <c r="Q2361" t="s">
        <v>3297</v>
      </c>
      <c r="R2361">
        <v>0</v>
      </c>
    </row>
    <row r="2362" spans="17:18">
      <c r="Q2362" t="s">
        <v>3298</v>
      </c>
      <c r="R2362">
        <v>0</v>
      </c>
    </row>
    <row r="2363" spans="17:18">
      <c r="Q2363" t="s">
        <v>3299</v>
      </c>
      <c r="R2363">
        <v>0</v>
      </c>
    </row>
    <row r="2364" spans="17:18">
      <c r="Q2364" t="s">
        <v>3300</v>
      </c>
      <c r="R2364">
        <v>0</v>
      </c>
    </row>
    <row r="2365" spans="17:18">
      <c r="Q2365" t="s">
        <v>3301</v>
      </c>
      <c r="R2365">
        <v>0</v>
      </c>
    </row>
    <row r="2366" spans="17:18">
      <c r="Q2366" t="s">
        <v>3302</v>
      </c>
      <c r="R2366">
        <v>0</v>
      </c>
    </row>
    <row r="2367" spans="17:18">
      <c r="Q2367" t="s">
        <v>3303</v>
      </c>
      <c r="R2367">
        <v>0</v>
      </c>
    </row>
    <row r="2368" spans="17:18">
      <c r="Q2368" t="s">
        <v>3304</v>
      </c>
      <c r="R2368">
        <v>0</v>
      </c>
    </row>
    <row r="2369" spans="17:18">
      <c r="Q2369" t="s">
        <v>3305</v>
      </c>
      <c r="R2369">
        <v>0</v>
      </c>
    </row>
    <row r="2370" spans="17:18">
      <c r="Q2370" t="s">
        <v>3306</v>
      </c>
      <c r="R2370">
        <v>0</v>
      </c>
    </row>
    <row r="2371" spans="17:18">
      <c r="Q2371" t="s">
        <v>3307</v>
      </c>
      <c r="R2371">
        <v>0</v>
      </c>
    </row>
    <row r="2372" spans="17:18">
      <c r="Q2372" t="s">
        <v>3308</v>
      </c>
      <c r="R2372">
        <v>0</v>
      </c>
    </row>
    <row r="2373" spans="17:18">
      <c r="Q2373" t="s">
        <v>3309</v>
      </c>
      <c r="R2373">
        <v>0</v>
      </c>
    </row>
    <row r="2374" spans="17:18">
      <c r="Q2374" t="s">
        <v>3310</v>
      </c>
      <c r="R2374">
        <v>0</v>
      </c>
    </row>
    <row r="2375" spans="17:18">
      <c r="Q2375" t="s">
        <v>3311</v>
      </c>
      <c r="R2375">
        <v>0</v>
      </c>
    </row>
    <row r="2376" spans="17:18">
      <c r="Q2376" t="s">
        <v>3312</v>
      </c>
      <c r="R2376">
        <v>0</v>
      </c>
    </row>
    <row r="2377" spans="17:18">
      <c r="Q2377" t="s">
        <v>3313</v>
      </c>
      <c r="R2377">
        <v>0</v>
      </c>
    </row>
    <row r="2378" spans="17:18">
      <c r="Q2378" t="s">
        <v>3314</v>
      </c>
      <c r="R2378">
        <v>0</v>
      </c>
    </row>
    <row r="2379" spans="17:18">
      <c r="Q2379" t="s">
        <v>3315</v>
      </c>
      <c r="R2379">
        <v>0</v>
      </c>
    </row>
    <row r="2380" spans="17:18">
      <c r="Q2380" t="s">
        <v>3316</v>
      </c>
      <c r="R2380">
        <v>0</v>
      </c>
    </row>
    <row r="2381" spans="17:18">
      <c r="Q2381" t="s">
        <v>3317</v>
      </c>
      <c r="R2381">
        <v>0</v>
      </c>
    </row>
    <row r="2382" spans="17:18">
      <c r="Q2382" t="s">
        <v>3318</v>
      </c>
      <c r="R2382">
        <v>0</v>
      </c>
    </row>
    <row r="2383" spans="17:18">
      <c r="Q2383" t="s">
        <v>3319</v>
      </c>
      <c r="R2383">
        <v>0</v>
      </c>
    </row>
    <row r="2384" spans="17:18">
      <c r="Q2384" t="s">
        <v>3320</v>
      </c>
      <c r="R2384">
        <v>0</v>
      </c>
    </row>
    <row r="2385" spans="17:18">
      <c r="Q2385" t="s">
        <v>3321</v>
      </c>
      <c r="R2385">
        <v>0</v>
      </c>
    </row>
    <row r="2386" spans="17:18">
      <c r="Q2386" t="s">
        <v>3322</v>
      </c>
      <c r="R2386">
        <v>0</v>
      </c>
    </row>
    <row r="2387" spans="17:18">
      <c r="Q2387" t="s">
        <v>3323</v>
      </c>
      <c r="R2387">
        <v>0</v>
      </c>
    </row>
    <row r="2388" spans="17:18">
      <c r="Q2388" t="s">
        <v>3324</v>
      </c>
      <c r="R2388">
        <v>0</v>
      </c>
    </row>
    <row r="2389" spans="17:18">
      <c r="Q2389" t="s">
        <v>3325</v>
      </c>
      <c r="R2389">
        <v>0</v>
      </c>
    </row>
    <row r="2390" spans="17:18">
      <c r="Q2390" t="s">
        <v>3326</v>
      </c>
      <c r="R2390">
        <v>0</v>
      </c>
    </row>
    <row r="2391" spans="17:18">
      <c r="Q2391" t="s">
        <v>3327</v>
      </c>
      <c r="R2391">
        <v>0</v>
      </c>
    </row>
    <row r="2392" spans="17:18">
      <c r="Q2392" t="s">
        <v>3328</v>
      </c>
      <c r="R2392">
        <v>0</v>
      </c>
    </row>
    <row r="2393" spans="17:18">
      <c r="Q2393" t="s">
        <v>3329</v>
      </c>
      <c r="R2393">
        <v>0</v>
      </c>
    </row>
    <row r="2394" spans="17:18">
      <c r="Q2394" t="s">
        <v>3330</v>
      </c>
      <c r="R2394">
        <v>0</v>
      </c>
    </row>
    <row r="2395" spans="17:18">
      <c r="Q2395" t="s">
        <v>3331</v>
      </c>
      <c r="R2395">
        <v>0</v>
      </c>
    </row>
    <row r="2396" spans="17:18">
      <c r="Q2396" t="s">
        <v>3332</v>
      </c>
      <c r="R2396">
        <v>0</v>
      </c>
    </row>
    <row r="2397" spans="17:18">
      <c r="Q2397" t="s">
        <v>3333</v>
      </c>
      <c r="R2397">
        <v>0</v>
      </c>
    </row>
    <row r="2398" spans="17:18">
      <c r="Q2398" t="s">
        <v>3334</v>
      </c>
      <c r="R2398">
        <v>0</v>
      </c>
    </row>
    <row r="2399" spans="17:18">
      <c r="Q2399" t="s">
        <v>3335</v>
      </c>
      <c r="R2399">
        <v>0</v>
      </c>
    </row>
    <row r="2400" spans="17:18">
      <c r="Q2400" t="s">
        <v>3336</v>
      </c>
      <c r="R2400">
        <v>0</v>
      </c>
    </row>
    <row r="2401" spans="17:18">
      <c r="Q2401" t="s">
        <v>3337</v>
      </c>
      <c r="R2401">
        <v>0</v>
      </c>
    </row>
    <row r="2402" spans="17:18">
      <c r="Q2402" t="s">
        <v>3338</v>
      </c>
      <c r="R2402">
        <v>0</v>
      </c>
    </row>
    <row r="2403" spans="17:18">
      <c r="Q2403" t="s">
        <v>3339</v>
      </c>
      <c r="R2403">
        <v>0</v>
      </c>
    </row>
    <row r="2404" spans="17:18">
      <c r="Q2404" t="s">
        <v>3340</v>
      </c>
      <c r="R2404">
        <v>0</v>
      </c>
    </row>
    <row r="2405" spans="17:18">
      <c r="Q2405" t="s">
        <v>3341</v>
      </c>
      <c r="R2405">
        <v>0</v>
      </c>
    </row>
    <row r="2406" spans="17:18">
      <c r="Q2406" t="s">
        <v>3342</v>
      </c>
      <c r="R2406">
        <v>0</v>
      </c>
    </row>
    <row r="2407" spans="17:18">
      <c r="Q2407" t="s">
        <v>3343</v>
      </c>
      <c r="R2407">
        <v>0</v>
      </c>
    </row>
    <row r="2408" spans="17:18">
      <c r="Q2408" t="s">
        <v>3344</v>
      </c>
      <c r="R2408">
        <v>0</v>
      </c>
    </row>
    <row r="2409" spans="17:18">
      <c r="Q2409" t="s">
        <v>3345</v>
      </c>
      <c r="R2409">
        <v>0</v>
      </c>
    </row>
    <row r="2410" spans="17:18">
      <c r="Q2410" t="s">
        <v>3346</v>
      </c>
      <c r="R2410">
        <v>0</v>
      </c>
    </row>
    <row r="2411" spans="17:18">
      <c r="Q2411" t="s">
        <v>3347</v>
      </c>
      <c r="R2411">
        <v>0</v>
      </c>
    </row>
    <row r="2412" spans="17:18">
      <c r="Q2412" t="s">
        <v>3348</v>
      </c>
      <c r="R2412">
        <v>0</v>
      </c>
    </row>
    <row r="2413" spans="17:18">
      <c r="Q2413" t="s">
        <v>3349</v>
      </c>
      <c r="R2413">
        <v>0</v>
      </c>
    </row>
    <row r="2414" spans="17:18">
      <c r="Q2414" t="s">
        <v>3350</v>
      </c>
      <c r="R2414">
        <v>0</v>
      </c>
    </row>
    <row r="2415" spans="17:18">
      <c r="Q2415" t="s">
        <v>3351</v>
      </c>
      <c r="R2415">
        <v>0</v>
      </c>
    </row>
    <row r="2416" spans="17:18">
      <c r="Q2416" t="s">
        <v>3352</v>
      </c>
      <c r="R2416">
        <v>0</v>
      </c>
    </row>
    <row r="2417" spans="17:18">
      <c r="Q2417" t="s">
        <v>3353</v>
      </c>
      <c r="R2417">
        <v>0</v>
      </c>
    </row>
    <row r="2418" spans="17:18">
      <c r="Q2418" t="s">
        <v>3354</v>
      </c>
      <c r="R2418">
        <v>0</v>
      </c>
    </row>
    <row r="2419" spans="17:18">
      <c r="Q2419" t="s">
        <v>3355</v>
      </c>
      <c r="R2419">
        <v>0</v>
      </c>
    </row>
    <row r="2420" spans="17:18">
      <c r="Q2420" t="s">
        <v>3356</v>
      </c>
      <c r="R2420">
        <v>0</v>
      </c>
    </row>
    <row r="2421" spans="17:18">
      <c r="Q2421" t="s">
        <v>3357</v>
      </c>
      <c r="R2421">
        <v>0</v>
      </c>
    </row>
    <row r="2422" spans="17:18">
      <c r="Q2422" t="s">
        <v>3358</v>
      </c>
      <c r="R2422">
        <v>0</v>
      </c>
    </row>
    <row r="2423" spans="17:18">
      <c r="Q2423" t="s">
        <v>3359</v>
      </c>
      <c r="R2423">
        <v>0</v>
      </c>
    </row>
    <row r="2424" spans="17:18">
      <c r="Q2424" t="s">
        <v>3360</v>
      </c>
      <c r="R2424">
        <v>0</v>
      </c>
    </row>
    <row r="2425" spans="17:18">
      <c r="Q2425" t="s">
        <v>3361</v>
      </c>
      <c r="R2425">
        <v>0</v>
      </c>
    </row>
    <row r="2426" spans="17:18">
      <c r="Q2426" t="s">
        <v>3362</v>
      </c>
      <c r="R2426">
        <v>0</v>
      </c>
    </row>
    <row r="2427" spans="17:18">
      <c r="Q2427" t="s">
        <v>3363</v>
      </c>
      <c r="R2427">
        <v>0</v>
      </c>
    </row>
    <row r="2428" spans="17:18">
      <c r="Q2428" t="s">
        <v>3364</v>
      </c>
      <c r="R2428">
        <v>0</v>
      </c>
    </row>
    <row r="2429" spans="17:18">
      <c r="Q2429" t="s">
        <v>3365</v>
      </c>
      <c r="R2429">
        <v>0</v>
      </c>
    </row>
    <row r="2430" spans="17:18">
      <c r="Q2430" t="s">
        <v>3366</v>
      </c>
      <c r="R2430">
        <v>0</v>
      </c>
    </row>
    <row r="2431" spans="17:18">
      <c r="Q2431" t="s">
        <v>3367</v>
      </c>
      <c r="R2431">
        <v>0</v>
      </c>
    </row>
    <row r="2432" spans="17:18">
      <c r="Q2432" t="s">
        <v>3368</v>
      </c>
      <c r="R2432">
        <v>0</v>
      </c>
    </row>
    <row r="2433" spans="17:18">
      <c r="Q2433" t="s">
        <v>3369</v>
      </c>
      <c r="R2433">
        <v>0</v>
      </c>
    </row>
    <row r="2434" spans="17:18">
      <c r="Q2434" t="s">
        <v>3370</v>
      </c>
      <c r="R2434">
        <v>0</v>
      </c>
    </row>
    <row r="2435" spans="17:18">
      <c r="Q2435" t="s">
        <v>3371</v>
      </c>
      <c r="R2435">
        <v>0</v>
      </c>
    </row>
    <row r="2436" spans="17:18">
      <c r="Q2436" t="s">
        <v>3372</v>
      </c>
      <c r="R2436">
        <v>0</v>
      </c>
    </row>
    <row r="2437" spans="17:18">
      <c r="Q2437" t="s">
        <v>3373</v>
      </c>
      <c r="R2437">
        <v>0</v>
      </c>
    </row>
    <row r="2438" spans="17:18">
      <c r="Q2438" t="s">
        <v>3374</v>
      </c>
      <c r="R2438">
        <v>0</v>
      </c>
    </row>
    <row r="2439" spans="17:18">
      <c r="Q2439" t="s">
        <v>3375</v>
      </c>
      <c r="R2439">
        <v>0</v>
      </c>
    </row>
    <row r="2440" spans="17:18">
      <c r="Q2440" t="s">
        <v>3376</v>
      </c>
      <c r="R2440">
        <v>0</v>
      </c>
    </row>
    <row r="2441" spans="17:18">
      <c r="Q2441" t="s">
        <v>3377</v>
      </c>
      <c r="R2441">
        <v>0</v>
      </c>
    </row>
    <row r="2442" spans="17:18">
      <c r="Q2442" t="s">
        <v>3378</v>
      </c>
      <c r="R2442">
        <v>0</v>
      </c>
    </row>
    <row r="2443" spans="17:18">
      <c r="Q2443" t="s">
        <v>3379</v>
      </c>
      <c r="R2443">
        <v>0</v>
      </c>
    </row>
    <row r="2444" spans="17:18">
      <c r="Q2444" t="s">
        <v>3380</v>
      </c>
      <c r="R2444">
        <v>0</v>
      </c>
    </row>
    <row r="2445" spans="17:18">
      <c r="Q2445" t="s">
        <v>3381</v>
      </c>
      <c r="R2445">
        <v>0</v>
      </c>
    </row>
    <row r="2446" spans="17:18">
      <c r="Q2446" t="s">
        <v>3382</v>
      </c>
      <c r="R2446">
        <v>0</v>
      </c>
    </row>
    <row r="2447" spans="17:18">
      <c r="Q2447" t="s">
        <v>3383</v>
      </c>
      <c r="R2447">
        <v>0</v>
      </c>
    </row>
    <row r="2448" spans="17:18">
      <c r="Q2448" t="s">
        <v>3384</v>
      </c>
      <c r="R2448">
        <v>0</v>
      </c>
    </row>
    <row r="2449" spans="17:18">
      <c r="Q2449" t="s">
        <v>3385</v>
      </c>
      <c r="R2449">
        <v>0</v>
      </c>
    </row>
    <row r="2450" spans="17:18">
      <c r="Q2450" t="s">
        <v>3386</v>
      </c>
      <c r="R2450">
        <v>0</v>
      </c>
    </row>
    <row r="2451" spans="17:18">
      <c r="Q2451" t="s">
        <v>3387</v>
      </c>
      <c r="R2451">
        <v>0</v>
      </c>
    </row>
    <row r="2452" spans="17:18">
      <c r="Q2452" t="s">
        <v>3388</v>
      </c>
      <c r="R2452">
        <v>0</v>
      </c>
    </row>
    <row r="2453" spans="17:18">
      <c r="Q2453" t="s">
        <v>3389</v>
      </c>
      <c r="R2453">
        <v>0</v>
      </c>
    </row>
    <row r="2454" spans="17:18">
      <c r="Q2454" t="s">
        <v>3390</v>
      </c>
      <c r="R2454">
        <v>0</v>
      </c>
    </row>
    <row r="2455" spans="17:18">
      <c r="Q2455" t="s">
        <v>3391</v>
      </c>
      <c r="R2455">
        <v>0</v>
      </c>
    </row>
    <row r="2456" spans="17:18">
      <c r="Q2456" t="s">
        <v>3392</v>
      </c>
      <c r="R2456">
        <v>0</v>
      </c>
    </row>
    <row r="2457" spans="17:18">
      <c r="Q2457" t="s">
        <v>3393</v>
      </c>
      <c r="R2457">
        <v>0</v>
      </c>
    </row>
    <row r="2458" spans="17:18">
      <c r="Q2458" t="s">
        <v>3394</v>
      </c>
      <c r="R2458">
        <v>0</v>
      </c>
    </row>
    <row r="2459" spans="17:18">
      <c r="Q2459" t="s">
        <v>3395</v>
      </c>
      <c r="R2459">
        <v>0</v>
      </c>
    </row>
    <row r="2460" spans="17:18">
      <c r="Q2460" t="s">
        <v>3396</v>
      </c>
      <c r="R2460">
        <v>0</v>
      </c>
    </row>
    <row r="2461" spans="17:18">
      <c r="Q2461" t="s">
        <v>3397</v>
      </c>
      <c r="R2461">
        <v>0</v>
      </c>
    </row>
    <row r="2462" spans="17:18">
      <c r="Q2462" t="s">
        <v>3398</v>
      </c>
      <c r="R2462">
        <v>0</v>
      </c>
    </row>
    <row r="2463" spans="17:18">
      <c r="Q2463" t="s">
        <v>3399</v>
      </c>
      <c r="R2463">
        <v>0</v>
      </c>
    </row>
    <row r="2464" spans="17:18">
      <c r="Q2464" t="s">
        <v>3400</v>
      </c>
      <c r="R2464">
        <v>0</v>
      </c>
    </row>
    <row r="2465" spans="17:18">
      <c r="Q2465" t="s">
        <v>3401</v>
      </c>
      <c r="R2465">
        <v>0</v>
      </c>
    </row>
    <row r="2466" spans="17:18">
      <c r="Q2466" t="s">
        <v>3402</v>
      </c>
      <c r="R2466">
        <v>0</v>
      </c>
    </row>
    <row r="2467" spans="17:18">
      <c r="Q2467" t="s">
        <v>3403</v>
      </c>
      <c r="R2467">
        <v>0</v>
      </c>
    </row>
    <row r="2468" spans="17:18">
      <c r="Q2468" t="s">
        <v>3404</v>
      </c>
      <c r="R2468">
        <v>0</v>
      </c>
    </row>
    <row r="2469" spans="17:18">
      <c r="Q2469" t="s">
        <v>3405</v>
      </c>
      <c r="R2469">
        <v>0</v>
      </c>
    </row>
    <row r="2470" spans="17:18">
      <c r="Q2470" t="s">
        <v>3406</v>
      </c>
      <c r="R2470">
        <v>0</v>
      </c>
    </row>
    <row r="2471" spans="17:18">
      <c r="Q2471" t="s">
        <v>3407</v>
      </c>
      <c r="R2471">
        <v>0</v>
      </c>
    </row>
    <row r="2472" spans="17:18">
      <c r="Q2472" t="s">
        <v>3408</v>
      </c>
      <c r="R2472">
        <v>0</v>
      </c>
    </row>
    <row r="2473" spans="17:18">
      <c r="Q2473" t="s">
        <v>3409</v>
      </c>
      <c r="R2473">
        <v>0</v>
      </c>
    </row>
    <row r="2474" spans="17:18">
      <c r="Q2474" t="s">
        <v>3410</v>
      </c>
      <c r="R2474">
        <v>0</v>
      </c>
    </row>
    <row r="2475" spans="17:18">
      <c r="Q2475" t="s">
        <v>3411</v>
      </c>
      <c r="R2475">
        <v>0</v>
      </c>
    </row>
    <row r="2476" spans="17:18">
      <c r="Q2476" t="s">
        <v>3412</v>
      </c>
      <c r="R2476">
        <v>0</v>
      </c>
    </row>
    <row r="2477" spans="17:18">
      <c r="Q2477" t="s">
        <v>3413</v>
      </c>
      <c r="R2477">
        <v>0</v>
      </c>
    </row>
    <row r="2478" spans="17:18">
      <c r="Q2478" t="s">
        <v>3414</v>
      </c>
      <c r="R2478">
        <v>0</v>
      </c>
    </row>
    <row r="2479" spans="17:18">
      <c r="Q2479" t="s">
        <v>3415</v>
      </c>
      <c r="R2479">
        <v>0</v>
      </c>
    </row>
    <row r="2480" spans="17:18">
      <c r="Q2480" t="s">
        <v>3416</v>
      </c>
      <c r="R2480">
        <v>0</v>
      </c>
    </row>
    <row r="2481" spans="17:18">
      <c r="Q2481" t="s">
        <v>3417</v>
      </c>
      <c r="R2481">
        <v>0</v>
      </c>
    </row>
    <row r="2482" spans="17:18">
      <c r="Q2482" t="s">
        <v>3418</v>
      </c>
      <c r="R2482">
        <v>0</v>
      </c>
    </row>
    <row r="2483" spans="17:18">
      <c r="Q2483" t="s">
        <v>3419</v>
      </c>
      <c r="R2483">
        <v>0</v>
      </c>
    </row>
    <row r="2484" spans="17:18">
      <c r="Q2484" t="s">
        <v>3420</v>
      </c>
      <c r="R2484">
        <v>0</v>
      </c>
    </row>
    <row r="2485" spans="17:18">
      <c r="Q2485" t="s">
        <v>3421</v>
      </c>
      <c r="R2485">
        <v>0</v>
      </c>
    </row>
    <row r="2486" spans="17:18">
      <c r="Q2486" t="s">
        <v>3422</v>
      </c>
      <c r="R2486">
        <v>0</v>
      </c>
    </row>
    <row r="2487" spans="17:18">
      <c r="Q2487" t="s">
        <v>3423</v>
      </c>
      <c r="R2487">
        <v>0</v>
      </c>
    </row>
    <row r="2488" spans="17:18">
      <c r="Q2488" t="s">
        <v>3424</v>
      </c>
      <c r="R2488">
        <v>0</v>
      </c>
    </row>
    <row r="2489" spans="17:18">
      <c r="Q2489" t="s">
        <v>3425</v>
      </c>
      <c r="R2489">
        <v>0</v>
      </c>
    </row>
    <row r="2490" spans="17:18">
      <c r="Q2490" t="s">
        <v>3426</v>
      </c>
      <c r="R2490">
        <v>0</v>
      </c>
    </row>
    <row r="2491" spans="17:18">
      <c r="Q2491" t="s">
        <v>3427</v>
      </c>
      <c r="R2491">
        <v>0</v>
      </c>
    </row>
    <row r="2492" spans="17:18">
      <c r="Q2492" t="s">
        <v>3428</v>
      </c>
      <c r="R2492">
        <v>0</v>
      </c>
    </row>
    <row r="2493" spans="17:18">
      <c r="Q2493" t="s">
        <v>3429</v>
      </c>
      <c r="R2493">
        <v>0</v>
      </c>
    </row>
    <row r="2494" spans="17:18">
      <c r="Q2494" t="s">
        <v>3430</v>
      </c>
      <c r="R2494">
        <v>0</v>
      </c>
    </row>
    <row r="2495" spans="17:18">
      <c r="Q2495" t="s">
        <v>3431</v>
      </c>
      <c r="R2495">
        <v>0</v>
      </c>
    </row>
    <row r="2496" spans="17:18">
      <c r="Q2496" t="s">
        <v>3432</v>
      </c>
      <c r="R2496">
        <v>0</v>
      </c>
    </row>
    <row r="2497" spans="17:18">
      <c r="Q2497" t="s">
        <v>3433</v>
      </c>
      <c r="R2497">
        <v>0</v>
      </c>
    </row>
    <row r="2498" spans="17:18">
      <c r="Q2498" t="s">
        <v>3434</v>
      </c>
      <c r="R2498">
        <v>0</v>
      </c>
    </row>
    <row r="2499" spans="17:18">
      <c r="Q2499" t="s">
        <v>3435</v>
      </c>
      <c r="R2499">
        <v>0</v>
      </c>
    </row>
    <row r="2500" spans="17:18">
      <c r="Q2500" t="s">
        <v>3436</v>
      </c>
      <c r="R2500">
        <v>0</v>
      </c>
    </row>
    <row r="2501" spans="17:18">
      <c r="Q2501" t="s">
        <v>3437</v>
      </c>
      <c r="R2501">
        <v>0</v>
      </c>
    </row>
    <row r="2502" spans="17:18">
      <c r="Q2502" t="s">
        <v>3438</v>
      </c>
      <c r="R2502">
        <v>0</v>
      </c>
    </row>
    <row r="2503" spans="17:18">
      <c r="Q2503" t="s">
        <v>3439</v>
      </c>
      <c r="R2503">
        <v>0</v>
      </c>
    </row>
    <row r="2504" spans="17:18">
      <c r="Q2504" t="s">
        <v>3440</v>
      </c>
      <c r="R2504">
        <v>0</v>
      </c>
    </row>
    <row r="2505" spans="17:18">
      <c r="Q2505" t="s">
        <v>3441</v>
      </c>
      <c r="R2505">
        <v>0</v>
      </c>
    </row>
    <row r="2506" spans="17:18">
      <c r="Q2506" t="s">
        <v>3442</v>
      </c>
      <c r="R2506">
        <v>0</v>
      </c>
    </row>
    <row r="2507" spans="17:18">
      <c r="Q2507" t="s">
        <v>3443</v>
      </c>
      <c r="R2507">
        <v>0</v>
      </c>
    </row>
    <row r="2508" spans="17:18">
      <c r="Q2508" t="s">
        <v>3444</v>
      </c>
      <c r="R2508">
        <v>0</v>
      </c>
    </row>
    <row r="2509" spans="17:18">
      <c r="Q2509" t="s">
        <v>3445</v>
      </c>
      <c r="R2509">
        <v>0</v>
      </c>
    </row>
    <row r="2510" spans="17:18">
      <c r="Q2510" t="s">
        <v>3446</v>
      </c>
      <c r="R2510">
        <v>0</v>
      </c>
    </row>
    <row r="2511" spans="17:18">
      <c r="Q2511" t="s">
        <v>3447</v>
      </c>
      <c r="R2511">
        <v>0</v>
      </c>
    </row>
    <row r="2512" spans="17:18">
      <c r="Q2512" t="s">
        <v>3448</v>
      </c>
      <c r="R2512">
        <v>0</v>
      </c>
    </row>
    <row r="2513" spans="17:18">
      <c r="Q2513" t="s">
        <v>3449</v>
      </c>
      <c r="R2513">
        <v>0</v>
      </c>
    </row>
    <row r="2514" spans="17:18">
      <c r="Q2514" t="s">
        <v>3450</v>
      </c>
      <c r="R2514">
        <v>0</v>
      </c>
    </row>
    <row r="2515" spans="17:18">
      <c r="Q2515" t="s">
        <v>3451</v>
      </c>
      <c r="R2515">
        <v>0</v>
      </c>
    </row>
    <row r="2516" spans="17:18">
      <c r="Q2516" t="s">
        <v>3452</v>
      </c>
      <c r="R2516">
        <v>0</v>
      </c>
    </row>
    <row r="2517" spans="17:18">
      <c r="Q2517" t="s">
        <v>3453</v>
      </c>
      <c r="R2517">
        <v>0</v>
      </c>
    </row>
    <row r="2518" spans="17:18">
      <c r="Q2518" t="s">
        <v>3454</v>
      </c>
      <c r="R2518">
        <v>0</v>
      </c>
    </row>
    <row r="2519" spans="17:18">
      <c r="Q2519" t="s">
        <v>3455</v>
      </c>
      <c r="R2519">
        <v>0</v>
      </c>
    </row>
    <row r="2520" spans="17:18">
      <c r="Q2520" t="s">
        <v>3456</v>
      </c>
      <c r="R2520">
        <v>0</v>
      </c>
    </row>
    <row r="2521" spans="17:18">
      <c r="Q2521" t="s">
        <v>3457</v>
      </c>
      <c r="R2521">
        <v>0</v>
      </c>
    </row>
    <row r="2522" spans="17:18">
      <c r="Q2522" t="s">
        <v>3458</v>
      </c>
      <c r="R2522">
        <v>0</v>
      </c>
    </row>
    <row r="2523" spans="17:18">
      <c r="Q2523" t="s">
        <v>3459</v>
      </c>
      <c r="R2523">
        <v>0</v>
      </c>
    </row>
    <row r="2524" spans="17:18">
      <c r="Q2524" t="s">
        <v>3460</v>
      </c>
      <c r="R2524">
        <v>0</v>
      </c>
    </row>
    <row r="2525" spans="17:18">
      <c r="Q2525" t="s">
        <v>3461</v>
      </c>
      <c r="R2525">
        <v>0</v>
      </c>
    </row>
    <row r="2526" spans="17:18">
      <c r="Q2526" t="s">
        <v>3462</v>
      </c>
      <c r="R2526">
        <v>0</v>
      </c>
    </row>
    <row r="2527" spans="17:18">
      <c r="Q2527" t="s">
        <v>3463</v>
      </c>
      <c r="R2527">
        <v>0</v>
      </c>
    </row>
    <row r="2528" spans="17:18">
      <c r="Q2528" t="s">
        <v>3464</v>
      </c>
      <c r="R2528">
        <v>0</v>
      </c>
    </row>
    <row r="2529" spans="17:18">
      <c r="Q2529" t="s">
        <v>3465</v>
      </c>
      <c r="R2529">
        <v>0</v>
      </c>
    </row>
    <row r="2530" spans="17:18">
      <c r="Q2530" t="s">
        <v>3466</v>
      </c>
      <c r="R2530">
        <v>0</v>
      </c>
    </row>
    <row r="2531" spans="17:18">
      <c r="Q2531" t="s">
        <v>3467</v>
      </c>
      <c r="R2531">
        <v>0</v>
      </c>
    </row>
    <row r="2532" spans="17:18">
      <c r="Q2532" t="s">
        <v>3468</v>
      </c>
      <c r="R2532">
        <v>0</v>
      </c>
    </row>
    <row r="2533" spans="17:18">
      <c r="Q2533" t="s">
        <v>3469</v>
      </c>
      <c r="R2533">
        <v>0</v>
      </c>
    </row>
    <row r="2534" spans="17:18">
      <c r="Q2534" t="s">
        <v>3470</v>
      </c>
      <c r="R2534">
        <v>0</v>
      </c>
    </row>
    <row r="2535" spans="17:18">
      <c r="Q2535" t="s">
        <v>3471</v>
      </c>
      <c r="R2535">
        <v>0</v>
      </c>
    </row>
    <row r="2536" spans="17:18">
      <c r="Q2536" t="s">
        <v>3472</v>
      </c>
      <c r="R2536">
        <v>0</v>
      </c>
    </row>
    <row r="2537" spans="17:18">
      <c r="Q2537" t="s">
        <v>3473</v>
      </c>
      <c r="R2537">
        <v>0</v>
      </c>
    </row>
    <row r="2538" spans="17:18">
      <c r="Q2538" t="s">
        <v>3474</v>
      </c>
      <c r="R2538">
        <v>0</v>
      </c>
    </row>
    <row r="2539" spans="17:18">
      <c r="Q2539" t="s">
        <v>3475</v>
      </c>
      <c r="R2539">
        <v>0</v>
      </c>
    </row>
    <row r="2540" spans="17:18">
      <c r="Q2540" t="s">
        <v>3476</v>
      </c>
      <c r="R2540">
        <v>0</v>
      </c>
    </row>
    <row r="2541" spans="17:18">
      <c r="Q2541" t="s">
        <v>3477</v>
      </c>
      <c r="R2541">
        <v>0</v>
      </c>
    </row>
    <row r="2542" spans="17:18">
      <c r="Q2542" t="s">
        <v>3478</v>
      </c>
      <c r="R2542">
        <v>0</v>
      </c>
    </row>
    <row r="2543" spans="17:18">
      <c r="Q2543" t="s">
        <v>3479</v>
      </c>
      <c r="R2543">
        <v>0</v>
      </c>
    </row>
    <row r="2544" spans="17:18">
      <c r="Q2544" t="s">
        <v>3480</v>
      </c>
      <c r="R2544">
        <v>0</v>
      </c>
    </row>
    <row r="2545" spans="17:18">
      <c r="Q2545" t="s">
        <v>3481</v>
      </c>
      <c r="R2545">
        <v>0</v>
      </c>
    </row>
    <row r="2546" spans="17:18">
      <c r="Q2546" t="s">
        <v>3482</v>
      </c>
      <c r="R2546">
        <v>0</v>
      </c>
    </row>
    <row r="2547" spans="17:18">
      <c r="Q2547" t="s">
        <v>3483</v>
      </c>
      <c r="R2547">
        <v>0</v>
      </c>
    </row>
    <row r="2548" spans="17:18">
      <c r="Q2548" t="s">
        <v>3484</v>
      </c>
      <c r="R2548">
        <v>0</v>
      </c>
    </row>
    <row r="2549" spans="17:18">
      <c r="Q2549" t="s">
        <v>3485</v>
      </c>
      <c r="R2549">
        <v>0</v>
      </c>
    </row>
    <row r="2550" spans="17:18">
      <c r="Q2550" t="s">
        <v>3486</v>
      </c>
      <c r="R2550">
        <v>0</v>
      </c>
    </row>
    <row r="2551" spans="17:18">
      <c r="Q2551" t="s">
        <v>3487</v>
      </c>
      <c r="R2551">
        <v>0</v>
      </c>
    </row>
    <row r="2552" spans="17:18">
      <c r="Q2552" t="s">
        <v>3488</v>
      </c>
      <c r="R2552">
        <v>0</v>
      </c>
    </row>
    <row r="2553" spans="17:18">
      <c r="Q2553" t="s">
        <v>3489</v>
      </c>
      <c r="R2553">
        <v>0</v>
      </c>
    </row>
    <row r="2554" spans="17:18">
      <c r="Q2554" t="s">
        <v>3490</v>
      </c>
      <c r="R2554">
        <v>0</v>
      </c>
    </row>
    <row r="2555" spans="17:18">
      <c r="Q2555" t="s">
        <v>3491</v>
      </c>
      <c r="R2555">
        <v>0</v>
      </c>
    </row>
    <row r="2556" spans="17:18">
      <c r="Q2556" t="s">
        <v>3492</v>
      </c>
      <c r="R2556">
        <v>0</v>
      </c>
    </row>
    <row r="2557" spans="17:18">
      <c r="Q2557" t="s">
        <v>3493</v>
      </c>
      <c r="R2557">
        <v>0</v>
      </c>
    </row>
    <row r="2558" spans="17:18">
      <c r="Q2558" t="s">
        <v>3494</v>
      </c>
      <c r="R2558">
        <v>0</v>
      </c>
    </row>
    <row r="2559" spans="17:18">
      <c r="Q2559" t="s">
        <v>3495</v>
      </c>
      <c r="R2559">
        <v>0</v>
      </c>
    </row>
    <row r="2560" spans="17:18">
      <c r="Q2560" t="s">
        <v>3496</v>
      </c>
      <c r="R2560">
        <v>0</v>
      </c>
    </row>
    <row r="2561" spans="17:18">
      <c r="Q2561" t="s">
        <v>3497</v>
      </c>
      <c r="R2561">
        <v>0</v>
      </c>
    </row>
    <row r="2562" spans="17:18">
      <c r="Q2562" t="s">
        <v>3498</v>
      </c>
      <c r="R2562">
        <v>0</v>
      </c>
    </row>
    <row r="2563" spans="17:18">
      <c r="Q2563" t="s">
        <v>3499</v>
      </c>
      <c r="R2563">
        <v>0</v>
      </c>
    </row>
    <row r="2564" spans="17:18">
      <c r="Q2564" t="s">
        <v>3500</v>
      </c>
      <c r="R2564">
        <v>0</v>
      </c>
    </row>
    <row r="2565" spans="17:18">
      <c r="Q2565" t="s">
        <v>3501</v>
      </c>
      <c r="R2565">
        <v>0</v>
      </c>
    </row>
    <row r="2566" spans="17:18">
      <c r="Q2566" t="s">
        <v>3502</v>
      </c>
      <c r="R2566">
        <v>0</v>
      </c>
    </row>
    <row r="2567" spans="17:18">
      <c r="Q2567" t="s">
        <v>3503</v>
      </c>
      <c r="R2567">
        <v>0</v>
      </c>
    </row>
    <row r="2568" spans="17:18">
      <c r="Q2568" t="s">
        <v>3504</v>
      </c>
      <c r="R2568">
        <v>0</v>
      </c>
    </row>
    <row r="2569" spans="17:18">
      <c r="Q2569" t="s">
        <v>3505</v>
      </c>
      <c r="R2569">
        <v>0</v>
      </c>
    </row>
    <row r="2570" spans="17:18">
      <c r="Q2570" t="s">
        <v>3506</v>
      </c>
      <c r="R2570">
        <v>0</v>
      </c>
    </row>
    <row r="2571" spans="17:18">
      <c r="Q2571" t="s">
        <v>3507</v>
      </c>
      <c r="R2571">
        <v>0</v>
      </c>
    </row>
    <row r="2572" spans="17:18">
      <c r="Q2572" t="s">
        <v>3508</v>
      </c>
      <c r="R2572">
        <v>0</v>
      </c>
    </row>
    <row r="2573" spans="17:18">
      <c r="Q2573" t="s">
        <v>3509</v>
      </c>
      <c r="R2573">
        <v>0</v>
      </c>
    </row>
    <row r="2574" spans="17:18">
      <c r="Q2574" t="s">
        <v>3510</v>
      </c>
      <c r="R2574">
        <v>0</v>
      </c>
    </row>
    <row r="2575" spans="17:18">
      <c r="Q2575" t="s">
        <v>3511</v>
      </c>
      <c r="R2575">
        <v>0</v>
      </c>
    </row>
    <row r="2576" spans="17:18">
      <c r="Q2576" t="s">
        <v>3512</v>
      </c>
      <c r="R2576">
        <v>0</v>
      </c>
    </row>
    <row r="2577" spans="17:18">
      <c r="Q2577" t="s">
        <v>3513</v>
      </c>
      <c r="R2577">
        <v>0</v>
      </c>
    </row>
    <row r="2578" spans="17:18">
      <c r="Q2578" t="s">
        <v>3514</v>
      </c>
      <c r="R2578">
        <v>0</v>
      </c>
    </row>
    <row r="2579" spans="17:18">
      <c r="Q2579" t="s">
        <v>3515</v>
      </c>
      <c r="R2579">
        <v>0</v>
      </c>
    </row>
    <row r="2580" spans="17:18">
      <c r="Q2580" t="s">
        <v>3516</v>
      </c>
      <c r="R2580">
        <v>0</v>
      </c>
    </row>
    <row r="2581" spans="17:18">
      <c r="Q2581" t="s">
        <v>3517</v>
      </c>
      <c r="R2581">
        <v>0</v>
      </c>
    </row>
    <row r="2582" spans="17:18">
      <c r="Q2582" t="s">
        <v>3518</v>
      </c>
      <c r="R2582">
        <v>0</v>
      </c>
    </row>
    <row r="2583" spans="17:18">
      <c r="Q2583" t="s">
        <v>3519</v>
      </c>
      <c r="R2583">
        <v>0</v>
      </c>
    </row>
    <row r="2584" spans="17:18">
      <c r="Q2584" t="s">
        <v>3520</v>
      </c>
      <c r="R2584">
        <v>0</v>
      </c>
    </row>
    <row r="2585" spans="17:18">
      <c r="Q2585" t="s">
        <v>3521</v>
      </c>
      <c r="R2585">
        <v>0</v>
      </c>
    </row>
    <row r="2586" spans="17:18">
      <c r="Q2586" t="s">
        <v>3522</v>
      </c>
      <c r="R2586">
        <v>0</v>
      </c>
    </row>
    <row r="2587" spans="17:18">
      <c r="Q2587" t="s">
        <v>3523</v>
      </c>
      <c r="R2587">
        <v>0</v>
      </c>
    </row>
    <row r="2588" spans="17:18">
      <c r="Q2588" t="s">
        <v>3524</v>
      </c>
      <c r="R2588">
        <v>0</v>
      </c>
    </row>
    <row r="2589" spans="17:18">
      <c r="Q2589" t="s">
        <v>3525</v>
      </c>
      <c r="R2589">
        <v>0</v>
      </c>
    </row>
    <row r="2590" spans="17:18">
      <c r="Q2590" t="s">
        <v>3526</v>
      </c>
      <c r="R2590">
        <v>0</v>
      </c>
    </row>
    <row r="2591" spans="17:18">
      <c r="Q2591" t="s">
        <v>3527</v>
      </c>
      <c r="R2591">
        <v>0</v>
      </c>
    </row>
    <row r="2592" spans="17:18">
      <c r="Q2592" t="s">
        <v>3528</v>
      </c>
      <c r="R2592">
        <v>0</v>
      </c>
    </row>
    <row r="2593" spans="17:18">
      <c r="Q2593" t="s">
        <v>3529</v>
      </c>
      <c r="R2593">
        <v>0</v>
      </c>
    </row>
    <row r="2594" spans="17:18">
      <c r="Q2594" t="s">
        <v>3530</v>
      </c>
      <c r="R2594">
        <v>0</v>
      </c>
    </row>
    <row r="2595" spans="17:18">
      <c r="Q2595" t="s">
        <v>3531</v>
      </c>
      <c r="R2595">
        <v>0</v>
      </c>
    </row>
    <row r="2596" spans="17:18">
      <c r="Q2596" t="s">
        <v>3532</v>
      </c>
      <c r="R2596">
        <v>0</v>
      </c>
    </row>
    <row r="2597" spans="17:18">
      <c r="Q2597" t="s">
        <v>3533</v>
      </c>
      <c r="R2597">
        <v>0</v>
      </c>
    </row>
    <row r="2598" spans="17:18">
      <c r="Q2598" t="s">
        <v>3534</v>
      </c>
      <c r="R2598">
        <v>0</v>
      </c>
    </row>
    <row r="2599" spans="17:18">
      <c r="Q2599" t="s">
        <v>3535</v>
      </c>
      <c r="R2599">
        <v>0</v>
      </c>
    </row>
    <row r="2600" spans="17:18">
      <c r="Q2600" t="s">
        <v>3536</v>
      </c>
      <c r="R2600">
        <v>0</v>
      </c>
    </row>
    <row r="2601" spans="17:18">
      <c r="Q2601" t="s">
        <v>3537</v>
      </c>
      <c r="R2601">
        <v>0</v>
      </c>
    </row>
    <row r="2602" spans="17:18">
      <c r="Q2602" t="s">
        <v>3538</v>
      </c>
      <c r="R2602">
        <v>0</v>
      </c>
    </row>
    <row r="2603" spans="17:18">
      <c r="Q2603" t="s">
        <v>3539</v>
      </c>
      <c r="R2603">
        <v>0</v>
      </c>
    </row>
    <row r="2604" spans="17:18">
      <c r="Q2604" t="s">
        <v>3540</v>
      </c>
      <c r="R2604">
        <v>0</v>
      </c>
    </row>
    <row r="2605" spans="17:18">
      <c r="Q2605" t="s">
        <v>3541</v>
      </c>
      <c r="R2605">
        <v>0</v>
      </c>
    </row>
    <row r="2606" spans="17:18">
      <c r="Q2606" t="s">
        <v>3542</v>
      </c>
      <c r="R2606">
        <v>0</v>
      </c>
    </row>
    <row r="2607" spans="17:18">
      <c r="Q2607" t="s">
        <v>3543</v>
      </c>
      <c r="R2607">
        <v>0</v>
      </c>
    </row>
    <row r="2608" spans="17:18">
      <c r="Q2608" t="s">
        <v>3544</v>
      </c>
      <c r="R2608">
        <v>0</v>
      </c>
    </row>
    <row r="2609" spans="17:18">
      <c r="Q2609" t="s">
        <v>3545</v>
      </c>
      <c r="R2609">
        <v>0</v>
      </c>
    </row>
    <row r="2610" spans="17:18">
      <c r="Q2610" t="s">
        <v>3546</v>
      </c>
      <c r="R2610">
        <v>0</v>
      </c>
    </row>
    <row r="2611" spans="17:18">
      <c r="Q2611" t="s">
        <v>3547</v>
      </c>
      <c r="R2611">
        <v>0</v>
      </c>
    </row>
    <row r="2612" spans="17:18">
      <c r="Q2612" t="s">
        <v>3548</v>
      </c>
      <c r="R2612">
        <v>0</v>
      </c>
    </row>
    <row r="2613" spans="17:18">
      <c r="Q2613" t="s">
        <v>3549</v>
      </c>
      <c r="R2613">
        <v>0</v>
      </c>
    </row>
    <row r="2614" spans="17:18">
      <c r="Q2614" t="s">
        <v>3550</v>
      </c>
      <c r="R2614">
        <v>0</v>
      </c>
    </row>
    <row r="2615" spans="17:18">
      <c r="Q2615" t="s">
        <v>3551</v>
      </c>
      <c r="R2615">
        <v>0</v>
      </c>
    </row>
    <row r="2616" spans="17:18">
      <c r="Q2616" t="s">
        <v>3552</v>
      </c>
      <c r="R2616">
        <v>0</v>
      </c>
    </row>
    <row r="2617" spans="17:18">
      <c r="Q2617" t="s">
        <v>3553</v>
      </c>
      <c r="R2617">
        <v>0</v>
      </c>
    </row>
    <row r="2618" spans="17:18">
      <c r="Q2618" t="s">
        <v>3554</v>
      </c>
      <c r="R2618">
        <v>0</v>
      </c>
    </row>
    <row r="2619" spans="17:18">
      <c r="Q2619" t="s">
        <v>3555</v>
      </c>
      <c r="R2619">
        <v>0</v>
      </c>
    </row>
    <row r="2620" spans="17:18">
      <c r="Q2620" t="s">
        <v>3556</v>
      </c>
      <c r="R2620">
        <v>0</v>
      </c>
    </row>
    <row r="2621" spans="17:18">
      <c r="Q2621" t="s">
        <v>3557</v>
      </c>
      <c r="R2621">
        <v>0</v>
      </c>
    </row>
    <row r="2622" spans="17:18">
      <c r="Q2622" t="s">
        <v>3558</v>
      </c>
      <c r="R2622">
        <v>0</v>
      </c>
    </row>
    <row r="2623" spans="17:18">
      <c r="Q2623" t="s">
        <v>3559</v>
      </c>
      <c r="R2623">
        <v>0</v>
      </c>
    </row>
    <row r="2624" spans="17:18">
      <c r="Q2624" t="s">
        <v>3560</v>
      </c>
      <c r="R2624">
        <v>0</v>
      </c>
    </row>
    <row r="2625" spans="17:18">
      <c r="Q2625" t="s">
        <v>3561</v>
      </c>
      <c r="R2625">
        <v>0</v>
      </c>
    </row>
    <row r="2626" spans="17:18">
      <c r="Q2626" t="s">
        <v>3562</v>
      </c>
      <c r="R2626">
        <v>0</v>
      </c>
    </row>
    <row r="2627" spans="17:18">
      <c r="Q2627" t="s">
        <v>3563</v>
      </c>
      <c r="R2627">
        <v>0</v>
      </c>
    </row>
    <row r="2628" spans="17:18">
      <c r="Q2628" t="s">
        <v>3564</v>
      </c>
      <c r="R2628">
        <v>0</v>
      </c>
    </row>
    <row r="2629" spans="17:18">
      <c r="Q2629" t="s">
        <v>3565</v>
      </c>
      <c r="R2629">
        <v>0</v>
      </c>
    </row>
    <row r="2630" spans="17:18">
      <c r="Q2630" t="s">
        <v>3566</v>
      </c>
      <c r="R2630">
        <v>0</v>
      </c>
    </row>
    <row r="2631" spans="17:18">
      <c r="Q2631" t="s">
        <v>3567</v>
      </c>
      <c r="R2631">
        <v>0</v>
      </c>
    </row>
    <row r="2632" spans="17:18">
      <c r="Q2632" t="s">
        <v>3568</v>
      </c>
      <c r="R2632">
        <v>0</v>
      </c>
    </row>
    <row r="2633" spans="17:18">
      <c r="Q2633" t="s">
        <v>3569</v>
      </c>
      <c r="R2633">
        <v>0</v>
      </c>
    </row>
    <row r="2634" spans="17:18">
      <c r="Q2634" t="s">
        <v>3570</v>
      </c>
      <c r="R2634">
        <v>0</v>
      </c>
    </row>
    <row r="2635" spans="17:18">
      <c r="Q2635" t="s">
        <v>3571</v>
      </c>
      <c r="R2635">
        <v>0</v>
      </c>
    </row>
    <row r="2636" spans="17:18">
      <c r="Q2636" t="s">
        <v>3572</v>
      </c>
      <c r="R2636">
        <v>0</v>
      </c>
    </row>
    <row r="2637" spans="17:18">
      <c r="Q2637" t="s">
        <v>3573</v>
      </c>
      <c r="R2637">
        <v>0</v>
      </c>
    </row>
    <row r="2638" spans="17:18">
      <c r="Q2638" t="s">
        <v>3574</v>
      </c>
      <c r="R2638">
        <v>0</v>
      </c>
    </row>
    <row r="2639" spans="17:18">
      <c r="Q2639" t="s">
        <v>3575</v>
      </c>
      <c r="R2639">
        <v>0</v>
      </c>
    </row>
    <row r="2640" spans="17:18">
      <c r="Q2640" t="s">
        <v>3576</v>
      </c>
      <c r="R2640">
        <v>0</v>
      </c>
    </row>
    <row r="2641" spans="17:18">
      <c r="Q2641" t="s">
        <v>3577</v>
      </c>
      <c r="R2641">
        <v>0</v>
      </c>
    </row>
    <row r="2642" spans="17:18">
      <c r="Q2642" t="s">
        <v>3578</v>
      </c>
      <c r="R2642">
        <v>0</v>
      </c>
    </row>
    <row r="2643" spans="17:18">
      <c r="Q2643" t="s">
        <v>3579</v>
      </c>
      <c r="R2643">
        <v>0</v>
      </c>
    </row>
    <row r="2644" spans="17:18">
      <c r="Q2644" t="s">
        <v>3580</v>
      </c>
      <c r="R2644">
        <v>0</v>
      </c>
    </row>
    <row r="2645" spans="17:18">
      <c r="Q2645" t="s">
        <v>3581</v>
      </c>
      <c r="R2645">
        <v>0</v>
      </c>
    </row>
    <row r="2646" spans="17:18">
      <c r="Q2646" t="s">
        <v>3582</v>
      </c>
      <c r="R2646">
        <v>0</v>
      </c>
    </row>
    <row r="2647" spans="17:18">
      <c r="Q2647" t="s">
        <v>3583</v>
      </c>
      <c r="R2647">
        <v>0</v>
      </c>
    </row>
    <row r="2648" spans="17:18">
      <c r="Q2648" t="s">
        <v>3584</v>
      </c>
      <c r="R2648">
        <v>0</v>
      </c>
    </row>
    <row r="2649" spans="17:18">
      <c r="Q2649" t="s">
        <v>3585</v>
      </c>
      <c r="R2649">
        <v>0</v>
      </c>
    </row>
    <row r="2650" spans="17:18">
      <c r="Q2650" t="s">
        <v>3586</v>
      </c>
      <c r="R2650">
        <v>0</v>
      </c>
    </row>
    <row r="2651" spans="17:18">
      <c r="Q2651" t="s">
        <v>3587</v>
      </c>
      <c r="R2651">
        <v>0</v>
      </c>
    </row>
    <row r="2652" spans="17:18">
      <c r="Q2652" t="s">
        <v>3588</v>
      </c>
      <c r="R2652">
        <v>0</v>
      </c>
    </row>
    <row r="2653" spans="17:18">
      <c r="Q2653" t="s">
        <v>3589</v>
      </c>
      <c r="R2653">
        <v>0</v>
      </c>
    </row>
    <row r="2654" spans="17:18">
      <c r="Q2654" t="s">
        <v>3590</v>
      </c>
      <c r="R2654">
        <v>0</v>
      </c>
    </row>
    <row r="2655" spans="17:18">
      <c r="Q2655" t="s">
        <v>3591</v>
      </c>
      <c r="R2655">
        <v>0</v>
      </c>
    </row>
    <row r="2656" spans="17:18">
      <c r="Q2656" t="s">
        <v>3592</v>
      </c>
      <c r="R2656">
        <v>0</v>
      </c>
    </row>
    <row r="2657" spans="17:18">
      <c r="Q2657" t="s">
        <v>3593</v>
      </c>
      <c r="R2657">
        <v>0</v>
      </c>
    </row>
    <row r="2658" spans="17:18">
      <c r="Q2658" t="s">
        <v>3594</v>
      </c>
      <c r="R2658">
        <v>0</v>
      </c>
    </row>
    <row r="2659" spans="17:18">
      <c r="Q2659" t="s">
        <v>3595</v>
      </c>
      <c r="R2659">
        <v>0</v>
      </c>
    </row>
    <row r="2660" spans="17:18">
      <c r="Q2660" t="s">
        <v>3596</v>
      </c>
      <c r="R2660">
        <v>0</v>
      </c>
    </row>
    <row r="2661" spans="17:18">
      <c r="Q2661" t="s">
        <v>3597</v>
      </c>
      <c r="R2661">
        <v>0</v>
      </c>
    </row>
    <row r="2662" spans="17:18">
      <c r="Q2662" t="s">
        <v>3598</v>
      </c>
      <c r="R2662">
        <v>0</v>
      </c>
    </row>
    <row r="2663" spans="17:18">
      <c r="Q2663" t="s">
        <v>3599</v>
      </c>
      <c r="R2663">
        <v>0</v>
      </c>
    </row>
    <row r="2664" spans="17:18">
      <c r="Q2664" t="s">
        <v>3600</v>
      </c>
      <c r="R2664">
        <v>0</v>
      </c>
    </row>
    <row r="2665" spans="17:18">
      <c r="Q2665" t="s">
        <v>3601</v>
      </c>
      <c r="R2665">
        <v>0</v>
      </c>
    </row>
    <row r="2666" spans="17:18">
      <c r="Q2666" t="s">
        <v>3602</v>
      </c>
      <c r="R2666">
        <v>0</v>
      </c>
    </row>
    <row r="2667" spans="17:18">
      <c r="Q2667" t="s">
        <v>3603</v>
      </c>
      <c r="R2667">
        <v>0</v>
      </c>
    </row>
    <row r="2668" spans="17:18">
      <c r="Q2668" t="s">
        <v>3604</v>
      </c>
      <c r="R2668">
        <v>0</v>
      </c>
    </row>
    <row r="2669" spans="17:18">
      <c r="Q2669" t="s">
        <v>3605</v>
      </c>
      <c r="R2669">
        <v>0</v>
      </c>
    </row>
    <row r="2670" spans="17:18">
      <c r="Q2670" t="s">
        <v>3606</v>
      </c>
      <c r="R2670">
        <v>0</v>
      </c>
    </row>
    <row r="2671" spans="17:18">
      <c r="Q2671" t="s">
        <v>3607</v>
      </c>
      <c r="R2671">
        <v>0</v>
      </c>
    </row>
    <row r="2672" spans="17:18">
      <c r="Q2672" t="s">
        <v>3608</v>
      </c>
      <c r="R2672">
        <v>0</v>
      </c>
    </row>
    <row r="2673" spans="17:18">
      <c r="Q2673" t="s">
        <v>3609</v>
      </c>
      <c r="R2673">
        <v>0</v>
      </c>
    </row>
    <row r="2674" spans="17:18">
      <c r="Q2674" t="s">
        <v>3610</v>
      </c>
      <c r="R2674">
        <v>0</v>
      </c>
    </row>
    <row r="2675" spans="17:18">
      <c r="Q2675" t="s">
        <v>3611</v>
      </c>
      <c r="R2675">
        <v>0</v>
      </c>
    </row>
    <row r="2676" spans="17:18">
      <c r="Q2676" t="s">
        <v>3612</v>
      </c>
      <c r="R2676">
        <v>0</v>
      </c>
    </row>
    <row r="2677" spans="17:18">
      <c r="Q2677" t="s">
        <v>3613</v>
      </c>
      <c r="R2677">
        <v>0</v>
      </c>
    </row>
    <row r="2678" spans="17:18">
      <c r="Q2678" t="s">
        <v>3614</v>
      </c>
      <c r="R2678">
        <v>0</v>
      </c>
    </row>
    <row r="2679" spans="17:18">
      <c r="Q2679" t="s">
        <v>3615</v>
      </c>
      <c r="R2679">
        <v>0</v>
      </c>
    </row>
    <row r="2680" spans="17:18">
      <c r="Q2680" t="s">
        <v>1685</v>
      </c>
      <c r="R2680">
        <v>0</v>
      </c>
    </row>
    <row r="2681" spans="17:18">
      <c r="Q2681" t="s">
        <v>3616</v>
      </c>
      <c r="R2681">
        <v>0</v>
      </c>
    </row>
    <row r="2682" spans="17:18">
      <c r="Q2682" t="s">
        <v>3617</v>
      </c>
      <c r="R2682">
        <v>0</v>
      </c>
    </row>
    <row r="2683" spans="17:18">
      <c r="Q2683" t="s">
        <v>3618</v>
      </c>
      <c r="R2683">
        <v>0</v>
      </c>
    </row>
    <row r="2684" spans="17:18">
      <c r="Q2684" t="s">
        <v>3619</v>
      </c>
      <c r="R2684">
        <v>0</v>
      </c>
    </row>
    <row r="2685" spans="17:18">
      <c r="Q2685" t="s">
        <v>3620</v>
      </c>
      <c r="R2685">
        <v>0</v>
      </c>
    </row>
    <row r="2686" spans="17:18">
      <c r="Q2686" t="s">
        <v>3621</v>
      </c>
      <c r="R2686">
        <v>0</v>
      </c>
    </row>
    <row r="2687" spans="17:18">
      <c r="Q2687" t="s">
        <v>3622</v>
      </c>
      <c r="R2687">
        <v>0</v>
      </c>
    </row>
    <row r="2688" spans="17:18">
      <c r="Q2688" t="s">
        <v>3623</v>
      </c>
      <c r="R2688">
        <v>0</v>
      </c>
    </row>
    <row r="2689" spans="17:18">
      <c r="Q2689" t="s">
        <v>3624</v>
      </c>
      <c r="R2689">
        <v>0</v>
      </c>
    </row>
    <row r="2690" spans="17:18">
      <c r="Q2690" t="s">
        <v>3625</v>
      </c>
      <c r="R2690">
        <v>0</v>
      </c>
    </row>
    <row r="2691" spans="17:18">
      <c r="Q2691" t="s">
        <v>3626</v>
      </c>
      <c r="R2691">
        <v>0</v>
      </c>
    </row>
    <row r="2692" spans="17:18">
      <c r="Q2692" t="s">
        <v>3627</v>
      </c>
      <c r="R2692">
        <v>0</v>
      </c>
    </row>
    <row r="2693" spans="17:18">
      <c r="Q2693" t="s">
        <v>3628</v>
      </c>
      <c r="R2693">
        <v>0</v>
      </c>
    </row>
    <row r="2694" spans="17:18">
      <c r="Q2694" t="s">
        <v>3629</v>
      </c>
      <c r="R2694">
        <v>0</v>
      </c>
    </row>
    <row r="2695" spans="17:18">
      <c r="Q2695" t="s">
        <v>3630</v>
      </c>
      <c r="R2695">
        <v>0</v>
      </c>
    </row>
    <row r="2696" spans="17:18">
      <c r="Q2696" t="s">
        <v>3631</v>
      </c>
      <c r="R2696">
        <v>0</v>
      </c>
    </row>
    <row r="2697" spans="17:18">
      <c r="Q2697" t="s">
        <v>3632</v>
      </c>
      <c r="R2697">
        <v>0</v>
      </c>
    </row>
    <row r="2698" spans="17:18">
      <c r="Q2698" t="s">
        <v>3633</v>
      </c>
      <c r="R2698">
        <v>0</v>
      </c>
    </row>
    <row r="2699" spans="17:18">
      <c r="Q2699" t="s">
        <v>3634</v>
      </c>
      <c r="R2699">
        <v>0</v>
      </c>
    </row>
    <row r="2700" spans="17:18">
      <c r="Q2700" t="s">
        <v>3635</v>
      </c>
      <c r="R2700">
        <v>0</v>
      </c>
    </row>
    <row r="2701" spans="17:18">
      <c r="Q2701" t="s">
        <v>3636</v>
      </c>
      <c r="R2701">
        <v>0</v>
      </c>
    </row>
    <row r="2702" spans="17:18">
      <c r="Q2702" t="s">
        <v>3637</v>
      </c>
      <c r="R2702">
        <v>0</v>
      </c>
    </row>
    <row r="2703" spans="17:18">
      <c r="Q2703" t="s">
        <v>3638</v>
      </c>
      <c r="R2703">
        <v>0</v>
      </c>
    </row>
    <row r="2704" spans="17:18">
      <c r="Q2704" t="s">
        <v>3639</v>
      </c>
      <c r="R2704">
        <v>0</v>
      </c>
    </row>
    <row r="2705" spans="17:18">
      <c r="Q2705" t="s">
        <v>3640</v>
      </c>
      <c r="R2705">
        <v>0</v>
      </c>
    </row>
    <row r="2706" spans="17:18">
      <c r="Q2706" t="s">
        <v>3641</v>
      </c>
      <c r="R2706">
        <v>0</v>
      </c>
    </row>
    <row r="2707" spans="17:18">
      <c r="Q2707" t="s">
        <v>3642</v>
      </c>
      <c r="R2707">
        <v>0</v>
      </c>
    </row>
    <row r="2708" spans="17:18">
      <c r="Q2708" t="s">
        <v>3643</v>
      </c>
      <c r="R2708">
        <v>0</v>
      </c>
    </row>
    <row r="2709" spans="17:18">
      <c r="Q2709" t="s">
        <v>3644</v>
      </c>
      <c r="R2709">
        <v>0</v>
      </c>
    </row>
    <row r="2710" spans="17:18">
      <c r="Q2710" t="s">
        <v>3645</v>
      </c>
      <c r="R2710">
        <v>0</v>
      </c>
    </row>
    <row r="2711" spans="17:18">
      <c r="Q2711" t="s">
        <v>3646</v>
      </c>
      <c r="R2711">
        <v>0</v>
      </c>
    </row>
    <row r="2712" spans="17:18">
      <c r="Q2712" t="s">
        <v>3647</v>
      </c>
      <c r="R2712">
        <v>0</v>
      </c>
    </row>
    <row r="2713" spans="17:18">
      <c r="Q2713" t="s">
        <v>3648</v>
      </c>
      <c r="R2713">
        <v>0</v>
      </c>
    </row>
    <row r="2714" spans="17:18">
      <c r="Q2714" t="s">
        <v>3649</v>
      </c>
      <c r="R2714">
        <v>0</v>
      </c>
    </row>
    <row r="2715" spans="17:18">
      <c r="Q2715" t="s">
        <v>3650</v>
      </c>
      <c r="R2715">
        <v>0</v>
      </c>
    </row>
    <row r="2716" spans="17:18">
      <c r="Q2716" t="s">
        <v>3651</v>
      </c>
      <c r="R2716">
        <v>0</v>
      </c>
    </row>
    <row r="2717" spans="17:18">
      <c r="Q2717" t="s">
        <v>3652</v>
      </c>
      <c r="R2717">
        <v>0</v>
      </c>
    </row>
    <row r="2718" spans="17:18">
      <c r="Q2718" t="s">
        <v>3653</v>
      </c>
      <c r="R2718">
        <v>0</v>
      </c>
    </row>
    <row r="2719" spans="17:18">
      <c r="Q2719" t="s">
        <v>3654</v>
      </c>
      <c r="R2719">
        <v>0</v>
      </c>
    </row>
    <row r="2720" spans="17:18">
      <c r="Q2720" t="s">
        <v>3655</v>
      </c>
      <c r="R2720">
        <v>0</v>
      </c>
    </row>
    <row r="2721" spans="17:18">
      <c r="Q2721" t="s">
        <v>3656</v>
      </c>
      <c r="R2721">
        <v>0</v>
      </c>
    </row>
    <row r="2722" spans="17:18">
      <c r="Q2722" t="s">
        <v>3657</v>
      </c>
      <c r="R2722">
        <v>0</v>
      </c>
    </row>
    <row r="2723" spans="17:18">
      <c r="Q2723" t="s">
        <v>3658</v>
      </c>
      <c r="R2723">
        <v>0</v>
      </c>
    </row>
    <row r="2724" spans="17:18">
      <c r="Q2724" t="s">
        <v>3659</v>
      </c>
      <c r="R2724">
        <v>0</v>
      </c>
    </row>
    <row r="2725" spans="17:18">
      <c r="Q2725" t="s">
        <v>3660</v>
      </c>
      <c r="R2725">
        <v>0</v>
      </c>
    </row>
    <row r="2726" spans="17:18">
      <c r="Q2726" t="s">
        <v>3661</v>
      </c>
      <c r="R2726">
        <v>0</v>
      </c>
    </row>
    <row r="2727" spans="17:18">
      <c r="Q2727" t="s">
        <v>3662</v>
      </c>
      <c r="R2727">
        <v>0</v>
      </c>
    </row>
    <row r="2728" spans="17:18">
      <c r="Q2728" t="s">
        <v>3663</v>
      </c>
      <c r="R2728">
        <v>0</v>
      </c>
    </row>
    <row r="2729" spans="17:18">
      <c r="Q2729" t="s">
        <v>3664</v>
      </c>
      <c r="R2729">
        <v>0</v>
      </c>
    </row>
    <row r="2730" spans="17:18">
      <c r="Q2730" t="s">
        <v>3665</v>
      </c>
      <c r="R2730">
        <v>0</v>
      </c>
    </row>
    <row r="2731" spans="17:18">
      <c r="Q2731" t="s">
        <v>3666</v>
      </c>
      <c r="R2731">
        <v>0</v>
      </c>
    </row>
    <row r="2732" spans="17:18">
      <c r="Q2732" t="s">
        <v>3667</v>
      </c>
      <c r="R2732">
        <v>0</v>
      </c>
    </row>
    <row r="2733" spans="17:18">
      <c r="Q2733" t="s">
        <v>3668</v>
      </c>
      <c r="R2733">
        <v>0</v>
      </c>
    </row>
    <row r="2734" spans="17:18">
      <c r="Q2734" t="s">
        <v>3669</v>
      </c>
      <c r="R2734">
        <v>0</v>
      </c>
    </row>
    <row r="2735" spans="17:18">
      <c r="Q2735" t="s">
        <v>3670</v>
      </c>
      <c r="R2735">
        <v>0</v>
      </c>
    </row>
    <row r="2736" spans="17:18">
      <c r="Q2736" t="s">
        <v>3671</v>
      </c>
      <c r="R2736">
        <v>0</v>
      </c>
    </row>
    <row r="2737" spans="17:18">
      <c r="Q2737" t="s">
        <v>3672</v>
      </c>
      <c r="R2737">
        <v>0</v>
      </c>
    </row>
    <row r="2738" spans="17:18">
      <c r="Q2738" t="s">
        <v>3673</v>
      </c>
      <c r="R2738">
        <v>0</v>
      </c>
    </row>
    <row r="2739" spans="17:18">
      <c r="Q2739" t="s">
        <v>3674</v>
      </c>
      <c r="R2739">
        <v>0</v>
      </c>
    </row>
    <row r="2740" spans="17:18">
      <c r="Q2740" t="s">
        <v>3675</v>
      </c>
      <c r="R2740">
        <v>0</v>
      </c>
    </row>
    <row r="2741" spans="17:18">
      <c r="Q2741" t="s">
        <v>3676</v>
      </c>
      <c r="R2741">
        <v>0</v>
      </c>
    </row>
    <row r="2742" spans="17:18">
      <c r="Q2742" t="s">
        <v>3677</v>
      </c>
      <c r="R2742">
        <v>0</v>
      </c>
    </row>
    <row r="2743" spans="17:18">
      <c r="Q2743" t="s">
        <v>3678</v>
      </c>
      <c r="R2743">
        <v>0</v>
      </c>
    </row>
    <row r="2744" spans="17:18">
      <c r="Q2744" t="s">
        <v>3679</v>
      </c>
      <c r="R2744">
        <v>0</v>
      </c>
    </row>
    <row r="2745" spans="17:18">
      <c r="Q2745" t="s">
        <v>3680</v>
      </c>
      <c r="R2745">
        <v>0</v>
      </c>
    </row>
    <row r="2746" spans="17:18">
      <c r="Q2746" t="s">
        <v>3681</v>
      </c>
      <c r="R2746">
        <v>0</v>
      </c>
    </row>
    <row r="2747" spans="17:18">
      <c r="Q2747" t="s">
        <v>3682</v>
      </c>
      <c r="R2747">
        <v>0</v>
      </c>
    </row>
    <row r="2748" spans="17:18">
      <c r="Q2748" t="s">
        <v>3683</v>
      </c>
      <c r="R2748">
        <v>0</v>
      </c>
    </row>
    <row r="2749" spans="17:18">
      <c r="Q2749" t="s">
        <v>3684</v>
      </c>
      <c r="R2749">
        <v>0</v>
      </c>
    </row>
    <row r="2750" spans="17:18">
      <c r="Q2750" t="s">
        <v>3685</v>
      </c>
      <c r="R2750">
        <v>0</v>
      </c>
    </row>
    <row r="2751" spans="17:18">
      <c r="Q2751" t="s">
        <v>3686</v>
      </c>
      <c r="R2751">
        <v>0</v>
      </c>
    </row>
    <row r="2752" spans="17:18">
      <c r="Q2752" t="s">
        <v>3687</v>
      </c>
      <c r="R2752">
        <v>0</v>
      </c>
    </row>
    <row r="2753" spans="17:18">
      <c r="Q2753" t="s">
        <v>3688</v>
      </c>
      <c r="R2753">
        <v>0</v>
      </c>
    </row>
    <row r="2754" spans="17:18">
      <c r="Q2754" t="s">
        <v>3689</v>
      </c>
      <c r="R2754">
        <v>0</v>
      </c>
    </row>
    <row r="2755" spans="17:18">
      <c r="Q2755" t="s">
        <v>3690</v>
      </c>
      <c r="R2755">
        <v>0</v>
      </c>
    </row>
    <row r="2756" spans="17:18">
      <c r="Q2756" t="s">
        <v>3691</v>
      </c>
      <c r="R2756">
        <v>0</v>
      </c>
    </row>
    <row r="2757" spans="17:18">
      <c r="Q2757" t="s">
        <v>3692</v>
      </c>
      <c r="R2757">
        <v>0</v>
      </c>
    </row>
    <row r="2758" spans="17:18">
      <c r="Q2758" t="s">
        <v>3693</v>
      </c>
      <c r="R2758">
        <v>0</v>
      </c>
    </row>
    <row r="2759" spans="17:18">
      <c r="Q2759" t="s">
        <v>3694</v>
      </c>
      <c r="R2759">
        <v>0</v>
      </c>
    </row>
    <row r="2760" spans="17:18">
      <c r="Q2760" t="s">
        <v>3695</v>
      </c>
      <c r="R2760">
        <v>0</v>
      </c>
    </row>
    <row r="2761" spans="17:18">
      <c r="Q2761" t="s">
        <v>3696</v>
      </c>
      <c r="R2761">
        <v>0</v>
      </c>
    </row>
    <row r="2762" spans="17:18">
      <c r="Q2762" t="s">
        <v>3697</v>
      </c>
      <c r="R2762">
        <v>0</v>
      </c>
    </row>
    <row r="2763" spans="17:18">
      <c r="Q2763" t="s">
        <v>3698</v>
      </c>
      <c r="R2763">
        <v>0</v>
      </c>
    </row>
    <row r="2764" spans="17:18">
      <c r="Q2764" t="s">
        <v>3699</v>
      </c>
      <c r="R2764">
        <v>0</v>
      </c>
    </row>
    <row r="2765" spans="17:18">
      <c r="Q2765" t="s">
        <v>3700</v>
      </c>
      <c r="R2765">
        <v>0</v>
      </c>
    </row>
    <row r="2766" spans="17:18">
      <c r="Q2766" t="s">
        <v>3701</v>
      </c>
      <c r="R2766">
        <v>0</v>
      </c>
    </row>
    <row r="2767" spans="17:18">
      <c r="Q2767" t="s">
        <v>3702</v>
      </c>
      <c r="R2767">
        <v>0</v>
      </c>
    </row>
    <row r="2768" spans="17:18">
      <c r="Q2768" t="s">
        <v>3703</v>
      </c>
      <c r="R2768">
        <v>0</v>
      </c>
    </row>
    <row r="2769" spans="17:18">
      <c r="Q2769" t="s">
        <v>3704</v>
      </c>
      <c r="R2769">
        <v>0</v>
      </c>
    </row>
    <row r="2770" spans="17:18">
      <c r="Q2770" t="s">
        <v>3705</v>
      </c>
      <c r="R2770">
        <v>0</v>
      </c>
    </row>
    <row r="2771" spans="17:18">
      <c r="Q2771" t="s">
        <v>3706</v>
      </c>
      <c r="R2771">
        <v>0</v>
      </c>
    </row>
    <row r="2772" spans="17:18">
      <c r="Q2772" t="s">
        <v>3707</v>
      </c>
      <c r="R2772">
        <v>0</v>
      </c>
    </row>
    <row r="2773" spans="17:18">
      <c r="Q2773" t="s">
        <v>3708</v>
      </c>
      <c r="R2773">
        <v>0</v>
      </c>
    </row>
    <row r="2774" spans="17:18">
      <c r="Q2774" t="s">
        <v>3709</v>
      </c>
      <c r="R2774">
        <v>0</v>
      </c>
    </row>
    <row r="2775" spans="17:18">
      <c r="Q2775" t="s">
        <v>3710</v>
      </c>
      <c r="R2775">
        <v>0</v>
      </c>
    </row>
    <row r="2776" spans="17:18">
      <c r="Q2776" t="s">
        <v>3711</v>
      </c>
      <c r="R2776">
        <v>0</v>
      </c>
    </row>
    <row r="2777" spans="17:18">
      <c r="Q2777" t="s">
        <v>3712</v>
      </c>
      <c r="R2777">
        <v>0</v>
      </c>
    </row>
    <row r="2778" spans="17:18">
      <c r="Q2778" t="s">
        <v>3713</v>
      </c>
      <c r="R2778">
        <v>0</v>
      </c>
    </row>
    <row r="2779" spans="17:18">
      <c r="Q2779" t="s">
        <v>3714</v>
      </c>
      <c r="R2779">
        <v>0</v>
      </c>
    </row>
    <row r="2780" spans="17:18">
      <c r="Q2780" t="s">
        <v>3715</v>
      </c>
      <c r="R2780">
        <v>0</v>
      </c>
    </row>
    <row r="2781" spans="17:18">
      <c r="Q2781" t="s">
        <v>3716</v>
      </c>
      <c r="R2781">
        <v>0</v>
      </c>
    </row>
    <row r="2782" spans="17:18">
      <c r="Q2782" t="s">
        <v>3717</v>
      </c>
      <c r="R2782">
        <v>0</v>
      </c>
    </row>
    <row r="2783" spans="17:18">
      <c r="Q2783" t="s">
        <v>3718</v>
      </c>
      <c r="R2783">
        <v>0</v>
      </c>
    </row>
    <row r="2784" spans="17:18">
      <c r="Q2784" t="s">
        <v>3719</v>
      </c>
      <c r="R2784">
        <v>0</v>
      </c>
    </row>
    <row r="2785" spans="17:18">
      <c r="Q2785" t="s">
        <v>3720</v>
      </c>
      <c r="R2785">
        <v>0</v>
      </c>
    </row>
    <row r="2786" spans="17:18">
      <c r="Q2786" t="s">
        <v>3721</v>
      </c>
      <c r="R2786">
        <v>0</v>
      </c>
    </row>
    <row r="2787" spans="17:18">
      <c r="Q2787" t="s">
        <v>3722</v>
      </c>
      <c r="R2787">
        <v>0</v>
      </c>
    </row>
    <row r="2788" spans="17:18">
      <c r="Q2788" t="s">
        <v>3723</v>
      </c>
      <c r="R2788">
        <v>0</v>
      </c>
    </row>
    <row r="2789" spans="17:18">
      <c r="Q2789" t="s">
        <v>3724</v>
      </c>
      <c r="R2789">
        <v>0</v>
      </c>
    </row>
    <row r="2790" spans="17:18">
      <c r="Q2790" t="s">
        <v>3725</v>
      </c>
      <c r="R2790">
        <v>0</v>
      </c>
    </row>
    <row r="2791" spans="17:18">
      <c r="Q2791" t="s">
        <v>3726</v>
      </c>
      <c r="R2791">
        <v>0</v>
      </c>
    </row>
    <row r="2792" spans="17:18">
      <c r="Q2792" t="s">
        <v>3727</v>
      </c>
      <c r="R2792">
        <v>0</v>
      </c>
    </row>
    <row r="2793" spans="17:18">
      <c r="Q2793" t="s">
        <v>3728</v>
      </c>
      <c r="R2793">
        <v>0</v>
      </c>
    </row>
    <row r="2794" spans="17:18">
      <c r="Q2794" t="s">
        <v>3729</v>
      </c>
      <c r="R2794">
        <v>0</v>
      </c>
    </row>
    <row r="2795" spans="17:18">
      <c r="Q2795" t="s">
        <v>3730</v>
      </c>
      <c r="R2795">
        <v>0</v>
      </c>
    </row>
    <row r="2796" spans="17:18">
      <c r="Q2796" t="s">
        <v>3731</v>
      </c>
      <c r="R2796">
        <v>0</v>
      </c>
    </row>
    <row r="2797" spans="17:18">
      <c r="Q2797" t="s">
        <v>3732</v>
      </c>
      <c r="R2797">
        <v>0</v>
      </c>
    </row>
    <row r="2798" spans="17:18">
      <c r="Q2798" t="s">
        <v>3733</v>
      </c>
      <c r="R2798">
        <v>0</v>
      </c>
    </row>
    <row r="2799" spans="17:18">
      <c r="Q2799" t="s">
        <v>3734</v>
      </c>
      <c r="R2799">
        <v>0</v>
      </c>
    </row>
    <row r="2800" spans="17:18">
      <c r="Q2800" t="s">
        <v>3735</v>
      </c>
      <c r="R2800">
        <v>0</v>
      </c>
    </row>
    <row r="2801" spans="17:18">
      <c r="Q2801" t="s">
        <v>3736</v>
      </c>
      <c r="R2801">
        <v>0</v>
      </c>
    </row>
    <row r="2802" spans="17:18">
      <c r="Q2802" t="s">
        <v>3737</v>
      </c>
      <c r="R2802">
        <v>0</v>
      </c>
    </row>
    <row r="2803" spans="17:18">
      <c r="Q2803" t="s">
        <v>3738</v>
      </c>
      <c r="R2803">
        <v>0</v>
      </c>
    </row>
    <row r="2804" spans="17:18">
      <c r="Q2804" t="s">
        <v>3739</v>
      </c>
      <c r="R2804">
        <v>0</v>
      </c>
    </row>
    <row r="2805" spans="17:18">
      <c r="Q2805" t="s">
        <v>3740</v>
      </c>
      <c r="R2805">
        <v>0</v>
      </c>
    </row>
    <row r="2806" spans="17:18">
      <c r="Q2806" t="s">
        <v>3741</v>
      </c>
      <c r="R2806">
        <v>0</v>
      </c>
    </row>
    <row r="2807" spans="17:18">
      <c r="Q2807" t="s">
        <v>3742</v>
      </c>
      <c r="R2807">
        <v>0</v>
      </c>
    </row>
    <row r="2808" spans="17:18">
      <c r="Q2808" t="s">
        <v>3743</v>
      </c>
      <c r="R2808">
        <v>0</v>
      </c>
    </row>
    <row r="2809" spans="17:18">
      <c r="Q2809" t="s">
        <v>3744</v>
      </c>
      <c r="R2809">
        <v>0</v>
      </c>
    </row>
    <row r="2810" spans="17:18">
      <c r="Q2810" t="s">
        <v>3745</v>
      </c>
      <c r="R2810">
        <v>0</v>
      </c>
    </row>
    <row r="2811" spans="17:18">
      <c r="Q2811" t="s">
        <v>3746</v>
      </c>
      <c r="R2811">
        <v>0</v>
      </c>
    </row>
    <row r="2812" spans="17:18">
      <c r="Q2812" t="s">
        <v>3747</v>
      </c>
      <c r="R2812">
        <v>0</v>
      </c>
    </row>
    <row r="2813" spans="17:18">
      <c r="Q2813" t="s">
        <v>3748</v>
      </c>
      <c r="R2813">
        <v>0</v>
      </c>
    </row>
    <row r="2814" spans="17:18">
      <c r="Q2814" t="s">
        <v>3749</v>
      </c>
      <c r="R2814">
        <v>0</v>
      </c>
    </row>
    <row r="2815" spans="17:18">
      <c r="Q2815" t="s">
        <v>3750</v>
      </c>
      <c r="R2815">
        <v>0</v>
      </c>
    </row>
    <row r="2816" spans="17:18">
      <c r="Q2816" t="s">
        <v>3751</v>
      </c>
      <c r="R2816">
        <v>0</v>
      </c>
    </row>
    <row r="2817" spans="17:18">
      <c r="Q2817" t="s">
        <v>3752</v>
      </c>
      <c r="R2817">
        <v>0</v>
      </c>
    </row>
    <row r="2818" spans="17:18">
      <c r="Q2818" t="s">
        <v>3753</v>
      </c>
      <c r="R2818">
        <v>0</v>
      </c>
    </row>
    <row r="2819" spans="17:18">
      <c r="Q2819" t="s">
        <v>3754</v>
      </c>
      <c r="R2819">
        <v>0</v>
      </c>
    </row>
    <row r="2820" spans="17:18">
      <c r="Q2820" t="s">
        <v>3755</v>
      </c>
      <c r="R2820">
        <v>0</v>
      </c>
    </row>
    <row r="2821" spans="17:18">
      <c r="Q2821" t="s">
        <v>3756</v>
      </c>
      <c r="R2821">
        <v>3.8460700000000005</v>
      </c>
    </row>
    <row r="2822" spans="17:18">
      <c r="Q2822" t="s">
        <v>3757</v>
      </c>
      <c r="R2822">
        <v>2.89906</v>
      </c>
    </row>
    <row r="2823" spans="17:18">
      <c r="Q2823" t="s">
        <v>3758</v>
      </c>
      <c r="R2823">
        <v>3.8394899999999996</v>
      </c>
    </row>
    <row r="2824" spans="17:18">
      <c r="Q2824" t="s">
        <v>3759</v>
      </c>
      <c r="R2824">
        <v>0</v>
      </c>
    </row>
    <row r="2825" spans="17:18">
      <c r="Q2825" t="s">
        <v>3760</v>
      </c>
      <c r="R2825">
        <v>0</v>
      </c>
    </row>
    <row r="2826" spans="17:18">
      <c r="Q2826" t="s">
        <v>3761</v>
      </c>
      <c r="R2826">
        <v>0</v>
      </c>
    </row>
    <row r="2827" spans="17:18">
      <c r="Q2827" t="s">
        <v>3762</v>
      </c>
      <c r="R2827">
        <v>0</v>
      </c>
    </row>
    <row r="2828" spans="17:18">
      <c r="Q2828" t="s">
        <v>3763</v>
      </c>
      <c r="R2828">
        <v>0</v>
      </c>
    </row>
    <row r="2829" spans="17:18">
      <c r="Q2829" t="s">
        <v>3764</v>
      </c>
      <c r="R2829">
        <v>0</v>
      </c>
    </row>
    <row r="2830" spans="17:18">
      <c r="Q2830" t="s">
        <v>3765</v>
      </c>
      <c r="R2830">
        <v>0</v>
      </c>
    </row>
    <row r="2831" spans="17:18">
      <c r="Q2831" t="s">
        <v>3766</v>
      </c>
      <c r="R2831">
        <v>0</v>
      </c>
    </row>
    <row r="2832" spans="17:18">
      <c r="Q2832" t="s">
        <v>3767</v>
      </c>
      <c r="R2832">
        <v>0</v>
      </c>
    </row>
    <row r="2833" spans="17:18">
      <c r="Q2833" t="s">
        <v>3768</v>
      </c>
      <c r="R2833">
        <v>0</v>
      </c>
    </row>
    <row r="2834" spans="17:18">
      <c r="Q2834" t="s">
        <v>3769</v>
      </c>
      <c r="R2834">
        <v>0</v>
      </c>
    </row>
    <row r="2835" spans="17:18">
      <c r="Q2835" t="s">
        <v>3770</v>
      </c>
      <c r="R2835">
        <v>0</v>
      </c>
    </row>
    <row r="2836" spans="17:18">
      <c r="Q2836" t="s">
        <v>3771</v>
      </c>
      <c r="R2836">
        <v>0</v>
      </c>
    </row>
    <row r="2837" spans="17:18">
      <c r="Q2837" t="s">
        <v>3772</v>
      </c>
      <c r="R2837">
        <v>0</v>
      </c>
    </row>
    <row r="2838" spans="17:18">
      <c r="Q2838" t="s">
        <v>3773</v>
      </c>
      <c r="R2838">
        <v>0</v>
      </c>
    </row>
    <row r="2839" spans="17:18">
      <c r="Q2839" t="s">
        <v>3774</v>
      </c>
      <c r="R2839">
        <v>0</v>
      </c>
    </row>
    <row r="2840" spans="17:18">
      <c r="Q2840" t="s">
        <v>3775</v>
      </c>
      <c r="R2840">
        <v>0</v>
      </c>
    </row>
    <row r="2841" spans="17:18">
      <c r="Q2841" t="s">
        <v>3776</v>
      </c>
      <c r="R2841">
        <v>0</v>
      </c>
    </row>
    <row r="2842" spans="17:18">
      <c r="Q2842" t="s">
        <v>3777</v>
      </c>
      <c r="R2842">
        <v>0</v>
      </c>
    </row>
    <row r="2843" spans="17:18">
      <c r="Q2843" t="s">
        <v>3778</v>
      </c>
      <c r="R2843">
        <v>0</v>
      </c>
    </row>
    <row r="2844" spans="17:18">
      <c r="Q2844" t="s">
        <v>3779</v>
      </c>
      <c r="R2844">
        <v>0</v>
      </c>
    </row>
    <row r="2845" spans="17:18">
      <c r="Q2845" t="s">
        <v>3780</v>
      </c>
      <c r="R2845">
        <v>0</v>
      </c>
    </row>
    <row r="2846" spans="17:18">
      <c r="Q2846" t="s">
        <v>3781</v>
      </c>
      <c r="R2846">
        <v>0</v>
      </c>
    </row>
    <row r="2847" spans="17:18">
      <c r="Q2847" t="s">
        <v>3782</v>
      </c>
      <c r="R2847">
        <v>0</v>
      </c>
    </row>
    <row r="2848" spans="17:18">
      <c r="Q2848" t="s">
        <v>3783</v>
      </c>
      <c r="R2848">
        <v>0</v>
      </c>
    </row>
    <row r="2849" spans="17:18">
      <c r="Q2849" t="s">
        <v>3784</v>
      </c>
      <c r="R2849">
        <v>0</v>
      </c>
    </row>
    <row r="2850" spans="17:18">
      <c r="Q2850" t="s">
        <v>3785</v>
      </c>
      <c r="R2850">
        <v>0</v>
      </c>
    </row>
    <row r="2851" spans="17:18">
      <c r="Q2851" t="s">
        <v>3786</v>
      </c>
      <c r="R2851">
        <v>0</v>
      </c>
    </row>
    <row r="2852" spans="17:18">
      <c r="Q2852" t="s">
        <v>3787</v>
      </c>
      <c r="R2852">
        <v>0</v>
      </c>
    </row>
    <row r="2853" spans="17:18">
      <c r="Q2853" t="s">
        <v>3788</v>
      </c>
      <c r="R2853">
        <v>0</v>
      </c>
    </row>
    <row r="2854" spans="17:18">
      <c r="Q2854" t="s">
        <v>3789</v>
      </c>
      <c r="R2854">
        <v>0</v>
      </c>
    </row>
    <row r="2855" spans="17:18">
      <c r="Q2855" t="s">
        <v>3790</v>
      </c>
      <c r="R2855">
        <v>0</v>
      </c>
    </row>
    <row r="2856" spans="17:18">
      <c r="Q2856" t="s">
        <v>3791</v>
      </c>
      <c r="R2856">
        <v>0</v>
      </c>
    </row>
    <row r="2857" spans="17:18">
      <c r="Q2857" t="s">
        <v>3792</v>
      </c>
      <c r="R2857">
        <v>0</v>
      </c>
    </row>
    <row r="2858" spans="17:18">
      <c r="Q2858" t="s">
        <v>3793</v>
      </c>
      <c r="R2858">
        <v>0</v>
      </c>
    </row>
    <row r="2859" spans="17:18">
      <c r="Q2859" t="s">
        <v>3794</v>
      </c>
      <c r="R2859">
        <v>0</v>
      </c>
    </row>
    <row r="2860" spans="17:18">
      <c r="Q2860" t="s">
        <v>3795</v>
      </c>
      <c r="R2860">
        <v>0</v>
      </c>
    </row>
    <row r="2861" spans="17:18">
      <c r="Q2861" t="s">
        <v>3796</v>
      </c>
      <c r="R2861">
        <v>0</v>
      </c>
    </row>
    <row r="2862" spans="17:18">
      <c r="Q2862" t="s">
        <v>3797</v>
      </c>
      <c r="R2862">
        <v>0</v>
      </c>
    </row>
    <row r="2863" spans="17:18">
      <c r="Q2863" t="s">
        <v>3798</v>
      </c>
      <c r="R2863">
        <v>0</v>
      </c>
    </row>
    <row r="2864" spans="17:18">
      <c r="Q2864" t="s">
        <v>3799</v>
      </c>
      <c r="R2864">
        <v>0</v>
      </c>
    </row>
    <row r="2865" spans="17:18">
      <c r="Q2865" t="s">
        <v>3800</v>
      </c>
      <c r="R2865">
        <v>0</v>
      </c>
    </row>
    <row r="2866" spans="17:18">
      <c r="Q2866" t="s">
        <v>3801</v>
      </c>
      <c r="R2866">
        <v>0</v>
      </c>
    </row>
    <row r="2867" spans="17:18">
      <c r="Q2867" t="s">
        <v>3802</v>
      </c>
      <c r="R2867">
        <v>0</v>
      </c>
    </row>
    <row r="2868" spans="17:18">
      <c r="Q2868" t="s">
        <v>3803</v>
      </c>
      <c r="R2868">
        <v>0</v>
      </c>
    </row>
    <row r="2869" spans="17:18">
      <c r="Q2869" t="s">
        <v>3804</v>
      </c>
      <c r="R2869">
        <v>0</v>
      </c>
    </row>
    <row r="2870" spans="17:18">
      <c r="Q2870" t="s">
        <v>3805</v>
      </c>
      <c r="R2870">
        <v>0</v>
      </c>
    </row>
    <row r="2871" spans="17:18">
      <c r="Q2871" t="s">
        <v>3806</v>
      </c>
      <c r="R2871">
        <v>0</v>
      </c>
    </row>
    <row r="2872" spans="17:18">
      <c r="Q2872" t="s">
        <v>3807</v>
      </c>
      <c r="R2872">
        <v>0</v>
      </c>
    </row>
    <row r="2873" spans="17:18">
      <c r="Q2873" t="s">
        <v>3808</v>
      </c>
      <c r="R2873">
        <v>0</v>
      </c>
    </row>
    <row r="2874" spans="17:18">
      <c r="Q2874" t="s">
        <v>3809</v>
      </c>
      <c r="R2874">
        <v>0</v>
      </c>
    </row>
    <row r="2875" spans="17:18">
      <c r="Q2875" t="s">
        <v>3810</v>
      </c>
      <c r="R2875">
        <v>0</v>
      </c>
    </row>
    <row r="2876" spans="17:18">
      <c r="Q2876" t="s">
        <v>3811</v>
      </c>
      <c r="R2876">
        <v>0</v>
      </c>
    </row>
    <row r="2877" spans="17:18">
      <c r="Q2877" t="s">
        <v>3812</v>
      </c>
      <c r="R2877">
        <v>0</v>
      </c>
    </row>
    <row r="2878" spans="17:18">
      <c r="Q2878" t="s">
        <v>3813</v>
      </c>
      <c r="R2878">
        <v>0</v>
      </c>
    </row>
    <row r="2879" spans="17:18">
      <c r="Q2879" t="s">
        <v>3814</v>
      </c>
      <c r="R2879">
        <v>0</v>
      </c>
    </row>
    <row r="2880" spans="17:18">
      <c r="Q2880" t="s">
        <v>3815</v>
      </c>
      <c r="R2880">
        <v>0</v>
      </c>
    </row>
    <row r="2881" spans="17:18">
      <c r="Q2881" t="s">
        <v>3816</v>
      </c>
      <c r="R2881">
        <v>0</v>
      </c>
    </row>
    <row r="2882" spans="17:18">
      <c r="Q2882" t="s">
        <v>3817</v>
      </c>
      <c r="R2882">
        <v>0</v>
      </c>
    </row>
    <row r="2883" spans="17:18">
      <c r="Q2883" t="s">
        <v>3818</v>
      </c>
      <c r="R2883">
        <v>0</v>
      </c>
    </row>
    <row r="2884" spans="17:18">
      <c r="Q2884" t="s">
        <v>3819</v>
      </c>
      <c r="R2884">
        <v>0</v>
      </c>
    </row>
    <row r="2885" spans="17:18">
      <c r="Q2885" t="s">
        <v>3820</v>
      </c>
      <c r="R2885">
        <v>0</v>
      </c>
    </row>
    <row r="2886" spans="17:18">
      <c r="Q2886" t="s">
        <v>3821</v>
      </c>
      <c r="R2886">
        <v>0</v>
      </c>
    </row>
    <row r="2887" spans="17:18">
      <c r="Q2887" t="s">
        <v>3822</v>
      </c>
      <c r="R2887">
        <v>0</v>
      </c>
    </row>
    <row r="2888" spans="17:18">
      <c r="Q2888" t="s">
        <v>3823</v>
      </c>
      <c r="R2888">
        <v>0</v>
      </c>
    </row>
    <row r="2889" spans="17:18">
      <c r="Q2889" t="s">
        <v>3824</v>
      </c>
      <c r="R2889">
        <v>0</v>
      </c>
    </row>
    <row r="2890" spans="17:18">
      <c r="Q2890" t="s">
        <v>3825</v>
      </c>
      <c r="R2890">
        <v>0</v>
      </c>
    </row>
    <row r="2891" spans="17:18">
      <c r="Q2891" t="s">
        <v>3826</v>
      </c>
      <c r="R2891">
        <v>0</v>
      </c>
    </row>
    <row r="2892" spans="17:18">
      <c r="Q2892" t="s">
        <v>3827</v>
      </c>
      <c r="R2892">
        <v>0</v>
      </c>
    </row>
    <row r="2893" spans="17:18">
      <c r="Q2893" t="s">
        <v>3828</v>
      </c>
      <c r="R2893">
        <v>0</v>
      </c>
    </row>
    <row r="2894" spans="17:18">
      <c r="Q2894" t="s">
        <v>3829</v>
      </c>
      <c r="R2894">
        <v>0</v>
      </c>
    </row>
    <row r="2895" spans="17:18">
      <c r="Q2895" t="s">
        <v>3830</v>
      </c>
      <c r="R2895">
        <v>0</v>
      </c>
    </row>
    <row r="2896" spans="17:18">
      <c r="Q2896" t="s">
        <v>3831</v>
      </c>
      <c r="R2896">
        <v>0</v>
      </c>
    </row>
    <row r="2897" spans="17:18">
      <c r="Q2897" t="s">
        <v>3832</v>
      </c>
      <c r="R2897">
        <v>0</v>
      </c>
    </row>
    <row r="2898" spans="17:18">
      <c r="Q2898" t="s">
        <v>3833</v>
      </c>
      <c r="R2898">
        <v>0</v>
      </c>
    </row>
    <row r="2899" spans="17:18">
      <c r="Q2899" t="s">
        <v>3834</v>
      </c>
      <c r="R2899">
        <v>0</v>
      </c>
    </row>
    <row r="2900" spans="17:18">
      <c r="Q2900" t="s">
        <v>3835</v>
      </c>
      <c r="R2900">
        <v>0</v>
      </c>
    </row>
    <row r="2901" spans="17:18">
      <c r="Q2901" t="s">
        <v>3836</v>
      </c>
      <c r="R2901">
        <v>0</v>
      </c>
    </row>
    <row r="2902" spans="17:18">
      <c r="Q2902" t="s">
        <v>3837</v>
      </c>
      <c r="R2902">
        <v>0</v>
      </c>
    </row>
    <row r="2903" spans="17:18">
      <c r="Q2903" t="s">
        <v>3838</v>
      </c>
      <c r="R2903">
        <v>0</v>
      </c>
    </row>
    <row r="2904" spans="17:18">
      <c r="Q2904" t="s">
        <v>3839</v>
      </c>
      <c r="R2904">
        <v>0</v>
      </c>
    </row>
    <row r="2905" spans="17:18">
      <c r="Q2905" t="s">
        <v>3840</v>
      </c>
      <c r="R2905">
        <v>0</v>
      </c>
    </row>
    <row r="2906" spans="17:18">
      <c r="Q2906" t="s">
        <v>3841</v>
      </c>
      <c r="R2906">
        <v>0</v>
      </c>
    </row>
    <row r="2907" spans="17:18">
      <c r="Q2907" t="s">
        <v>3842</v>
      </c>
      <c r="R2907">
        <v>0</v>
      </c>
    </row>
    <row r="2908" spans="17:18">
      <c r="Q2908" t="s">
        <v>3843</v>
      </c>
      <c r="R2908">
        <v>0</v>
      </c>
    </row>
    <row r="2909" spans="17:18">
      <c r="Q2909" t="s">
        <v>3844</v>
      </c>
      <c r="R2909">
        <v>0</v>
      </c>
    </row>
    <row r="2910" spans="17:18">
      <c r="Q2910" t="s">
        <v>3845</v>
      </c>
      <c r="R2910">
        <v>0</v>
      </c>
    </row>
    <row r="2911" spans="17:18">
      <c r="Q2911" t="s">
        <v>3846</v>
      </c>
      <c r="R2911">
        <v>0</v>
      </c>
    </row>
    <row r="2912" spans="17:18">
      <c r="Q2912" t="s">
        <v>3847</v>
      </c>
      <c r="R2912">
        <v>0</v>
      </c>
    </row>
    <row r="2913" spans="17:18">
      <c r="Q2913" t="s">
        <v>3848</v>
      </c>
      <c r="R2913">
        <v>0</v>
      </c>
    </row>
    <row r="2914" spans="17:18">
      <c r="Q2914" t="s">
        <v>3849</v>
      </c>
      <c r="R2914">
        <v>0</v>
      </c>
    </row>
    <row r="2915" spans="17:18">
      <c r="Q2915" t="s">
        <v>3850</v>
      </c>
      <c r="R2915">
        <v>0</v>
      </c>
    </row>
    <row r="2916" spans="17:18">
      <c r="Q2916" t="s">
        <v>3851</v>
      </c>
      <c r="R2916">
        <v>0</v>
      </c>
    </row>
    <row r="2917" spans="17:18">
      <c r="Q2917" t="s">
        <v>3852</v>
      </c>
      <c r="R2917">
        <v>0</v>
      </c>
    </row>
    <row r="2918" spans="17:18">
      <c r="Q2918" t="s">
        <v>3853</v>
      </c>
      <c r="R2918">
        <v>0</v>
      </c>
    </row>
    <row r="2919" spans="17:18">
      <c r="Q2919" t="s">
        <v>3854</v>
      </c>
      <c r="R2919">
        <v>0</v>
      </c>
    </row>
    <row r="2920" spans="17:18">
      <c r="Q2920" t="s">
        <v>3855</v>
      </c>
      <c r="R2920">
        <v>0</v>
      </c>
    </row>
    <row r="2921" spans="17:18">
      <c r="Q2921" t="s">
        <v>3856</v>
      </c>
      <c r="R2921">
        <v>0</v>
      </c>
    </row>
    <row r="2922" spans="17:18">
      <c r="Q2922" t="s">
        <v>3857</v>
      </c>
      <c r="R2922">
        <v>0</v>
      </c>
    </row>
    <row r="2923" spans="17:18">
      <c r="Q2923" t="s">
        <v>3858</v>
      </c>
      <c r="R2923">
        <v>0</v>
      </c>
    </row>
    <row r="2924" spans="17:18">
      <c r="Q2924" t="s">
        <v>3859</v>
      </c>
      <c r="R2924">
        <v>0</v>
      </c>
    </row>
    <row r="2925" spans="17:18">
      <c r="Q2925" t="s">
        <v>3860</v>
      </c>
      <c r="R2925">
        <v>0</v>
      </c>
    </row>
    <row r="2926" spans="17:18">
      <c r="Q2926" t="s">
        <v>3861</v>
      </c>
      <c r="R2926">
        <v>0</v>
      </c>
    </row>
    <row r="2927" spans="17:18">
      <c r="Q2927" t="s">
        <v>3862</v>
      </c>
      <c r="R2927">
        <v>0</v>
      </c>
    </row>
    <row r="2928" spans="17:18">
      <c r="Q2928" t="s">
        <v>3863</v>
      </c>
      <c r="R2928">
        <v>0</v>
      </c>
    </row>
    <row r="2929" spans="17:18">
      <c r="Q2929" t="s">
        <v>3864</v>
      </c>
      <c r="R2929">
        <v>0</v>
      </c>
    </row>
    <row r="2930" spans="17:18">
      <c r="Q2930" t="s">
        <v>3865</v>
      </c>
      <c r="R2930">
        <v>0</v>
      </c>
    </row>
    <row r="2931" spans="17:18">
      <c r="Q2931" t="s">
        <v>3866</v>
      </c>
      <c r="R2931">
        <v>0</v>
      </c>
    </row>
    <row r="2932" spans="17:18">
      <c r="Q2932" t="s">
        <v>3867</v>
      </c>
      <c r="R2932">
        <v>0</v>
      </c>
    </row>
    <row r="2933" spans="17:18">
      <c r="Q2933" t="s">
        <v>3868</v>
      </c>
      <c r="R2933">
        <v>0</v>
      </c>
    </row>
    <row r="2934" spans="17:18">
      <c r="Q2934" t="s">
        <v>3869</v>
      </c>
      <c r="R2934">
        <v>0</v>
      </c>
    </row>
    <row r="2935" spans="17:18">
      <c r="Q2935" t="s">
        <v>3870</v>
      </c>
      <c r="R2935">
        <v>0</v>
      </c>
    </row>
    <row r="2936" spans="17:18">
      <c r="Q2936" t="s">
        <v>3871</v>
      </c>
      <c r="R2936">
        <v>0</v>
      </c>
    </row>
    <row r="2937" spans="17:18">
      <c r="Q2937" t="s">
        <v>3872</v>
      </c>
      <c r="R2937">
        <v>0</v>
      </c>
    </row>
    <row r="2938" spans="17:18">
      <c r="Q2938" t="s">
        <v>3873</v>
      </c>
      <c r="R2938">
        <v>0</v>
      </c>
    </row>
    <row r="2939" spans="17:18">
      <c r="Q2939" t="s">
        <v>3874</v>
      </c>
      <c r="R2939">
        <v>0</v>
      </c>
    </row>
    <row r="2940" spans="17:18">
      <c r="Q2940" t="s">
        <v>3875</v>
      </c>
      <c r="R2940">
        <v>0</v>
      </c>
    </row>
    <row r="2941" spans="17:18">
      <c r="Q2941" t="s">
        <v>3876</v>
      </c>
      <c r="R2941">
        <v>0</v>
      </c>
    </row>
    <row r="2942" spans="17:18">
      <c r="Q2942" t="s">
        <v>3877</v>
      </c>
      <c r="R2942">
        <v>0</v>
      </c>
    </row>
    <row r="2943" spans="17:18">
      <c r="Q2943" t="s">
        <v>3878</v>
      </c>
      <c r="R2943">
        <v>0</v>
      </c>
    </row>
    <row r="2944" spans="17:18">
      <c r="Q2944" t="s">
        <v>3879</v>
      </c>
      <c r="R2944">
        <v>0</v>
      </c>
    </row>
    <row r="2945" spans="17:18">
      <c r="Q2945" t="s">
        <v>3880</v>
      </c>
      <c r="R2945">
        <v>0</v>
      </c>
    </row>
    <row r="2946" spans="17:18">
      <c r="Q2946" t="s">
        <v>3881</v>
      </c>
      <c r="R2946">
        <v>0</v>
      </c>
    </row>
    <row r="2947" spans="17:18">
      <c r="Q2947" t="s">
        <v>3882</v>
      </c>
      <c r="R2947">
        <v>0</v>
      </c>
    </row>
    <row r="2948" spans="17:18">
      <c r="Q2948" t="s">
        <v>3883</v>
      </c>
      <c r="R2948">
        <v>0</v>
      </c>
    </row>
    <row r="2949" spans="17:18">
      <c r="Q2949" t="s">
        <v>3884</v>
      </c>
      <c r="R2949">
        <v>0</v>
      </c>
    </row>
    <row r="2950" spans="17:18">
      <c r="Q2950" t="s">
        <v>3885</v>
      </c>
      <c r="R2950">
        <v>0</v>
      </c>
    </row>
    <row r="2951" spans="17:18">
      <c r="Q2951" t="s">
        <v>3886</v>
      </c>
      <c r="R2951">
        <v>0</v>
      </c>
    </row>
    <row r="2952" spans="17:18">
      <c r="Q2952" t="s">
        <v>3887</v>
      </c>
      <c r="R2952">
        <v>0</v>
      </c>
    </row>
    <row r="2953" spans="17:18">
      <c r="Q2953" t="s">
        <v>3888</v>
      </c>
      <c r="R2953">
        <v>0</v>
      </c>
    </row>
    <row r="2954" spans="17:18">
      <c r="Q2954" t="s">
        <v>3889</v>
      </c>
      <c r="R2954">
        <v>0</v>
      </c>
    </row>
    <row r="2955" spans="17:18">
      <c r="Q2955" t="s">
        <v>3890</v>
      </c>
      <c r="R2955">
        <v>0</v>
      </c>
    </row>
    <row r="2956" spans="17:18">
      <c r="Q2956" t="s">
        <v>3891</v>
      </c>
      <c r="R2956">
        <v>0</v>
      </c>
    </row>
    <row r="2957" spans="17:18">
      <c r="Q2957" t="s">
        <v>3892</v>
      </c>
      <c r="R2957">
        <v>0</v>
      </c>
    </row>
    <row r="2958" spans="17:18">
      <c r="Q2958" t="s">
        <v>3893</v>
      </c>
      <c r="R2958">
        <v>0</v>
      </c>
    </row>
    <row r="2959" spans="17:18">
      <c r="Q2959" t="s">
        <v>3894</v>
      </c>
      <c r="R2959">
        <v>0</v>
      </c>
    </row>
    <row r="2960" spans="17:18">
      <c r="Q2960" t="s">
        <v>3895</v>
      </c>
      <c r="R2960">
        <v>0</v>
      </c>
    </row>
    <row r="2961" spans="17:18">
      <c r="Q2961" t="s">
        <v>3896</v>
      </c>
      <c r="R2961">
        <v>0</v>
      </c>
    </row>
    <row r="2962" spans="17:18">
      <c r="Q2962" t="s">
        <v>3897</v>
      </c>
      <c r="R2962">
        <v>0</v>
      </c>
    </row>
    <row r="2963" spans="17:18">
      <c r="Q2963" t="s">
        <v>3898</v>
      </c>
      <c r="R2963">
        <v>0</v>
      </c>
    </row>
    <row r="2964" spans="17:18">
      <c r="Q2964" t="s">
        <v>3899</v>
      </c>
      <c r="R2964">
        <v>0</v>
      </c>
    </row>
    <row r="2965" spans="17:18">
      <c r="Q2965" t="s">
        <v>3900</v>
      </c>
      <c r="R2965">
        <v>0</v>
      </c>
    </row>
    <row r="2966" spans="17:18">
      <c r="Q2966" t="s">
        <v>3901</v>
      </c>
      <c r="R2966">
        <v>0</v>
      </c>
    </row>
    <row r="2967" spans="17:18">
      <c r="Q2967" t="s">
        <v>3902</v>
      </c>
      <c r="R2967">
        <v>0</v>
      </c>
    </row>
    <row r="2968" spans="17:18">
      <c r="Q2968" t="s">
        <v>3903</v>
      </c>
      <c r="R2968">
        <v>0</v>
      </c>
    </row>
    <row r="2969" spans="17:18">
      <c r="Q2969" t="s">
        <v>3904</v>
      </c>
      <c r="R2969">
        <v>0</v>
      </c>
    </row>
    <row r="2970" spans="17:18">
      <c r="Q2970" t="s">
        <v>3905</v>
      </c>
      <c r="R2970">
        <v>0</v>
      </c>
    </row>
    <row r="2971" spans="17:18">
      <c r="Q2971" t="s">
        <v>3906</v>
      </c>
      <c r="R2971">
        <v>0</v>
      </c>
    </row>
    <row r="2972" spans="17:18">
      <c r="Q2972" t="s">
        <v>3907</v>
      </c>
      <c r="R2972">
        <v>0</v>
      </c>
    </row>
    <row r="2973" spans="17:18">
      <c r="Q2973" t="s">
        <v>3908</v>
      </c>
      <c r="R2973">
        <v>0</v>
      </c>
    </row>
    <row r="2974" spans="17:18">
      <c r="Q2974" t="s">
        <v>3909</v>
      </c>
      <c r="R2974">
        <v>0</v>
      </c>
    </row>
    <row r="2975" spans="17:18">
      <c r="Q2975" t="s">
        <v>3910</v>
      </c>
      <c r="R2975">
        <v>0</v>
      </c>
    </row>
    <row r="2976" spans="17:18">
      <c r="Q2976" t="s">
        <v>3911</v>
      </c>
      <c r="R2976">
        <v>0</v>
      </c>
    </row>
    <row r="2977" spans="17:18">
      <c r="Q2977" t="s">
        <v>3912</v>
      </c>
      <c r="R2977">
        <v>0</v>
      </c>
    </row>
    <row r="2978" spans="17:18">
      <c r="Q2978" t="s">
        <v>3913</v>
      </c>
      <c r="R2978">
        <v>0</v>
      </c>
    </row>
    <row r="2979" spans="17:18">
      <c r="Q2979" t="s">
        <v>3914</v>
      </c>
      <c r="R2979">
        <v>0</v>
      </c>
    </row>
    <row r="2980" spans="17:18">
      <c r="Q2980" t="s">
        <v>3915</v>
      </c>
      <c r="R2980">
        <v>0</v>
      </c>
    </row>
    <row r="2981" spans="17:18">
      <c r="Q2981" t="s">
        <v>3916</v>
      </c>
      <c r="R2981">
        <v>0</v>
      </c>
    </row>
    <row r="2982" spans="17:18">
      <c r="Q2982" t="s">
        <v>3917</v>
      </c>
      <c r="R2982">
        <v>0</v>
      </c>
    </row>
    <row r="2983" spans="17:18">
      <c r="Q2983" t="s">
        <v>3918</v>
      </c>
      <c r="R2983">
        <v>0</v>
      </c>
    </row>
    <row r="2984" spans="17:18">
      <c r="Q2984" t="s">
        <v>3919</v>
      </c>
      <c r="R2984">
        <v>0</v>
      </c>
    </row>
    <row r="2985" spans="17:18">
      <c r="Q2985" t="s">
        <v>3920</v>
      </c>
      <c r="R2985">
        <v>0</v>
      </c>
    </row>
    <row r="2986" spans="17:18">
      <c r="Q2986" t="s">
        <v>3921</v>
      </c>
      <c r="R2986">
        <v>0</v>
      </c>
    </row>
    <row r="2987" spans="17:18">
      <c r="Q2987" t="s">
        <v>3922</v>
      </c>
      <c r="R2987">
        <v>0</v>
      </c>
    </row>
    <row r="2988" spans="17:18">
      <c r="Q2988" t="s">
        <v>3923</v>
      </c>
      <c r="R2988">
        <v>0</v>
      </c>
    </row>
    <row r="2989" spans="17:18">
      <c r="Q2989" t="s">
        <v>3924</v>
      </c>
      <c r="R2989">
        <v>0</v>
      </c>
    </row>
    <row r="2990" spans="17:18">
      <c r="Q2990" t="s">
        <v>3925</v>
      </c>
      <c r="R2990">
        <v>0</v>
      </c>
    </row>
    <row r="2991" spans="17:18">
      <c r="Q2991" t="s">
        <v>3926</v>
      </c>
      <c r="R2991">
        <v>0</v>
      </c>
    </row>
    <row r="2992" spans="17:18">
      <c r="Q2992" t="s">
        <v>3927</v>
      </c>
      <c r="R2992">
        <v>0</v>
      </c>
    </row>
    <row r="2993" spans="17:18">
      <c r="Q2993" t="s">
        <v>3928</v>
      </c>
      <c r="R2993">
        <v>0</v>
      </c>
    </row>
    <row r="2994" spans="17:18">
      <c r="Q2994" t="s">
        <v>3929</v>
      </c>
      <c r="R2994">
        <v>0</v>
      </c>
    </row>
    <row r="2995" spans="17:18">
      <c r="Q2995" t="s">
        <v>3930</v>
      </c>
      <c r="R2995">
        <v>0</v>
      </c>
    </row>
    <row r="2996" spans="17:18">
      <c r="Q2996" t="s">
        <v>3931</v>
      </c>
      <c r="R2996">
        <v>0</v>
      </c>
    </row>
    <row r="2997" spans="17:18">
      <c r="Q2997" t="s">
        <v>3932</v>
      </c>
      <c r="R2997">
        <v>0</v>
      </c>
    </row>
    <row r="2998" spans="17:18">
      <c r="Q2998" t="s">
        <v>3933</v>
      </c>
      <c r="R2998">
        <v>0</v>
      </c>
    </row>
    <row r="2999" spans="17:18">
      <c r="Q2999" t="s">
        <v>3934</v>
      </c>
      <c r="R2999">
        <v>0</v>
      </c>
    </row>
    <row r="3000" spans="17:18">
      <c r="Q3000" t="s">
        <v>3935</v>
      </c>
      <c r="R3000">
        <v>0</v>
      </c>
    </row>
    <row r="3001" spans="17:18">
      <c r="Q3001" t="s">
        <v>3936</v>
      </c>
      <c r="R3001">
        <v>0</v>
      </c>
    </row>
    <row r="3002" spans="17:18">
      <c r="Q3002" t="s">
        <v>3937</v>
      </c>
      <c r="R3002">
        <v>0</v>
      </c>
    </row>
    <row r="3003" spans="17:18">
      <c r="Q3003" t="s">
        <v>3938</v>
      </c>
      <c r="R3003">
        <v>0</v>
      </c>
    </row>
    <row r="3004" spans="17:18">
      <c r="Q3004" t="s">
        <v>3939</v>
      </c>
      <c r="R3004">
        <v>0</v>
      </c>
    </row>
    <row r="3005" spans="17:18">
      <c r="Q3005" t="s">
        <v>3940</v>
      </c>
      <c r="R3005">
        <v>0</v>
      </c>
    </row>
    <row r="3006" spans="17:18">
      <c r="Q3006" t="s">
        <v>3941</v>
      </c>
      <c r="R3006">
        <v>0</v>
      </c>
    </row>
    <row r="3007" spans="17:18">
      <c r="Q3007" t="s">
        <v>3942</v>
      </c>
      <c r="R3007">
        <v>0</v>
      </c>
    </row>
    <row r="3008" spans="17:18">
      <c r="Q3008" t="s">
        <v>3943</v>
      </c>
      <c r="R3008">
        <v>0</v>
      </c>
    </row>
    <row r="3009" spans="17:18">
      <c r="Q3009" t="s">
        <v>3944</v>
      </c>
      <c r="R3009">
        <v>0</v>
      </c>
    </row>
    <row r="3010" spans="17:18">
      <c r="Q3010" t="s">
        <v>3945</v>
      </c>
      <c r="R3010">
        <v>0</v>
      </c>
    </row>
    <row r="3011" spans="17:18">
      <c r="Q3011" t="s">
        <v>3946</v>
      </c>
      <c r="R3011">
        <v>0</v>
      </c>
    </row>
    <row r="3012" spans="17:18">
      <c r="Q3012" t="s">
        <v>3947</v>
      </c>
      <c r="R3012">
        <v>0</v>
      </c>
    </row>
    <row r="3013" spans="17:18">
      <c r="Q3013" t="s">
        <v>3948</v>
      </c>
      <c r="R3013">
        <v>0</v>
      </c>
    </row>
    <row r="3014" spans="17:18">
      <c r="Q3014" t="s">
        <v>3949</v>
      </c>
      <c r="R3014">
        <v>0</v>
      </c>
    </row>
    <row r="3015" spans="17:18">
      <c r="Q3015" t="s">
        <v>3950</v>
      </c>
      <c r="R3015">
        <v>0</v>
      </c>
    </row>
    <row r="3016" spans="17:18">
      <c r="Q3016" t="s">
        <v>3951</v>
      </c>
      <c r="R3016">
        <v>0</v>
      </c>
    </row>
    <row r="3017" spans="17:18">
      <c r="Q3017" t="s">
        <v>3952</v>
      </c>
      <c r="R3017">
        <v>0</v>
      </c>
    </row>
    <row r="3018" spans="17:18">
      <c r="Q3018" t="s">
        <v>3953</v>
      </c>
      <c r="R3018">
        <v>0</v>
      </c>
    </row>
    <row r="3019" spans="17:18">
      <c r="Q3019" t="s">
        <v>3954</v>
      </c>
      <c r="R3019">
        <v>0</v>
      </c>
    </row>
    <row r="3020" spans="17:18">
      <c r="Q3020" t="s">
        <v>3955</v>
      </c>
      <c r="R3020">
        <v>0</v>
      </c>
    </row>
    <row r="3021" spans="17:18">
      <c r="Q3021" t="s">
        <v>3956</v>
      </c>
      <c r="R3021">
        <v>0</v>
      </c>
    </row>
    <row r="3022" spans="17:18">
      <c r="Q3022" t="s">
        <v>3957</v>
      </c>
      <c r="R3022">
        <v>0</v>
      </c>
    </row>
    <row r="3023" spans="17:18">
      <c r="Q3023" t="s">
        <v>3958</v>
      </c>
      <c r="R3023">
        <v>0</v>
      </c>
    </row>
    <row r="3024" spans="17:18">
      <c r="Q3024" t="s">
        <v>3959</v>
      </c>
      <c r="R3024">
        <v>0</v>
      </c>
    </row>
    <row r="3025" spans="17:18">
      <c r="Q3025" t="s">
        <v>3960</v>
      </c>
      <c r="R3025">
        <v>0</v>
      </c>
    </row>
    <row r="3026" spans="17:18">
      <c r="Q3026" t="s">
        <v>3961</v>
      </c>
      <c r="R3026">
        <v>0</v>
      </c>
    </row>
    <row r="3027" spans="17:18">
      <c r="Q3027" t="s">
        <v>3962</v>
      </c>
      <c r="R3027">
        <v>0</v>
      </c>
    </row>
    <row r="3028" spans="17:18">
      <c r="Q3028" t="s">
        <v>3963</v>
      </c>
      <c r="R3028">
        <v>0</v>
      </c>
    </row>
    <row r="3029" spans="17:18">
      <c r="Q3029" t="s">
        <v>3964</v>
      </c>
      <c r="R3029">
        <v>0</v>
      </c>
    </row>
    <row r="3030" spans="17:18">
      <c r="Q3030" t="s">
        <v>3965</v>
      </c>
      <c r="R3030">
        <v>0</v>
      </c>
    </row>
    <row r="3031" spans="17:18">
      <c r="Q3031" t="s">
        <v>3966</v>
      </c>
      <c r="R3031">
        <v>0</v>
      </c>
    </row>
    <row r="3032" spans="17:18">
      <c r="Q3032" t="s">
        <v>3967</v>
      </c>
      <c r="R3032">
        <v>0</v>
      </c>
    </row>
    <row r="3033" spans="17:18">
      <c r="Q3033" t="s">
        <v>3968</v>
      </c>
      <c r="R3033">
        <v>0</v>
      </c>
    </row>
    <row r="3034" spans="17:18">
      <c r="Q3034" t="s">
        <v>3969</v>
      </c>
      <c r="R3034">
        <v>0</v>
      </c>
    </row>
    <row r="3035" spans="17:18">
      <c r="Q3035" t="s">
        <v>3970</v>
      </c>
      <c r="R3035">
        <v>0</v>
      </c>
    </row>
    <row r="3036" spans="17:18">
      <c r="Q3036" t="s">
        <v>3971</v>
      </c>
      <c r="R3036">
        <v>0</v>
      </c>
    </row>
    <row r="3037" spans="17:18">
      <c r="Q3037" t="s">
        <v>3972</v>
      </c>
      <c r="R3037">
        <v>0</v>
      </c>
    </row>
    <row r="3038" spans="17:18">
      <c r="Q3038" t="s">
        <v>3973</v>
      </c>
      <c r="R3038">
        <v>0</v>
      </c>
    </row>
    <row r="3039" spans="17:18">
      <c r="Q3039" t="s">
        <v>3974</v>
      </c>
      <c r="R3039">
        <v>0</v>
      </c>
    </row>
    <row r="3040" spans="17:18">
      <c r="Q3040" t="s">
        <v>3975</v>
      </c>
      <c r="R3040">
        <v>0</v>
      </c>
    </row>
    <row r="3041" spans="17:18">
      <c r="Q3041" t="s">
        <v>3976</v>
      </c>
      <c r="R3041">
        <v>0</v>
      </c>
    </row>
    <row r="3042" spans="17:18">
      <c r="Q3042" t="s">
        <v>3977</v>
      </c>
      <c r="R3042">
        <v>0</v>
      </c>
    </row>
    <row r="3043" spans="17:18">
      <c r="Q3043" t="s">
        <v>3978</v>
      </c>
      <c r="R3043">
        <v>0</v>
      </c>
    </row>
    <row r="3044" spans="17:18">
      <c r="Q3044" t="s">
        <v>3979</v>
      </c>
      <c r="R3044">
        <v>0</v>
      </c>
    </row>
    <row r="3045" spans="17:18">
      <c r="Q3045" t="s">
        <v>3980</v>
      </c>
      <c r="R3045">
        <v>0</v>
      </c>
    </row>
    <row r="3046" spans="17:18">
      <c r="Q3046" t="s">
        <v>3981</v>
      </c>
      <c r="R3046">
        <v>0</v>
      </c>
    </row>
    <row r="3047" spans="17:18">
      <c r="Q3047" t="s">
        <v>3982</v>
      </c>
      <c r="R3047">
        <v>0</v>
      </c>
    </row>
    <row r="3048" spans="17:18">
      <c r="Q3048" t="s">
        <v>3983</v>
      </c>
      <c r="R3048">
        <v>0</v>
      </c>
    </row>
    <row r="3049" spans="17:18">
      <c r="Q3049" t="s">
        <v>3984</v>
      </c>
      <c r="R3049">
        <v>0</v>
      </c>
    </row>
    <row r="3050" spans="17:18">
      <c r="Q3050" t="s">
        <v>3985</v>
      </c>
      <c r="R3050">
        <v>0</v>
      </c>
    </row>
    <row r="3051" spans="17:18">
      <c r="Q3051" t="s">
        <v>3986</v>
      </c>
      <c r="R3051">
        <v>0</v>
      </c>
    </row>
    <row r="3052" spans="17:18">
      <c r="Q3052" t="s">
        <v>3987</v>
      </c>
      <c r="R3052">
        <v>0</v>
      </c>
    </row>
    <row r="3053" spans="17:18">
      <c r="Q3053" t="s">
        <v>3988</v>
      </c>
      <c r="R3053">
        <v>0</v>
      </c>
    </row>
    <row r="3054" spans="17:18">
      <c r="Q3054" t="s">
        <v>3989</v>
      </c>
      <c r="R3054">
        <v>0</v>
      </c>
    </row>
    <row r="3055" spans="17:18">
      <c r="Q3055" t="s">
        <v>3990</v>
      </c>
      <c r="R3055">
        <v>0</v>
      </c>
    </row>
    <row r="3056" spans="17:18">
      <c r="Q3056" t="s">
        <v>3991</v>
      </c>
      <c r="R3056">
        <v>0</v>
      </c>
    </row>
    <row r="3057" spans="17:18">
      <c r="Q3057" t="s">
        <v>3992</v>
      </c>
      <c r="R3057">
        <v>0</v>
      </c>
    </row>
    <row r="3058" spans="17:18">
      <c r="Q3058" t="s">
        <v>3993</v>
      </c>
      <c r="R3058">
        <v>0</v>
      </c>
    </row>
    <row r="3059" spans="17:18">
      <c r="Q3059" t="s">
        <v>3994</v>
      </c>
      <c r="R3059">
        <v>0</v>
      </c>
    </row>
    <row r="3060" spans="17:18">
      <c r="Q3060" t="s">
        <v>3995</v>
      </c>
      <c r="R3060">
        <v>0</v>
      </c>
    </row>
    <row r="3061" spans="17:18">
      <c r="Q3061" t="s">
        <v>3996</v>
      </c>
      <c r="R3061">
        <v>0</v>
      </c>
    </row>
    <row r="3062" spans="17:18">
      <c r="Q3062" t="s">
        <v>3997</v>
      </c>
      <c r="R3062">
        <v>0</v>
      </c>
    </row>
    <row r="3063" spans="17:18">
      <c r="Q3063" t="s">
        <v>3998</v>
      </c>
      <c r="R3063">
        <v>0</v>
      </c>
    </row>
    <row r="3064" spans="17:18">
      <c r="Q3064" t="s">
        <v>3999</v>
      </c>
      <c r="R3064">
        <v>0</v>
      </c>
    </row>
    <row r="3065" spans="17:18">
      <c r="Q3065" t="s">
        <v>4000</v>
      </c>
      <c r="R3065">
        <v>0</v>
      </c>
    </row>
    <row r="3066" spans="17:18">
      <c r="Q3066" t="s">
        <v>4001</v>
      </c>
      <c r="R3066">
        <v>0</v>
      </c>
    </row>
    <row r="3067" spans="17:18">
      <c r="Q3067" t="s">
        <v>4002</v>
      </c>
      <c r="R3067">
        <v>0</v>
      </c>
    </row>
    <row r="3068" spans="17:18">
      <c r="Q3068" t="s">
        <v>4003</v>
      </c>
      <c r="R3068">
        <v>0</v>
      </c>
    </row>
    <row r="3069" spans="17:18">
      <c r="Q3069" t="s">
        <v>4004</v>
      </c>
      <c r="R3069">
        <v>0</v>
      </c>
    </row>
    <row r="3070" spans="17:18">
      <c r="Q3070" t="s">
        <v>4005</v>
      </c>
      <c r="R3070">
        <v>0</v>
      </c>
    </row>
    <row r="3071" spans="17:18">
      <c r="Q3071" t="s">
        <v>4006</v>
      </c>
      <c r="R3071">
        <v>0</v>
      </c>
    </row>
    <row r="3072" spans="17:18">
      <c r="Q3072" t="s">
        <v>4007</v>
      </c>
      <c r="R3072">
        <v>0</v>
      </c>
    </row>
    <row r="3073" spans="17:18">
      <c r="Q3073" t="s">
        <v>4008</v>
      </c>
      <c r="R3073">
        <v>0</v>
      </c>
    </row>
    <row r="3074" spans="17:18">
      <c r="Q3074" t="s">
        <v>4009</v>
      </c>
      <c r="R3074">
        <v>0</v>
      </c>
    </row>
    <row r="3075" spans="17:18">
      <c r="Q3075" t="s">
        <v>4010</v>
      </c>
      <c r="R3075">
        <v>0</v>
      </c>
    </row>
    <row r="3076" spans="17:18">
      <c r="Q3076" t="s">
        <v>4011</v>
      </c>
      <c r="R3076">
        <v>0</v>
      </c>
    </row>
    <row r="3077" spans="17:18">
      <c r="Q3077" t="s">
        <v>4012</v>
      </c>
      <c r="R3077">
        <v>0</v>
      </c>
    </row>
    <row r="3078" spans="17:18">
      <c r="Q3078" t="s">
        <v>4013</v>
      </c>
      <c r="R3078">
        <v>0</v>
      </c>
    </row>
    <row r="3079" spans="17:18">
      <c r="Q3079" t="s">
        <v>4014</v>
      </c>
      <c r="R3079">
        <v>0</v>
      </c>
    </row>
    <row r="3080" spans="17:18">
      <c r="Q3080" t="s">
        <v>4015</v>
      </c>
      <c r="R3080">
        <v>0</v>
      </c>
    </row>
    <row r="3081" spans="17:18">
      <c r="Q3081" t="s">
        <v>4016</v>
      </c>
      <c r="R3081">
        <v>0</v>
      </c>
    </row>
    <row r="3082" spans="17:18">
      <c r="Q3082" t="s">
        <v>4017</v>
      </c>
      <c r="R3082">
        <v>0</v>
      </c>
    </row>
    <row r="3083" spans="17:18">
      <c r="Q3083" t="s">
        <v>4018</v>
      </c>
      <c r="R3083">
        <v>0</v>
      </c>
    </row>
    <row r="3084" spans="17:18">
      <c r="Q3084" t="s">
        <v>4019</v>
      </c>
      <c r="R3084">
        <v>0</v>
      </c>
    </row>
    <row r="3085" spans="17:18">
      <c r="Q3085" t="s">
        <v>4020</v>
      </c>
      <c r="R3085">
        <v>0</v>
      </c>
    </row>
    <row r="3086" spans="17:18">
      <c r="Q3086" t="s">
        <v>4021</v>
      </c>
      <c r="R3086">
        <v>0</v>
      </c>
    </row>
    <row r="3087" spans="17:18">
      <c r="Q3087" t="s">
        <v>4022</v>
      </c>
      <c r="R3087">
        <v>0</v>
      </c>
    </row>
    <row r="3088" spans="17:18">
      <c r="Q3088" t="s">
        <v>4023</v>
      </c>
      <c r="R3088">
        <v>0</v>
      </c>
    </row>
    <row r="3089" spans="17:18">
      <c r="Q3089" t="s">
        <v>4024</v>
      </c>
      <c r="R3089">
        <v>0</v>
      </c>
    </row>
    <row r="3090" spans="17:18">
      <c r="Q3090" t="s">
        <v>4025</v>
      </c>
      <c r="R3090">
        <v>0</v>
      </c>
    </row>
    <row r="3091" spans="17:18">
      <c r="Q3091" t="s">
        <v>4026</v>
      </c>
      <c r="R3091">
        <v>0</v>
      </c>
    </row>
    <row r="3092" spans="17:18">
      <c r="Q3092" t="s">
        <v>4027</v>
      </c>
      <c r="R3092">
        <v>0</v>
      </c>
    </row>
    <row r="3093" spans="17:18">
      <c r="Q3093" t="s">
        <v>4028</v>
      </c>
      <c r="R3093">
        <v>0</v>
      </c>
    </row>
    <row r="3094" spans="17:18">
      <c r="Q3094" t="s">
        <v>4029</v>
      </c>
      <c r="R3094">
        <v>0</v>
      </c>
    </row>
    <row r="3095" spans="17:18">
      <c r="Q3095" t="s">
        <v>4030</v>
      </c>
      <c r="R3095">
        <v>0</v>
      </c>
    </row>
    <row r="3096" spans="17:18">
      <c r="Q3096" t="s">
        <v>4031</v>
      </c>
      <c r="R3096">
        <v>0</v>
      </c>
    </row>
    <row r="3097" spans="17:18">
      <c r="Q3097" t="s">
        <v>4032</v>
      </c>
      <c r="R3097">
        <v>0</v>
      </c>
    </row>
    <row r="3098" spans="17:18">
      <c r="Q3098" t="s">
        <v>4033</v>
      </c>
      <c r="R3098">
        <v>0</v>
      </c>
    </row>
    <row r="3099" spans="17:18">
      <c r="Q3099" t="s">
        <v>4034</v>
      </c>
      <c r="R3099">
        <v>0</v>
      </c>
    </row>
    <row r="3100" spans="17:18">
      <c r="Q3100" t="s">
        <v>4035</v>
      </c>
      <c r="R3100">
        <v>0</v>
      </c>
    </row>
    <row r="3101" spans="17:18">
      <c r="Q3101" t="s">
        <v>4036</v>
      </c>
      <c r="R3101">
        <v>0</v>
      </c>
    </row>
    <row r="3102" spans="17:18">
      <c r="Q3102" t="s">
        <v>4037</v>
      </c>
      <c r="R3102">
        <v>0</v>
      </c>
    </row>
    <row r="3103" spans="17:18">
      <c r="Q3103" t="s">
        <v>4038</v>
      </c>
      <c r="R3103">
        <v>0</v>
      </c>
    </row>
    <row r="3104" spans="17:18">
      <c r="Q3104" t="s">
        <v>4039</v>
      </c>
      <c r="R3104">
        <v>0</v>
      </c>
    </row>
    <row r="3105" spans="17:18">
      <c r="Q3105" t="s">
        <v>4040</v>
      </c>
      <c r="R3105">
        <v>0</v>
      </c>
    </row>
    <row r="3106" spans="17:18">
      <c r="Q3106" t="s">
        <v>4041</v>
      </c>
      <c r="R3106">
        <v>0</v>
      </c>
    </row>
    <row r="3107" spans="17:18">
      <c r="Q3107" t="s">
        <v>4042</v>
      </c>
      <c r="R3107">
        <v>0</v>
      </c>
    </row>
    <row r="3108" spans="17:18">
      <c r="Q3108" t="s">
        <v>4043</v>
      </c>
      <c r="R3108">
        <v>0</v>
      </c>
    </row>
    <row r="3109" spans="17:18">
      <c r="Q3109" t="s">
        <v>4044</v>
      </c>
      <c r="R3109">
        <v>0</v>
      </c>
    </row>
    <row r="3110" spans="17:18">
      <c r="Q3110" t="s">
        <v>4045</v>
      </c>
      <c r="R3110">
        <v>0</v>
      </c>
    </row>
    <row r="3111" spans="17:18">
      <c r="Q3111" t="s">
        <v>4046</v>
      </c>
      <c r="R3111">
        <v>0</v>
      </c>
    </row>
    <row r="3112" spans="17:18">
      <c r="Q3112" t="s">
        <v>4047</v>
      </c>
      <c r="R3112">
        <v>0</v>
      </c>
    </row>
    <row r="3113" spans="17:18">
      <c r="Q3113" t="s">
        <v>4048</v>
      </c>
      <c r="R3113">
        <v>0</v>
      </c>
    </row>
    <row r="3114" spans="17:18">
      <c r="Q3114" t="s">
        <v>4049</v>
      </c>
      <c r="R3114">
        <v>0</v>
      </c>
    </row>
    <row r="3115" spans="17:18">
      <c r="Q3115" t="s">
        <v>4050</v>
      </c>
      <c r="R3115">
        <v>0</v>
      </c>
    </row>
    <row r="3116" spans="17:18">
      <c r="Q3116" t="s">
        <v>4051</v>
      </c>
      <c r="R3116">
        <v>0</v>
      </c>
    </row>
    <row r="3117" spans="17:18">
      <c r="Q3117" t="s">
        <v>4052</v>
      </c>
      <c r="R3117">
        <v>0</v>
      </c>
    </row>
    <row r="3118" spans="17:18">
      <c r="Q3118" t="s">
        <v>4053</v>
      </c>
      <c r="R3118">
        <v>0</v>
      </c>
    </row>
    <row r="3119" spans="17:18">
      <c r="Q3119" t="s">
        <v>4054</v>
      </c>
      <c r="R3119">
        <v>0</v>
      </c>
    </row>
    <row r="3120" spans="17:18">
      <c r="Q3120" t="s">
        <v>4055</v>
      </c>
      <c r="R3120">
        <v>0</v>
      </c>
    </row>
    <row r="3121" spans="17:18">
      <c r="Q3121" t="s">
        <v>4056</v>
      </c>
      <c r="R3121">
        <v>0</v>
      </c>
    </row>
    <row r="3122" spans="17:18">
      <c r="Q3122" t="s">
        <v>4057</v>
      </c>
      <c r="R3122">
        <v>0</v>
      </c>
    </row>
    <row r="3123" spans="17:18">
      <c r="Q3123" t="s">
        <v>4058</v>
      </c>
      <c r="R3123">
        <v>0</v>
      </c>
    </row>
    <row r="3124" spans="17:18">
      <c r="Q3124" t="s">
        <v>4059</v>
      </c>
      <c r="R3124">
        <v>0</v>
      </c>
    </row>
    <row r="3125" spans="17:18">
      <c r="Q3125" t="s">
        <v>4060</v>
      </c>
      <c r="R3125">
        <v>0</v>
      </c>
    </row>
    <row r="3126" spans="17:18">
      <c r="Q3126" t="s">
        <v>4061</v>
      </c>
      <c r="R3126">
        <v>0</v>
      </c>
    </row>
    <row r="3127" spans="17:18">
      <c r="Q3127" t="s">
        <v>4062</v>
      </c>
      <c r="R3127">
        <v>0</v>
      </c>
    </row>
    <row r="3128" spans="17:18">
      <c r="Q3128" t="s">
        <v>4063</v>
      </c>
      <c r="R3128">
        <v>0</v>
      </c>
    </row>
    <row r="3129" spans="17:18">
      <c r="Q3129" t="s">
        <v>4064</v>
      </c>
      <c r="R3129">
        <v>0</v>
      </c>
    </row>
    <row r="3130" spans="17:18">
      <c r="Q3130" t="s">
        <v>4065</v>
      </c>
      <c r="R3130">
        <v>0</v>
      </c>
    </row>
    <row r="3131" spans="17:18">
      <c r="Q3131" t="s">
        <v>4066</v>
      </c>
      <c r="R3131">
        <v>0</v>
      </c>
    </row>
    <row r="3132" spans="17:18">
      <c r="Q3132" t="s">
        <v>4067</v>
      </c>
      <c r="R3132">
        <v>0</v>
      </c>
    </row>
    <row r="3133" spans="17:18">
      <c r="Q3133" t="s">
        <v>4068</v>
      </c>
      <c r="R3133">
        <v>0</v>
      </c>
    </row>
    <row r="3134" spans="17:18">
      <c r="Q3134" t="s">
        <v>4069</v>
      </c>
      <c r="R3134">
        <v>0</v>
      </c>
    </row>
    <row r="3135" spans="17:18">
      <c r="Q3135" t="s">
        <v>4070</v>
      </c>
      <c r="R3135">
        <v>0</v>
      </c>
    </row>
    <row r="3136" spans="17:18">
      <c r="Q3136" t="s">
        <v>4071</v>
      </c>
      <c r="R3136">
        <v>0</v>
      </c>
    </row>
    <row r="3137" spans="17:18">
      <c r="Q3137" t="s">
        <v>4072</v>
      </c>
      <c r="R3137">
        <v>0</v>
      </c>
    </row>
    <row r="3138" spans="17:18">
      <c r="Q3138" t="s">
        <v>4073</v>
      </c>
      <c r="R3138">
        <v>0</v>
      </c>
    </row>
    <row r="3139" spans="17:18">
      <c r="Q3139" t="s">
        <v>4074</v>
      </c>
      <c r="R3139">
        <v>0</v>
      </c>
    </row>
    <row r="3140" spans="17:18">
      <c r="Q3140" t="s">
        <v>4075</v>
      </c>
      <c r="R3140">
        <v>0</v>
      </c>
    </row>
    <row r="3141" spans="17:18">
      <c r="Q3141" t="s">
        <v>4076</v>
      </c>
      <c r="R3141">
        <v>0</v>
      </c>
    </row>
    <row r="3142" spans="17:18">
      <c r="Q3142" t="s">
        <v>4077</v>
      </c>
      <c r="R3142">
        <v>0</v>
      </c>
    </row>
    <row r="3143" spans="17:18">
      <c r="Q3143" t="s">
        <v>4078</v>
      </c>
      <c r="R3143">
        <v>0</v>
      </c>
    </row>
    <row r="3144" spans="17:18">
      <c r="Q3144" t="s">
        <v>4079</v>
      </c>
      <c r="R3144">
        <v>0</v>
      </c>
    </row>
    <row r="3145" spans="17:18">
      <c r="Q3145" t="s">
        <v>4080</v>
      </c>
      <c r="R3145">
        <v>0</v>
      </c>
    </row>
    <row r="3146" spans="17:18">
      <c r="Q3146" t="s">
        <v>4081</v>
      </c>
      <c r="R3146">
        <v>0</v>
      </c>
    </row>
    <row r="3147" spans="17:18">
      <c r="Q3147" t="s">
        <v>4082</v>
      </c>
      <c r="R3147">
        <v>0</v>
      </c>
    </row>
    <row r="3148" spans="17:18">
      <c r="Q3148" t="s">
        <v>4083</v>
      </c>
      <c r="R3148">
        <v>0</v>
      </c>
    </row>
    <row r="3149" spans="17:18">
      <c r="Q3149" t="s">
        <v>4084</v>
      </c>
      <c r="R3149">
        <v>0</v>
      </c>
    </row>
    <row r="3150" spans="17:18">
      <c r="Q3150" t="s">
        <v>4085</v>
      </c>
      <c r="R3150">
        <v>0</v>
      </c>
    </row>
    <row r="3151" spans="17:18">
      <c r="Q3151" t="s">
        <v>4086</v>
      </c>
      <c r="R3151">
        <v>0</v>
      </c>
    </row>
    <row r="3152" spans="17:18">
      <c r="Q3152" t="s">
        <v>4087</v>
      </c>
      <c r="R3152">
        <v>0</v>
      </c>
    </row>
    <row r="3153" spans="17:18">
      <c r="Q3153" t="s">
        <v>4088</v>
      </c>
      <c r="R3153">
        <v>0</v>
      </c>
    </row>
    <row r="3154" spans="17:18">
      <c r="Q3154" t="s">
        <v>4089</v>
      </c>
      <c r="R3154">
        <v>0</v>
      </c>
    </row>
    <row r="3155" spans="17:18">
      <c r="Q3155" t="s">
        <v>4090</v>
      </c>
      <c r="R3155">
        <v>0</v>
      </c>
    </row>
    <row r="3156" spans="17:18">
      <c r="Q3156" t="s">
        <v>4091</v>
      </c>
      <c r="R3156">
        <v>0</v>
      </c>
    </row>
    <row r="3157" spans="17:18">
      <c r="Q3157" t="s">
        <v>4092</v>
      </c>
      <c r="R3157">
        <v>0</v>
      </c>
    </row>
    <row r="3158" spans="17:18">
      <c r="Q3158" t="s">
        <v>4093</v>
      </c>
      <c r="R3158">
        <v>0</v>
      </c>
    </row>
    <row r="3159" spans="17:18">
      <c r="Q3159" t="s">
        <v>4094</v>
      </c>
      <c r="R3159">
        <v>0</v>
      </c>
    </row>
    <row r="3160" spans="17:18">
      <c r="Q3160" t="s">
        <v>4095</v>
      </c>
      <c r="R3160">
        <v>0</v>
      </c>
    </row>
    <row r="3161" spans="17:18">
      <c r="Q3161" t="s">
        <v>4096</v>
      </c>
      <c r="R3161">
        <v>0</v>
      </c>
    </row>
    <row r="3162" spans="17:18">
      <c r="Q3162" t="s">
        <v>4097</v>
      </c>
      <c r="R3162">
        <v>0</v>
      </c>
    </row>
    <row r="3163" spans="17:18">
      <c r="Q3163" t="s">
        <v>4098</v>
      </c>
      <c r="R3163">
        <v>0</v>
      </c>
    </row>
    <row r="3164" spans="17:18">
      <c r="Q3164" t="s">
        <v>4099</v>
      </c>
      <c r="R3164">
        <v>0</v>
      </c>
    </row>
    <row r="3165" spans="17:18">
      <c r="Q3165" t="s">
        <v>4100</v>
      </c>
      <c r="R3165">
        <v>0</v>
      </c>
    </row>
    <row r="3166" spans="17:18">
      <c r="Q3166" t="s">
        <v>4101</v>
      </c>
      <c r="R3166">
        <v>0</v>
      </c>
    </row>
    <row r="3167" spans="17:18">
      <c r="Q3167" t="s">
        <v>4102</v>
      </c>
      <c r="R3167">
        <v>0</v>
      </c>
    </row>
    <row r="3168" spans="17:18">
      <c r="Q3168" t="s">
        <v>4103</v>
      </c>
      <c r="R3168">
        <v>0</v>
      </c>
    </row>
    <row r="3169" spans="17:18">
      <c r="Q3169" t="s">
        <v>4104</v>
      </c>
      <c r="R3169">
        <v>0</v>
      </c>
    </row>
    <row r="3170" spans="17:18">
      <c r="Q3170" t="s">
        <v>4105</v>
      </c>
      <c r="R3170">
        <v>0</v>
      </c>
    </row>
    <row r="3171" spans="17:18">
      <c r="Q3171" t="s">
        <v>4106</v>
      </c>
      <c r="R3171">
        <v>0</v>
      </c>
    </row>
    <row r="3172" spans="17:18">
      <c r="Q3172" t="s">
        <v>4107</v>
      </c>
      <c r="R3172">
        <v>0</v>
      </c>
    </row>
    <row r="3173" spans="17:18">
      <c r="Q3173" t="s">
        <v>4108</v>
      </c>
      <c r="R3173">
        <v>0</v>
      </c>
    </row>
    <row r="3174" spans="17:18">
      <c r="Q3174" t="s">
        <v>4109</v>
      </c>
      <c r="R3174">
        <v>0</v>
      </c>
    </row>
    <row r="3175" spans="17:18">
      <c r="Q3175" t="s">
        <v>4110</v>
      </c>
      <c r="R3175">
        <v>0</v>
      </c>
    </row>
    <row r="3176" spans="17:18">
      <c r="Q3176" t="s">
        <v>4111</v>
      </c>
      <c r="R3176">
        <v>0</v>
      </c>
    </row>
    <row r="3177" spans="17:18">
      <c r="Q3177" t="s">
        <v>4112</v>
      </c>
      <c r="R3177">
        <v>0</v>
      </c>
    </row>
    <row r="3178" spans="17:18">
      <c r="Q3178" t="s">
        <v>4113</v>
      </c>
      <c r="R3178">
        <v>0</v>
      </c>
    </row>
    <row r="3179" spans="17:18">
      <c r="Q3179" t="s">
        <v>4114</v>
      </c>
      <c r="R3179">
        <v>0</v>
      </c>
    </row>
    <row r="3180" spans="17:18">
      <c r="Q3180" t="s">
        <v>4115</v>
      </c>
      <c r="R3180">
        <v>0</v>
      </c>
    </row>
    <row r="3181" spans="17:18">
      <c r="Q3181" t="s">
        <v>4116</v>
      </c>
      <c r="R3181">
        <v>0</v>
      </c>
    </row>
    <row r="3182" spans="17:18">
      <c r="Q3182" t="s">
        <v>4117</v>
      </c>
      <c r="R3182">
        <v>0</v>
      </c>
    </row>
    <row r="3183" spans="17:18">
      <c r="Q3183" t="s">
        <v>4118</v>
      </c>
      <c r="R3183">
        <v>0</v>
      </c>
    </row>
    <row r="3184" spans="17:18">
      <c r="Q3184" t="s">
        <v>4119</v>
      </c>
      <c r="R3184">
        <v>0</v>
      </c>
    </row>
    <row r="3185" spans="17:18">
      <c r="Q3185" t="s">
        <v>4120</v>
      </c>
      <c r="R3185">
        <v>0</v>
      </c>
    </row>
    <row r="3186" spans="17:18">
      <c r="Q3186" t="s">
        <v>4121</v>
      </c>
      <c r="R3186">
        <v>0</v>
      </c>
    </row>
    <row r="3187" spans="17:18">
      <c r="Q3187" t="s">
        <v>4122</v>
      </c>
      <c r="R3187">
        <v>0</v>
      </c>
    </row>
    <row r="3188" spans="17:18">
      <c r="Q3188" t="s">
        <v>4123</v>
      </c>
      <c r="R3188">
        <v>0</v>
      </c>
    </row>
    <row r="3189" spans="17:18">
      <c r="Q3189" t="s">
        <v>4124</v>
      </c>
      <c r="R3189">
        <v>0</v>
      </c>
    </row>
    <row r="3190" spans="17:18">
      <c r="Q3190" t="s">
        <v>4125</v>
      </c>
      <c r="R3190">
        <v>0</v>
      </c>
    </row>
    <row r="3191" spans="17:18">
      <c r="Q3191" t="s">
        <v>4126</v>
      </c>
      <c r="R3191">
        <v>0</v>
      </c>
    </row>
    <row r="3192" spans="17:18">
      <c r="Q3192" t="s">
        <v>4127</v>
      </c>
      <c r="R3192">
        <v>0</v>
      </c>
    </row>
    <row r="3193" spans="17:18">
      <c r="Q3193" t="s">
        <v>4128</v>
      </c>
      <c r="R3193">
        <v>0</v>
      </c>
    </row>
    <row r="3194" spans="17:18">
      <c r="Q3194" t="s">
        <v>4129</v>
      </c>
      <c r="R3194">
        <v>0</v>
      </c>
    </row>
    <row r="3195" spans="17:18">
      <c r="Q3195" t="s">
        <v>4130</v>
      </c>
      <c r="R3195">
        <v>0</v>
      </c>
    </row>
    <row r="3196" spans="17:18">
      <c r="Q3196" t="s">
        <v>4131</v>
      </c>
      <c r="R3196">
        <v>0</v>
      </c>
    </row>
    <row r="3197" spans="17:18">
      <c r="Q3197" t="s">
        <v>4132</v>
      </c>
      <c r="R3197">
        <v>0</v>
      </c>
    </row>
    <row r="3198" spans="17:18">
      <c r="Q3198" t="s">
        <v>4133</v>
      </c>
      <c r="R3198">
        <v>0</v>
      </c>
    </row>
    <row r="3199" spans="17:18">
      <c r="Q3199" t="s">
        <v>4134</v>
      </c>
      <c r="R3199">
        <v>0</v>
      </c>
    </row>
    <row r="3200" spans="17:18">
      <c r="Q3200" t="s">
        <v>4135</v>
      </c>
      <c r="R3200">
        <v>0</v>
      </c>
    </row>
    <row r="3201" spans="17:18">
      <c r="Q3201" t="s">
        <v>4136</v>
      </c>
      <c r="R3201">
        <v>0</v>
      </c>
    </row>
    <row r="3202" spans="17:18">
      <c r="Q3202" t="s">
        <v>4137</v>
      </c>
      <c r="R3202">
        <v>0</v>
      </c>
    </row>
    <row r="3203" spans="17:18">
      <c r="Q3203" t="s">
        <v>4138</v>
      </c>
      <c r="R3203">
        <v>0</v>
      </c>
    </row>
    <row r="3204" spans="17:18">
      <c r="Q3204" t="s">
        <v>4139</v>
      </c>
      <c r="R3204">
        <v>0</v>
      </c>
    </row>
    <row r="3205" spans="17:18">
      <c r="Q3205" t="s">
        <v>4140</v>
      </c>
      <c r="R3205">
        <v>0</v>
      </c>
    </row>
    <row r="3206" spans="17:18">
      <c r="Q3206" t="s">
        <v>4141</v>
      </c>
      <c r="R3206">
        <v>0</v>
      </c>
    </row>
    <row r="3207" spans="17:18">
      <c r="Q3207" t="s">
        <v>4142</v>
      </c>
      <c r="R3207">
        <v>0</v>
      </c>
    </row>
    <row r="3208" spans="17:18">
      <c r="Q3208" t="s">
        <v>4143</v>
      </c>
      <c r="R3208">
        <v>0</v>
      </c>
    </row>
    <row r="3209" spans="17:18">
      <c r="Q3209" t="s">
        <v>4144</v>
      </c>
      <c r="R3209">
        <v>0</v>
      </c>
    </row>
    <row r="3210" spans="17:18">
      <c r="Q3210" t="s">
        <v>4145</v>
      </c>
      <c r="R3210">
        <v>0</v>
      </c>
    </row>
    <row r="3211" spans="17:18">
      <c r="Q3211" t="s">
        <v>4146</v>
      </c>
      <c r="R3211">
        <v>0</v>
      </c>
    </row>
    <row r="3212" spans="17:18">
      <c r="Q3212" t="s">
        <v>4147</v>
      </c>
      <c r="R3212">
        <v>0</v>
      </c>
    </row>
    <row r="3213" spans="17:18">
      <c r="Q3213" t="s">
        <v>4148</v>
      </c>
      <c r="R3213">
        <v>0</v>
      </c>
    </row>
    <row r="3214" spans="17:18">
      <c r="Q3214" t="s">
        <v>4149</v>
      </c>
      <c r="R3214">
        <v>0</v>
      </c>
    </row>
    <row r="3215" spans="17:18">
      <c r="Q3215" t="s">
        <v>4150</v>
      </c>
      <c r="R3215">
        <v>0</v>
      </c>
    </row>
    <row r="3216" spans="17:18">
      <c r="Q3216" t="s">
        <v>4151</v>
      </c>
      <c r="R3216">
        <v>0</v>
      </c>
    </row>
    <row r="3217" spans="17:18">
      <c r="Q3217" t="s">
        <v>4152</v>
      </c>
      <c r="R3217">
        <v>0</v>
      </c>
    </row>
    <row r="3218" spans="17:18">
      <c r="Q3218" t="s">
        <v>4153</v>
      </c>
      <c r="R3218">
        <v>0</v>
      </c>
    </row>
    <row r="3219" spans="17:18">
      <c r="Q3219" t="s">
        <v>4154</v>
      </c>
      <c r="R3219">
        <v>0</v>
      </c>
    </row>
    <row r="3220" spans="17:18">
      <c r="Q3220" t="s">
        <v>4155</v>
      </c>
      <c r="R3220">
        <v>0</v>
      </c>
    </row>
    <row r="3221" spans="17:18">
      <c r="Q3221" t="s">
        <v>4156</v>
      </c>
      <c r="R3221">
        <v>0</v>
      </c>
    </row>
    <row r="3222" spans="17:18">
      <c r="Q3222" t="s">
        <v>4157</v>
      </c>
      <c r="R3222">
        <v>0</v>
      </c>
    </row>
    <row r="3223" spans="17:18">
      <c r="Q3223" t="s">
        <v>4158</v>
      </c>
      <c r="R3223">
        <v>0</v>
      </c>
    </row>
    <row r="3224" spans="17:18">
      <c r="Q3224" t="s">
        <v>4159</v>
      </c>
      <c r="R3224">
        <v>0</v>
      </c>
    </row>
    <row r="3225" spans="17:18">
      <c r="Q3225" t="s">
        <v>4160</v>
      </c>
      <c r="R3225">
        <v>0</v>
      </c>
    </row>
    <row r="3226" spans="17:18">
      <c r="Q3226" t="s">
        <v>4161</v>
      </c>
      <c r="R3226">
        <v>0</v>
      </c>
    </row>
    <row r="3227" spans="17:18">
      <c r="Q3227" t="s">
        <v>4162</v>
      </c>
      <c r="R3227">
        <v>0</v>
      </c>
    </row>
    <row r="3228" spans="17:18">
      <c r="Q3228" t="s">
        <v>4163</v>
      </c>
      <c r="R3228">
        <v>0</v>
      </c>
    </row>
    <row r="3229" spans="17:18">
      <c r="Q3229" t="s">
        <v>4164</v>
      </c>
      <c r="R3229">
        <v>0</v>
      </c>
    </row>
    <row r="3230" spans="17:18">
      <c r="Q3230" t="s">
        <v>4165</v>
      </c>
      <c r="R3230">
        <v>0</v>
      </c>
    </row>
    <row r="3231" spans="17:18">
      <c r="Q3231" t="s">
        <v>4166</v>
      </c>
      <c r="R3231">
        <v>0</v>
      </c>
    </row>
    <row r="3232" spans="17:18">
      <c r="Q3232" t="s">
        <v>4167</v>
      </c>
      <c r="R3232">
        <v>0</v>
      </c>
    </row>
    <row r="3233" spans="17:18">
      <c r="Q3233" t="s">
        <v>4168</v>
      </c>
      <c r="R3233">
        <v>0</v>
      </c>
    </row>
    <row r="3234" spans="17:18">
      <c r="Q3234" t="s">
        <v>4169</v>
      </c>
      <c r="R3234">
        <v>0</v>
      </c>
    </row>
    <row r="3235" spans="17:18">
      <c r="Q3235" t="s">
        <v>4170</v>
      </c>
      <c r="R3235">
        <v>0</v>
      </c>
    </row>
    <row r="3236" spans="17:18">
      <c r="Q3236" t="s">
        <v>4171</v>
      </c>
      <c r="R3236">
        <v>0</v>
      </c>
    </row>
    <row r="3237" spans="17:18">
      <c r="Q3237" t="s">
        <v>4172</v>
      </c>
      <c r="R3237">
        <v>0</v>
      </c>
    </row>
    <row r="3238" spans="17:18">
      <c r="Q3238" t="s">
        <v>4173</v>
      </c>
      <c r="R3238">
        <v>0</v>
      </c>
    </row>
    <row r="3239" spans="17:18">
      <c r="Q3239" t="s">
        <v>4174</v>
      </c>
      <c r="R3239">
        <v>0</v>
      </c>
    </row>
    <row r="3240" spans="17:18">
      <c r="Q3240" t="s">
        <v>4175</v>
      </c>
      <c r="R3240">
        <v>0</v>
      </c>
    </row>
    <row r="3241" spans="17:18">
      <c r="Q3241" t="s">
        <v>4176</v>
      </c>
      <c r="R3241">
        <v>0</v>
      </c>
    </row>
    <row r="3242" spans="17:18">
      <c r="Q3242" t="s">
        <v>4177</v>
      </c>
      <c r="R3242">
        <v>0</v>
      </c>
    </row>
    <row r="3243" spans="17:18">
      <c r="Q3243" t="s">
        <v>4178</v>
      </c>
      <c r="R3243">
        <v>0</v>
      </c>
    </row>
    <row r="3244" spans="17:18">
      <c r="Q3244" t="s">
        <v>4179</v>
      </c>
      <c r="R3244">
        <v>0</v>
      </c>
    </row>
    <row r="3245" spans="17:18">
      <c r="Q3245" t="s">
        <v>4180</v>
      </c>
      <c r="R3245">
        <v>0</v>
      </c>
    </row>
    <row r="3246" spans="17:18">
      <c r="Q3246" t="s">
        <v>4181</v>
      </c>
      <c r="R3246">
        <v>0</v>
      </c>
    </row>
    <row r="3247" spans="17:18">
      <c r="Q3247" t="s">
        <v>4182</v>
      </c>
      <c r="R3247">
        <v>0</v>
      </c>
    </row>
    <row r="3248" spans="17:18">
      <c r="Q3248" t="s">
        <v>4183</v>
      </c>
      <c r="R3248">
        <v>0</v>
      </c>
    </row>
    <row r="3249" spans="17:18">
      <c r="Q3249" t="s">
        <v>4184</v>
      </c>
      <c r="R3249">
        <v>0</v>
      </c>
    </row>
    <row r="3250" spans="17:18">
      <c r="Q3250" t="s">
        <v>4185</v>
      </c>
      <c r="R3250">
        <v>0</v>
      </c>
    </row>
    <row r="3251" spans="17:18">
      <c r="Q3251" t="s">
        <v>4186</v>
      </c>
      <c r="R3251">
        <v>0</v>
      </c>
    </row>
    <row r="3252" spans="17:18">
      <c r="Q3252" t="s">
        <v>4187</v>
      </c>
      <c r="R3252">
        <v>0</v>
      </c>
    </row>
    <row r="3253" spans="17:18">
      <c r="Q3253" t="s">
        <v>4188</v>
      </c>
      <c r="R3253">
        <v>0</v>
      </c>
    </row>
    <row r="3254" spans="17:18">
      <c r="Q3254" t="s">
        <v>4189</v>
      </c>
      <c r="R3254">
        <v>0</v>
      </c>
    </row>
    <row r="3255" spans="17:18">
      <c r="Q3255" t="s">
        <v>4190</v>
      </c>
      <c r="R3255">
        <v>0</v>
      </c>
    </row>
    <row r="3256" spans="17:18">
      <c r="Q3256" t="s">
        <v>4191</v>
      </c>
      <c r="R3256">
        <v>0</v>
      </c>
    </row>
    <row r="3257" spans="17:18">
      <c r="Q3257" t="s">
        <v>4192</v>
      </c>
      <c r="R3257">
        <v>0</v>
      </c>
    </row>
    <row r="3258" spans="17:18">
      <c r="Q3258" t="s">
        <v>4193</v>
      </c>
      <c r="R3258">
        <v>0</v>
      </c>
    </row>
    <row r="3259" spans="17:18">
      <c r="Q3259" t="s">
        <v>4194</v>
      </c>
      <c r="R3259">
        <v>0</v>
      </c>
    </row>
    <row r="3260" spans="17:18">
      <c r="Q3260" t="s">
        <v>4195</v>
      </c>
      <c r="R3260">
        <v>0</v>
      </c>
    </row>
    <row r="3261" spans="17:18">
      <c r="Q3261" t="s">
        <v>4196</v>
      </c>
      <c r="R3261">
        <v>0</v>
      </c>
    </row>
    <row r="3262" spans="17:18">
      <c r="Q3262" t="s">
        <v>4197</v>
      </c>
      <c r="R3262">
        <v>0</v>
      </c>
    </row>
    <row r="3263" spans="17:18">
      <c r="Q3263" t="s">
        <v>4198</v>
      </c>
      <c r="R3263">
        <v>0</v>
      </c>
    </row>
    <row r="3264" spans="17:18">
      <c r="Q3264" t="s">
        <v>4199</v>
      </c>
      <c r="R3264">
        <v>0</v>
      </c>
    </row>
    <row r="3265" spans="17:18">
      <c r="Q3265" t="s">
        <v>4200</v>
      </c>
      <c r="R3265">
        <v>0</v>
      </c>
    </row>
    <row r="3266" spans="17:18">
      <c r="Q3266" t="s">
        <v>4201</v>
      </c>
      <c r="R3266">
        <v>0</v>
      </c>
    </row>
    <row r="3267" spans="17:18">
      <c r="Q3267" t="s">
        <v>4202</v>
      </c>
      <c r="R3267">
        <v>0</v>
      </c>
    </row>
    <row r="3268" spans="17:18">
      <c r="Q3268" t="s">
        <v>4203</v>
      </c>
      <c r="R3268">
        <v>0</v>
      </c>
    </row>
    <row r="3269" spans="17:18">
      <c r="Q3269" t="s">
        <v>4204</v>
      </c>
      <c r="R3269">
        <v>0</v>
      </c>
    </row>
    <row r="3270" spans="17:18">
      <c r="Q3270" t="s">
        <v>4205</v>
      </c>
      <c r="R3270">
        <v>0</v>
      </c>
    </row>
    <row r="3271" spans="17:18">
      <c r="Q3271" t="s">
        <v>4206</v>
      </c>
      <c r="R3271">
        <v>0</v>
      </c>
    </row>
    <row r="3272" spans="17:18">
      <c r="Q3272" t="s">
        <v>4207</v>
      </c>
      <c r="R3272">
        <v>0</v>
      </c>
    </row>
    <row r="3273" spans="17:18">
      <c r="Q3273" t="s">
        <v>4208</v>
      </c>
      <c r="R3273">
        <v>0</v>
      </c>
    </row>
    <row r="3274" spans="17:18">
      <c r="Q3274" t="s">
        <v>4209</v>
      </c>
      <c r="R3274">
        <v>0</v>
      </c>
    </row>
    <row r="3275" spans="17:18">
      <c r="Q3275" t="s">
        <v>4210</v>
      </c>
      <c r="R3275">
        <v>0</v>
      </c>
    </row>
    <row r="3276" spans="17:18">
      <c r="Q3276" t="s">
        <v>4211</v>
      </c>
      <c r="R3276">
        <v>0</v>
      </c>
    </row>
    <row r="3277" spans="17:18">
      <c r="Q3277" t="s">
        <v>4212</v>
      </c>
      <c r="R3277">
        <v>0</v>
      </c>
    </row>
    <row r="3278" spans="17:18">
      <c r="Q3278" t="s">
        <v>4213</v>
      </c>
      <c r="R3278">
        <v>0</v>
      </c>
    </row>
    <row r="3279" spans="17:18">
      <c r="Q3279" t="s">
        <v>4214</v>
      </c>
      <c r="R3279">
        <v>0</v>
      </c>
    </row>
    <row r="3280" spans="17:18">
      <c r="Q3280" t="s">
        <v>4215</v>
      </c>
      <c r="R3280">
        <v>0</v>
      </c>
    </row>
    <row r="3281" spans="17:18">
      <c r="Q3281" t="s">
        <v>4216</v>
      </c>
      <c r="R3281">
        <v>0</v>
      </c>
    </row>
    <row r="3282" spans="17:18">
      <c r="Q3282" t="s">
        <v>4217</v>
      </c>
      <c r="R3282">
        <v>0</v>
      </c>
    </row>
    <row r="3283" spans="17:18">
      <c r="Q3283" t="s">
        <v>4218</v>
      </c>
      <c r="R3283">
        <v>0</v>
      </c>
    </row>
    <row r="3284" spans="17:18">
      <c r="Q3284" t="s">
        <v>4219</v>
      </c>
      <c r="R3284">
        <v>0</v>
      </c>
    </row>
    <row r="3285" spans="17:18">
      <c r="Q3285" t="s">
        <v>4220</v>
      </c>
      <c r="R3285">
        <v>0</v>
      </c>
    </row>
    <row r="3286" spans="17:18">
      <c r="Q3286" t="s">
        <v>4221</v>
      </c>
      <c r="R3286">
        <v>0</v>
      </c>
    </row>
    <row r="3287" spans="17:18">
      <c r="Q3287" t="s">
        <v>4222</v>
      </c>
      <c r="R3287">
        <v>0</v>
      </c>
    </row>
    <row r="3288" spans="17:18">
      <c r="Q3288" t="s">
        <v>4223</v>
      </c>
      <c r="R3288">
        <v>0</v>
      </c>
    </row>
    <row r="3289" spans="17:18">
      <c r="Q3289" t="s">
        <v>4224</v>
      </c>
      <c r="R3289">
        <v>0</v>
      </c>
    </row>
    <row r="3290" spans="17:18">
      <c r="Q3290" t="s">
        <v>4225</v>
      </c>
      <c r="R3290">
        <v>0</v>
      </c>
    </row>
    <row r="3291" spans="17:18">
      <c r="Q3291" t="s">
        <v>4226</v>
      </c>
      <c r="R3291">
        <v>0</v>
      </c>
    </row>
    <row r="3292" spans="17:18">
      <c r="Q3292" t="s">
        <v>4227</v>
      </c>
      <c r="R3292">
        <v>0</v>
      </c>
    </row>
    <row r="3293" spans="17:18">
      <c r="Q3293" t="s">
        <v>4228</v>
      </c>
      <c r="R3293">
        <v>0</v>
      </c>
    </row>
    <row r="3294" spans="17:18">
      <c r="Q3294" t="s">
        <v>4229</v>
      </c>
      <c r="R3294">
        <v>0</v>
      </c>
    </row>
    <row r="3295" spans="17:18">
      <c r="Q3295" t="s">
        <v>4230</v>
      </c>
      <c r="R3295">
        <v>0</v>
      </c>
    </row>
    <row r="3296" spans="17:18">
      <c r="Q3296" t="s">
        <v>4231</v>
      </c>
      <c r="R3296">
        <v>0</v>
      </c>
    </row>
    <row r="3297" spans="17:18">
      <c r="Q3297" t="s">
        <v>4232</v>
      </c>
      <c r="R3297">
        <v>0</v>
      </c>
    </row>
    <row r="3298" spans="17:18">
      <c r="Q3298" t="s">
        <v>4233</v>
      </c>
      <c r="R3298">
        <v>0</v>
      </c>
    </row>
    <row r="3299" spans="17:18">
      <c r="Q3299" t="s">
        <v>4234</v>
      </c>
      <c r="R3299">
        <v>0</v>
      </c>
    </row>
    <row r="3300" spans="17:18">
      <c r="Q3300" t="s">
        <v>4235</v>
      </c>
      <c r="R3300">
        <v>0</v>
      </c>
    </row>
    <row r="3301" spans="17:18">
      <c r="Q3301" t="s">
        <v>4236</v>
      </c>
      <c r="R3301">
        <v>0</v>
      </c>
    </row>
    <row r="3302" spans="17:18">
      <c r="Q3302" t="s">
        <v>4237</v>
      </c>
      <c r="R3302">
        <v>0</v>
      </c>
    </row>
    <row r="3303" spans="17:18">
      <c r="Q3303" t="s">
        <v>4238</v>
      </c>
      <c r="R3303">
        <v>0</v>
      </c>
    </row>
    <row r="3304" spans="17:18">
      <c r="Q3304" t="s">
        <v>4239</v>
      </c>
      <c r="R3304">
        <v>0</v>
      </c>
    </row>
    <row r="3305" spans="17:18">
      <c r="Q3305" t="s">
        <v>4240</v>
      </c>
      <c r="R3305">
        <v>0</v>
      </c>
    </row>
    <row r="3306" spans="17:18">
      <c r="Q3306" t="s">
        <v>4241</v>
      </c>
      <c r="R3306">
        <v>0</v>
      </c>
    </row>
    <row r="3307" spans="17:18">
      <c r="Q3307" t="s">
        <v>4242</v>
      </c>
      <c r="R3307">
        <v>0</v>
      </c>
    </row>
    <row r="3308" spans="17:18">
      <c r="Q3308" t="s">
        <v>4243</v>
      </c>
      <c r="R3308">
        <v>0</v>
      </c>
    </row>
    <row r="3309" spans="17:18">
      <c r="Q3309" t="s">
        <v>4244</v>
      </c>
      <c r="R3309">
        <v>0</v>
      </c>
    </row>
    <row r="3310" spans="17:18">
      <c r="Q3310" t="s">
        <v>4245</v>
      </c>
      <c r="R3310">
        <v>0</v>
      </c>
    </row>
    <row r="3311" spans="17:18">
      <c r="Q3311" t="s">
        <v>4246</v>
      </c>
      <c r="R3311">
        <v>0</v>
      </c>
    </row>
    <row r="3312" spans="17:18">
      <c r="Q3312" t="s">
        <v>4247</v>
      </c>
      <c r="R3312">
        <v>0</v>
      </c>
    </row>
    <row r="3313" spans="17:18">
      <c r="Q3313" t="s">
        <v>4248</v>
      </c>
      <c r="R3313">
        <v>0</v>
      </c>
    </row>
    <row r="3314" spans="17:18">
      <c r="Q3314" t="s">
        <v>4249</v>
      </c>
      <c r="R3314">
        <v>0</v>
      </c>
    </row>
    <row r="3315" spans="17:18">
      <c r="Q3315" t="s">
        <v>4250</v>
      </c>
      <c r="R3315">
        <v>0</v>
      </c>
    </row>
    <row r="3316" spans="17:18">
      <c r="Q3316" t="s">
        <v>4251</v>
      </c>
      <c r="R3316">
        <v>0</v>
      </c>
    </row>
    <row r="3317" spans="17:18">
      <c r="Q3317" t="s">
        <v>4252</v>
      </c>
      <c r="R3317">
        <v>0</v>
      </c>
    </row>
    <row r="3318" spans="17:18">
      <c r="Q3318" t="s">
        <v>4253</v>
      </c>
      <c r="R3318">
        <v>0</v>
      </c>
    </row>
    <row r="3319" spans="17:18">
      <c r="Q3319" t="s">
        <v>4254</v>
      </c>
      <c r="R3319">
        <v>0</v>
      </c>
    </row>
    <row r="3320" spans="17:18">
      <c r="Q3320" t="s">
        <v>4255</v>
      </c>
      <c r="R3320">
        <v>0</v>
      </c>
    </row>
    <row r="3321" spans="17:18">
      <c r="Q3321" t="s">
        <v>4256</v>
      </c>
      <c r="R3321">
        <v>0</v>
      </c>
    </row>
    <row r="3322" spans="17:18">
      <c r="Q3322" t="s">
        <v>4257</v>
      </c>
      <c r="R3322">
        <v>0</v>
      </c>
    </row>
    <row r="3323" spans="17:18">
      <c r="Q3323" t="s">
        <v>4258</v>
      </c>
      <c r="R3323">
        <v>0</v>
      </c>
    </row>
    <row r="3324" spans="17:18">
      <c r="Q3324" t="s">
        <v>4259</v>
      </c>
      <c r="R3324">
        <v>0</v>
      </c>
    </row>
    <row r="3325" spans="17:18">
      <c r="Q3325" t="s">
        <v>4260</v>
      </c>
      <c r="R3325">
        <v>0</v>
      </c>
    </row>
    <row r="3326" spans="17:18">
      <c r="Q3326" t="s">
        <v>4261</v>
      </c>
      <c r="R3326">
        <v>0</v>
      </c>
    </row>
    <row r="3327" spans="17:18">
      <c r="Q3327" t="s">
        <v>4262</v>
      </c>
      <c r="R3327">
        <v>0</v>
      </c>
    </row>
    <row r="3328" spans="17:18">
      <c r="Q3328" t="s">
        <v>4263</v>
      </c>
      <c r="R3328">
        <v>0</v>
      </c>
    </row>
    <row r="3329" spans="17:18">
      <c r="Q3329" t="s">
        <v>4264</v>
      </c>
      <c r="R3329">
        <v>0</v>
      </c>
    </row>
    <row r="3330" spans="17:18">
      <c r="Q3330" t="s">
        <v>4265</v>
      </c>
      <c r="R3330">
        <v>0</v>
      </c>
    </row>
    <row r="3331" spans="17:18">
      <c r="Q3331" t="s">
        <v>4266</v>
      </c>
      <c r="R3331">
        <v>0</v>
      </c>
    </row>
    <row r="3332" spans="17:18">
      <c r="Q3332" t="s">
        <v>4267</v>
      </c>
      <c r="R3332">
        <v>0</v>
      </c>
    </row>
    <row r="3333" spans="17:18">
      <c r="Q3333" t="s">
        <v>4268</v>
      </c>
      <c r="R3333">
        <v>0</v>
      </c>
    </row>
    <row r="3334" spans="17:18">
      <c r="Q3334" t="s">
        <v>4269</v>
      </c>
      <c r="R3334">
        <v>0</v>
      </c>
    </row>
    <row r="3335" spans="17:18">
      <c r="Q3335" t="s">
        <v>4270</v>
      </c>
      <c r="R3335">
        <v>0</v>
      </c>
    </row>
    <row r="3336" spans="17:18">
      <c r="Q3336" t="s">
        <v>4271</v>
      </c>
      <c r="R3336">
        <v>0</v>
      </c>
    </row>
    <row r="3337" spans="17:18">
      <c r="Q3337" t="s">
        <v>4272</v>
      </c>
      <c r="R3337">
        <v>0</v>
      </c>
    </row>
    <row r="3338" spans="17:18">
      <c r="Q3338" t="s">
        <v>4273</v>
      </c>
      <c r="R3338">
        <v>0</v>
      </c>
    </row>
    <row r="3339" spans="17:18">
      <c r="Q3339" t="s">
        <v>4274</v>
      </c>
      <c r="R3339">
        <v>0</v>
      </c>
    </row>
    <row r="3340" spans="17:18">
      <c r="Q3340" t="s">
        <v>4275</v>
      </c>
      <c r="R3340">
        <v>0</v>
      </c>
    </row>
    <row r="3341" spans="17:18">
      <c r="Q3341" t="s">
        <v>4276</v>
      </c>
      <c r="R3341">
        <v>0</v>
      </c>
    </row>
    <row r="3342" spans="17:18">
      <c r="Q3342" t="s">
        <v>4277</v>
      </c>
      <c r="R3342">
        <v>0</v>
      </c>
    </row>
    <row r="3343" spans="17:18">
      <c r="Q3343" t="s">
        <v>4278</v>
      </c>
      <c r="R3343">
        <v>0</v>
      </c>
    </row>
    <row r="3344" spans="17:18">
      <c r="Q3344" t="s">
        <v>4279</v>
      </c>
      <c r="R3344">
        <v>0</v>
      </c>
    </row>
    <row r="3345" spans="17:18">
      <c r="Q3345" t="s">
        <v>4280</v>
      </c>
      <c r="R3345">
        <v>0</v>
      </c>
    </row>
    <row r="3346" spans="17:18">
      <c r="Q3346" t="s">
        <v>4281</v>
      </c>
      <c r="R3346">
        <v>0</v>
      </c>
    </row>
    <row r="3347" spans="17:18">
      <c r="Q3347" t="s">
        <v>4282</v>
      </c>
      <c r="R3347">
        <v>0</v>
      </c>
    </row>
    <row r="3348" spans="17:18">
      <c r="Q3348" t="s">
        <v>4283</v>
      </c>
      <c r="R3348">
        <v>0</v>
      </c>
    </row>
    <row r="3349" spans="17:18">
      <c r="Q3349" t="s">
        <v>4284</v>
      </c>
      <c r="R3349">
        <v>0</v>
      </c>
    </row>
    <row r="3350" spans="17:18">
      <c r="Q3350" t="s">
        <v>4285</v>
      </c>
      <c r="R3350">
        <v>0</v>
      </c>
    </row>
    <row r="3351" spans="17:18">
      <c r="Q3351" t="s">
        <v>4286</v>
      </c>
      <c r="R3351">
        <v>0</v>
      </c>
    </row>
    <row r="3352" spans="17:18">
      <c r="Q3352" t="s">
        <v>4287</v>
      </c>
      <c r="R3352">
        <v>0</v>
      </c>
    </row>
    <row r="3353" spans="17:18">
      <c r="Q3353" t="s">
        <v>4288</v>
      </c>
      <c r="R3353">
        <v>0</v>
      </c>
    </row>
    <row r="3354" spans="17:18">
      <c r="Q3354" t="s">
        <v>4289</v>
      </c>
      <c r="R3354">
        <v>0</v>
      </c>
    </row>
    <row r="3355" spans="17:18">
      <c r="Q3355" t="s">
        <v>4290</v>
      </c>
      <c r="R3355">
        <v>0</v>
      </c>
    </row>
    <row r="3356" spans="17:18">
      <c r="Q3356" t="s">
        <v>4291</v>
      </c>
      <c r="R3356">
        <v>0</v>
      </c>
    </row>
    <row r="3357" spans="17:18">
      <c r="Q3357" t="s">
        <v>4292</v>
      </c>
      <c r="R3357">
        <v>0</v>
      </c>
    </row>
    <row r="3358" spans="17:18">
      <c r="Q3358" t="s">
        <v>4293</v>
      </c>
      <c r="R3358">
        <v>0</v>
      </c>
    </row>
    <row r="3359" spans="17:18">
      <c r="Q3359" t="s">
        <v>4294</v>
      </c>
      <c r="R3359">
        <v>0</v>
      </c>
    </row>
    <row r="3360" spans="17:18">
      <c r="Q3360" t="s">
        <v>4295</v>
      </c>
      <c r="R3360">
        <v>0</v>
      </c>
    </row>
    <row r="3361" spans="17:18">
      <c r="Q3361" t="s">
        <v>4296</v>
      </c>
      <c r="R3361">
        <v>0</v>
      </c>
    </row>
    <row r="3362" spans="17:18">
      <c r="Q3362" t="s">
        <v>4297</v>
      </c>
      <c r="R3362">
        <v>0</v>
      </c>
    </row>
    <row r="3363" spans="17:18">
      <c r="Q3363" t="s">
        <v>4298</v>
      </c>
      <c r="R3363">
        <v>0</v>
      </c>
    </row>
    <row r="3364" spans="17:18">
      <c r="Q3364" t="s">
        <v>4299</v>
      </c>
      <c r="R3364">
        <v>0</v>
      </c>
    </row>
    <row r="3365" spans="17:18">
      <c r="Q3365" t="s">
        <v>4300</v>
      </c>
      <c r="R3365">
        <v>0</v>
      </c>
    </row>
    <row r="3366" spans="17:18">
      <c r="Q3366" t="s">
        <v>4301</v>
      </c>
      <c r="R3366">
        <v>0</v>
      </c>
    </row>
    <row r="3367" spans="17:18">
      <c r="Q3367" t="s">
        <v>4302</v>
      </c>
      <c r="R3367">
        <v>0</v>
      </c>
    </row>
    <row r="3368" spans="17:18">
      <c r="Q3368" t="s">
        <v>4303</v>
      </c>
      <c r="R3368">
        <v>0</v>
      </c>
    </row>
    <row r="3369" spans="17:18">
      <c r="Q3369" t="s">
        <v>4304</v>
      </c>
      <c r="R3369">
        <v>0</v>
      </c>
    </row>
    <row r="3370" spans="17:18">
      <c r="Q3370" t="s">
        <v>4305</v>
      </c>
      <c r="R3370">
        <v>0</v>
      </c>
    </row>
    <row r="3371" spans="17:18">
      <c r="Q3371" t="s">
        <v>4306</v>
      </c>
      <c r="R3371">
        <v>0</v>
      </c>
    </row>
    <row r="3372" spans="17:18">
      <c r="Q3372" t="s">
        <v>4307</v>
      </c>
      <c r="R3372">
        <v>0</v>
      </c>
    </row>
    <row r="3373" spans="17:18">
      <c r="Q3373" t="s">
        <v>4308</v>
      </c>
      <c r="R3373">
        <v>0</v>
      </c>
    </row>
    <row r="3374" spans="17:18">
      <c r="Q3374" t="s">
        <v>4309</v>
      </c>
      <c r="R3374">
        <v>0</v>
      </c>
    </row>
    <row r="3375" spans="17:18">
      <c r="Q3375" t="s">
        <v>4310</v>
      </c>
      <c r="R3375">
        <v>0</v>
      </c>
    </row>
    <row r="3376" spans="17:18">
      <c r="Q3376" t="s">
        <v>4311</v>
      </c>
      <c r="R3376">
        <v>0</v>
      </c>
    </row>
    <row r="3377" spans="17:18">
      <c r="Q3377" t="s">
        <v>4312</v>
      </c>
      <c r="R3377">
        <v>0</v>
      </c>
    </row>
    <row r="3378" spans="17:18">
      <c r="Q3378" t="s">
        <v>4313</v>
      </c>
      <c r="R3378">
        <v>0</v>
      </c>
    </row>
    <row r="3379" spans="17:18">
      <c r="Q3379" t="s">
        <v>4314</v>
      </c>
      <c r="R3379">
        <v>0</v>
      </c>
    </row>
    <row r="3380" spans="17:18">
      <c r="Q3380" t="s">
        <v>4315</v>
      </c>
      <c r="R3380">
        <v>0</v>
      </c>
    </row>
    <row r="3381" spans="17:18">
      <c r="Q3381" t="s">
        <v>4316</v>
      </c>
      <c r="R3381">
        <v>0</v>
      </c>
    </row>
    <row r="3382" spans="17:18">
      <c r="Q3382" t="s">
        <v>4317</v>
      </c>
      <c r="R3382">
        <v>0</v>
      </c>
    </row>
    <row r="3383" spans="17:18">
      <c r="Q3383" t="s">
        <v>4318</v>
      </c>
      <c r="R3383">
        <v>0</v>
      </c>
    </row>
    <row r="3384" spans="17:18">
      <c r="Q3384" t="s">
        <v>4319</v>
      </c>
      <c r="R3384">
        <v>0</v>
      </c>
    </row>
    <row r="3385" spans="17:18">
      <c r="Q3385" t="s">
        <v>4320</v>
      </c>
      <c r="R3385">
        <v>0</v>
      </c>
    </row>
    <row r="3386" spans="17:18">
      <c r="Q3386" t="s">
        <v>4321</v>
      </c>
      <c r="R3386">
        <v>0</v>
      </c>
    </row>
    <row r="3387" spans="17:18">
      <c r="Q3387" t="s">
        <v>4322</v>
      </c>
      <c r="R3387">
        <v>0</v>
      </c>
    </row>
    <row r="3388" spans="17:18">
      <c r="Q3388" t="s">
        <v>4323</v>
      </c>
      <c r="R3388">
        <v>0</v>
      </c>
    </row>
    <row r="3389" spans="17:18">
      <c r="Q3389" t="s">
        <v>4324</v>
      </c>
      <c r="R3389">
        <v>0</v>
      </c>
    </row>
    <row r="3390" spans="17:18">
      <c r="Q3390" t="s">
        <v>4325</v>
      </c>
      <c r="R3390">
        <v>0</v>
      </c>
    </row>
    <row r="3391" spans="17:18">
      <c r="Q3391" t="s">
        <v>4326</v>
      </c>
      <c r="R3391">
        <v>0</v>
      </c>
    </row>
    <row r="3392" spans="17:18">
      <c r="Q3392" t="s">
        <v>4327</v>
      </c>
      <c r="R3392">
        <v>0</v>
      </c>
    </row>
    <row r="3393" spans="17:18">
      <c r="Q3393" t="s">
        <v>4328</v>
      </c>
      <c r="R3393">
        <v>0</v>
      </c>
    </row>
    <row r="3394" spans="17:18">
      <c r="Q3394" t="s">
        <v>4329</v>
      </c>
      <c r="R3394">
        <v>0</v>
      </c>
    </row>
    <row r="3395" spans="17:18">
      <c r="Q3395" t="s">
        <v>4330</v>
      </c>
      <c r="R3395">
        <v>0</v>
      </c>
    </row>
    <row r="3396" spans="17:18">
      <c r="Q3396" t="s">
        <v>4331</v>
      </c>
      <c r="R3396">
        <v>0</v>
      </c>
    </row>
    <row r="3397" spans="17:18">
      <c r="Q3397" t="s">
        <v>4332</v>
      </c>
      <c r="R3397">
        <v>0</v>
      </c>
    </row>
    <row r="3398" spans="17:18">
      <c r="Q3398" t="s">
        <v>4333</v>
      </c>
      <c r="R3398">
        <v>0</v>
      </c>
    </row>
    <row r="3399" spans="17:18">
      <c r="Q3399" t="s">
        <v>4334</v>
      </c>
      <c r="R3399">
        <v>0</v>
      </c>
    </row>
    <row r="3400" spans="17:18">
      <c r="Q3400" t="s">
        <v>4335</v>
      </c>
      <c r="R3400">
        <v>0</v>
      </c>
    </row>
    <row r="3401" spans="17:18">
      <c r="Q3401" t="s">
        <v>4336</v>
      </c>
      <c r="R3401">
        <v>0</v>
      </c>
    </row>
    <row r="3402" spans="17:18">
      <c r="Q3402" t="s">
        <v>4337</v>
      </c>
      <c r="R3402">
        <v>0</v>
      </c>
    </row>
    <row r="3403" spans="17:18">
      <c r="Q3403" t="s">
        <v>4338</v>
      </c>
      <c r="R3403">
        <v>0</v>
      </c>
    </row>
    <row r="3404" spans="17:18">
      <c r="Q3404" t="s">
        <v>4339</v>
      </c>
      <c r="R3404">
        <v>0</v>
      </c>
    </row>
    <row r="3405" spans="17:18">
      <c r="Q3405" t="s">
        <v>4340</v>
      </c>
      <c r="R3405">
        <v>0</v>
      </c>
    </row>
    <row r="3406" spans="17:18">
      <c r="Q3406" t="s">
        <v>4341</v>
      </c>
      <c r="R3406">
        <v>0</v>
      </c>
    </row>
    <row r="3407" spans="17:18">
      <c r="Q3407" t="s">
        <v>4342</v>
      </c>
      <c r="R3407">
        <v>0</v>
      </c>
    </row>
    <row r="3408" spans="17:18">
      <c r="Q3408" t="s">
        <v>4343</v>
      </c>
      <c r="R3408">
        <v>0</v>
      </c>
    </row>
    <row r="3409" spans="17:18">
      <c r="Q3409" t="s">
        <v>4344</v>
      </c>
      <c r="R3409">
        <v>0</v>
      </c>
    </row>
    <row r="3410" spans="17:18">
      <c r="Q3410" t="s">
        <v>4345</v>
      </c>
      <c r="R3410">
        <v>0</v>
      </c>
    </row>
    <row r="3411" spans="17:18">
      <c r="Q3411" t="s">
        <v>4346</v>
      </c>
      <c r="R3411">
        <v>0</v>
      </c>
    </row>
    <row r="3412" spans="17:18">
      <c r="Q3412" t="s">
        <v>4347</v>
      </c>
      <c r="R3412">
        <v>0</v>
      </c>
    </row>
    <row r="3413" spans="17:18">
      <c r="Q3413" t="s">
        <v>4348</v>
      </c>
      <c r="R3413">
        <v>0</v>
      </c>
    </row>
    <row r="3414" spans="17:18">
      <c r="Q3414" t="s">
        <v>4349</v>
      </c>
      <c r="R3414">
        <v>0</v>
      </c>
    </row>
    <row r="3415" spans="17:18">
      <c r="Q3415" t="s">
        <v>4350</v>
      </c>
      <c r="R3415">
        <v>0</v>
      </c>
    </row>
    <row r="3416" spans="17:18">
      <c r="Q3416" t="s">
        <v>4351</v>
      </c>
      <c r="R3416">
        <v>0</v>
      </c>
    </row>
    <row r="3417" spans="17:18">
      <c r="Q3417" t="s">
        <v>4352</v>
      </c>
      <c r="R3417">
        <v>0</v>
      </c>
    </row>
    <row r="3418" spans="17:18">
      <c r="Q3418" t="s">
        <v>4353</v>
      </c>
      <c r="R3418">
        <v>0</v>
      </c>
    </row>
    <row r="3419" spans="17:18">
      <c r="Q3419" t="s">
        <v>4354</v>
      </c>
      <c r="R3419">
        <v>0</v>
      </c>
    </row>
    <row r="3420" spans="17:18">
      <c r="Q3420" t="s">
        <v>4355</v>
      </c>
      <c r="R3420">
        <v>0</v>
      </c>
    </row>
    <row r="3421" spans="17:18">
      <c r="Q3421" t="s">
        <v>4356</v>
      </c>
      <c r="R3421">
        <v>0</v>
      </c>
    </row>
    <row r="3422" spans="17:18">
      <c r="Q3422" t="s">
        <v>4357</v>
      </c>
      <c r="R3422">
        <v>0</v>
      </c>
    </row>
    <row r="3423" spans="17:18">
      <c r="Q3423" t="s">
        <v>4358</v>
      </c>
      <c r="R3423">
        <v>0</v>
      </c>
    </row>
    <row r="3424" spans="17:18">
      <c r="Q3424" t="s">
        <v>4359</v>
      </c>
      <c r="R3424">
        <v>0</v>
      </c>
    </row>
    <row r="3425" spans="17:18">
      <c r="Q3425" t="s">
        <v>4360</v>
      </c>
      <c r="R3425">
        <v>0</v>
      </c>
    </row>
    <row r="3426" spans="17:18">
      <c r="Q3426" t="s">
        <v>4361</v>
      </c>
      <c r="R3426">
        <v>0</v>
      </c>
    </row>
    <row r="3427" spans="17:18">
      <c r="Q3427" t="s">
        <v>4362</v>
      </c>
      <c r="R3427">
        <v>0</v>
      </c>
    </row>
    <row r="3428" spans="17:18">
      <c r="Q3428" t="s">
        <v>4363</v>
      </c>
      <c r="R3428">
        <v>0</v>
      </c>
    </row>
    <row r="3429" spans="17:18">
      <c r="Q3429" t="s">
        <v>4364</v>
      </c>
      <c r="R3429">
        <v>0</v>
      </c>
    </row>
    <row r="3430" spans="17:18">
      <c r="Q3430" t="s">
        <v>4365</v>
      </c>
      <c r="R3430">
        <v>0</v>
      </c>
    </row>
    <row r="3431" spans="17:18">
      <c r="Q3431" t="s">
        <v>4366</v>
      </c>
      <c r="R3431">
        <v>0</v>
      </c>
    </row>
    <row r="3432" spans="17:18">
      <c r="Q3432" t="s">
        <v>4367</v>
      </c>
      <c r="R3432">
        <v>0</v>
      </c>
    </row>
    <row r="3433" spans="17:18">
      <c r="Q3433" t="s">
        <v>4368</v>
      </c>
      <c r="R3433">
        <v>0</v>
      </c>
    </row>
    <row r="3434" spans="17:18">
      <c r="Q3434" t="s">
        <v>4369</v>
      </c>
      <c r="R3434">
        <v>0</v>
      </c>
    </row>
    <row r="3435" spans="17:18">
      <c r="Q3435" t="s">
        <v>4370</v>
      </c>
      <c r="R3435">
        <v>0</v>
      </c>
    </row>
    <row r="3436" spans="17:18">
      <c r="Q3436" t="s">
        <v>4371</v>
      </c>
      <c r="R3436">
        <v>0</v>
      </c>
    </row>
    <row r="3437" spans="17:18">
      <c r="Q3437" t="s">
        <v>4372</v>
      </c>
      <c r="R3437">
        <v>0</v>
      </c>
    </row>
    <row r="3438" spans="17:18">
      <c r="Q3438" t="s">
        <v>4373</v>
      </c>
      <c r="R3438">
        <v>0</v>
      </c>
    </row>
    <row r="3439" spans="17:18">
      <c r="Q3439" t="s">
        <v>4374</v>
      </c>
      <c r="R3439">
        <v>0</v>
      </c>
    </row>
    <row r="3440" spans="17:18">
      <c r="Q3440" t="s">
        <v>4375</v>
      </c>
      <c r="R3440">
        <v>0</v>
      </c>
    </row>
    <row r="3441" spans="17:18">
      <c r="Q3441" t="s">
        <v>4376</v>
      </c>
      <c r="R3441">
        <v>0</v>
      </c>
    </row>
    <row r="3442" spans="17:18">
      <c r="Q3442" t="s">
        <v>4377</v>
      </c>
      <c r="R3442">
        <v>0</v>
      </c>
    </row>
    <row r="3443" spans="17:18">
      <c r="Q3443" t="s">
        <v>4378</v>
      </c>
      <c r="R3443">
        <v>0</v>
      </c>
    </row>
    <row r="3444" spans="17:18">
      <c r="Q3444" t="s">
        <v>4379</v>
      </c>
      <c r="R3444">
        <v>0</v>
      </c>
    </row>
    <row r="3445" spans="17:18">
      <c r="Q3445" t="s">
        <v>4380</v>
      </c>
      <c r="R3445">
        <v>0</v>
      </c>
    </row>
    <row r="3446" spans="17:18">
      <c r="Q3446" t="s">
        <v>4381</v>
      </c>
      <c r="R3446">
        <v>0</v>
      </c>
    </row>
    <row r="3447" spans="17:18">
      <c r="Q3447" t="s">
        <v>4382</v>
      </c>
      <c r="R3447">
        <v>0</v>
      </c>
    </row>
    <row r="3448" spans="17:18">
      <c r="Q3448" t="s">
        <v>4383</v>
      </c>
      <c r="R3448">
        <v>0</v>
      </c>
    </row>
    <row r="3449" spans="17:18">
      <c r="Q3449" t="s">
        <v>4384</v>
      </c>
      <c r="R3449">
        <v>0</v>
      </c>
    </row>
    <row r="3450" spans="17:18">
      <c r="Q3450" t="s">
        <v>4385</v>
      </c>
      <c r="R3450">
        <v>0</v>
      </c>
    </row>
    <row r="3451" spans="17:18">
      <c r="Q3451" t="s">
        <v>4386</v>
      </c>
      <c r="R3451">
        <v>0</v>
      </c>
    </row>
    <row r="3452" spans="17:18">
      <c r="Q3452" t="s">
        <v>4387</v>
      </c>
      <c r="R3452">
        <v>0</v>
      </c>
    </row>
    <row r="3453" spans="17:18">
      <c r="Q3453" t="s">
        <v>4388</v>
      </c>
      <c r="R3453">
        <v>0</v>
      </c>
    </row>
    <row r="3454" spans="17:18">
      <c r="Q3454" t="s">
        <v>4389</v>
      </c>
      <c r="R3454">
        <v>0</v>
      </c>
    </row>
    <row r="3455" spans="17:18">
      <c r="Q3455" t="s">
        <v>4390</v>
      </c>
      <c r="R3455">
        <v>0</v>
      </c>
    </row>
    <row r="3456" spans="17:18">
      <c r="Q3456" t="s">
        <v>4391</v>
      </c>
      <c r="R3456">
        <v>0</v>
      </c>
    </row>
    <row r="3457" spans="17:18">
      <c r="Q3457" t="s">
        <v>4392</v>
      </c>
      <c r="R3457">
        <v>0</v>
      </c>
    </row>
    <row r="3458" spans="17:18">
      <c r="Q3458" t="s">
        <v>4393</v>
      </c>
      <c r="R3458">
        <v>0</v>
      </c>
    </row>
    <row r="3459" spans="17:18">
      <c r="Q3459" t="s">
        <v>4394</v>
      </c>
      <c r="R3459">
        <v>0</v>
      </c>
    </row>
    <row r="3460" spans="17:18">
      <c r="Q3460" t="s">
        <v>4395</v>
      </c>
      <c r="R3460">
        <v>0</v>
      </c>
    </row>
    <row r="3461" spans="17:18">
      <c r="Q3461" t="s">
        <v>4396</v>
      </c>
      <c r="R3461">
        <v>0</v>
      </c>
    </row>
    <row r="3462" spans="17:18">
      <c r="Q3462" t="s">
        <v>4397</v>
      </c>
      <c r="R3462">
        <v>0</v>
      </c>
    </row>
    <row r="3463" spans="17:18">
      <c r="Q3463" t="s">
        <v>4398</v>
      </c>
      <c r="R3463">
        <v>0</v>
      </c>
    </row>
    <row r="3464" spans="17:18">
      <c r="Q3464" t="s">
        <v>4399</v>
      </c>
      <c r="R3464">
        <v>0</v>
      </c>
    </row>
    <row r="3465" spans="17:18">
      <c r="Q3465" t="s">
        <v>4400</v>
      </c>
      <c r="R3465">
        <v>0</v>
      </c>
    </row>
    <row r="3466" spans="17:18">
      <c r="Q3466" t="s">
        <v>4401</v>
      </c>
      <c r="R3466">
        <v>0</v>
      </c>
    </row>
    <row r="3467" spans="17:18">
      <c r="Q3467" t="s">
        <v>4402</v>
      </c>
      <c r="R3467">
        <v>0</v>
      </c>
    </row>
    <row r="3468" spans="17:18">
      <c r="Q3468" t="s">
        <v>4403</v>
      </c>
      <c r="R3468">
        <v>0</v>
      </c>
    </row>
    <row r="3469" spans="17:18">
      <c r="Q3469" t="s">
        <v>4404</v>
      </c>
      <c r="R3469">
        <v>0</v>
      </c>
    </row>
    <row r="3470" spans="17:18">
      <c r="Q3470" t="s">
        <v>4405</v>
      </c>
      <c r="R3470">
        <v>0</v>
      </c>
    </row>
    <row r="3471" spans="17:18">
      <c r="Q3471" t="s">
        <v>4406</v>
      </c>
      <c r="R3471">
        <v>0</v>
      </c>
    </row>
    <row r="3472" spans="17:18">
      <c r="Q3472" t="s">
        <v>4407</v>
      </c>
      <c r="R3472">
        <v>0</v>
      </c>
    </row>
    <row r="3473" spans="17:18">
      <c r="Q3473" t="s">
        <v>4408</v>
      </c>
      <c r="R3473">
        <v>0</v>
      </c>
    </row>
    <row r="3474" spans="17:18">
      <c r="Q3474" t="s">
        <v>4409</v>
      </c>
      <c r="R3474">
        <v>0</v>
      </c>
    </row>
    <row r="3475" spans="17:18">
      <c r="Q3475" t="s">
        <v>4410</v>
      </c>
      <c r="R3475">
        <v>0</v>
      </c>
    </row>
    <row r="3476" spans="17:18">
      <c r="Q3476" t="s">
        <v>4411</v>
      </c>
      <c r="R3476">
        <v>0</v>
      </c>
    </row>
    <row r="3477" spans="17:18">
      <c r="Q3477" t="s">
        <v>4412</v>
      </c>
      <c r="R3477">
        <v>0</v>
      </c>
    </row>
    <row r="3478" spans="17:18">
      <c r="Q3478" t="s">
        <v>4413</v>
      </c>
      <c r="R3478">
        <v>0</v>
      </c>
    </row>
    <row r="3479" spans="17:18">
      <c r="Q3479" t="s">
        <v>4414</v>
      </c>
      <c r="R3479">
        <v>0</v>
      </c>
    </row>
    <row r="3480" spans="17:18">
      <c r="Q3480" t="s">
        <v>4415</v>
      </c>
      <c r="R3480">
        <v>0</v>
      </c>
    </row>
    <row r="3481" spans="17:18">
      <c r="Q3481" t="s">
        <v>4416</v>
      </c>
      <c r="R3481">
        <v>0</v>
      </c>
    </row>
    <row r="3482" spans="17:18">
      <c r="Q3482" t="s">
        <v>4417</v>
      </c>
      <c r="R3482">
        <v>0</v>
      </c>
    </row>
    <row r="3483" spans="17:18">
      <c r="Q3483" t="s">
        <v>4418</v>
      </c>
      <c r="R3483">
        <v>0</v>
      </c>
    </row>
    <row r="3484" spans="17:18">
      <c r="Q3484" t="s">
        <v>4419</v>
      </c>
      <c r="R3484">
        <v>0</v>
      </c>
    </row>
    <row r="3485" spans="17:18">
      <c r="Q3485" t="s">
        <v>4420</v>
      </c>
      <c r="R3485">
        <v>0</v>
      </c>
    </row>
    <row r="3486" spans="17:18">
      <c r="Q3486" t="s">
        <v>4421</v>
      </c>
      <c r="R3486">
        <v>0</v>
      </c>
    </row>
    <row r="3487" spans="17:18">
      <c r="Q3487" t="s">
        <v>4422</v>
      </c>
      <c r="R3487">
        <v>0</v>
      </c>
    </row>
    <row r="3488" spans="17:18">
      <c r="Q3488" t="s">
        <v>4423</v>
      </c>
      <c r="R3488">
        <v>0</v>
      </c>
    </row>
    <row r="3489" spans="17:18">
      <c r="Q3489" t="s">
        <v>4424</v>
      </c>
      <c r="R3489">
        <v>0</v>
      </c>
    </row>
    <row r="3490" spans="17:18">
      <c r="Q3490" t="s">
        <v>4425</v>
      </c>
      <c r="R3490">
        <v>0</v>
      </c>
    </row>
    <row r="3491" spans="17:18">
      <c r="Q3491" t="s">
        <v>4426</v>
      </c>
      <c r="R3491">
        <v>0</v>
      </c>
    </row>
    <row r="3492" spans="17:18">
      <c r="Q3492" t="s">
        <v>4427</v>
      </c>
      <c r="R3492">
        <v>0</v>
      </c>
    </row>
    <row r="3493" spans="17:18">
      <c r="Q3493" t="s">
        <v>4428</v>
      </c>
      <c r="R3493">
        <v>0</v>
      </c>
    </row>
    <row r="3494" spans="17:18">
      <c r="Q3494" t="s">
        <v>4429</v>
      </c>
      <c r="R3494">
        <v>0</v>
      </c>
    </row>
    <row r="3495" spans="17:18">
      <c r="Q3495" t="s">
        <v>4430</v>
      </c>
      <c r="R3495">
        <v>0</v>
      </c>
    </row>
    <row r="3496" spans="17:18">
      <c r="Q3496" t="s">
        <v>4431</v>
      </c>
      <c r="R3496">
        <v>0</v>
      </c>
    </row>
    <row r="3497" spans="17:18">
      <c r="Q3497" t="s">
        <v>4432</v>
      </c>
      <c r="R3497">
        <v>0</v>
      </c>
    </row>
    <row r="3498" spans="17:18">
      <c r="Q3498" t="s">
        <v>4433</v>
      </c>
      <c r="R3498">
        <v>0</v>
      </c>
    </row>
    <row r="3499" spans="17:18">
      <c r="Q3499" t="s">
        <v>4434</v>
      </c>
      <c r="R3499">
        <v>0</v>
      </c>
    </row>
    <row r="3500" spans="17:18">
      <c r="Q3500" t="s">
        <v>4435</v>
      </c>
      <c r="R3500">
        <v>0</v>
      </c>
    </row>
    <row r="3501" spans="17:18">
      <c r="Q3501" t="s">
        <v>4436</v>
      </c>
      <c r="R3501">
        <v>0</v>
      </c>
    </row>
    <row r="3502" spans="17:18">
      <c r="Q3502" t="s">
        <v>4437</v>
      </c>
      <c r="R3502">
        <v>0</v>
      </c>
    </row>
    <row r="3503" spans="17:18">
      <c r="Q3503" t="s">
        <v>4438</v>
      </c>
      <c r="R3503">
        <v>0</v>
      </c>
    </row>
    <row r="3504" spans="17:18">
      <c r="Q3504" t="s">
        <v>4439</v>
      </c>
      <c r="R3504">
        <v>0</v>
      </c>
    </row>
    <row r="3505" spans="17:18">
      <c r="Q3505" t="s">
        <v>4440</v>
      </c>
      <c r="R3505">
        <v>0</v>
      </c>
    </row>
    <row r="3506" spans="17:18">
      <c r="Q3506" t="s">
        <v>4441</v>
      </c>
      <c r="R3506">
        <v>0</v>
      </c>
    </row>
    <row r="3507" spans="17:18">
      <c r="Q3507" t="s">
        <v>4442</v>
      </c>
      <c r="R3507">
        <v>0</v>
      </c>
    </row>
    <row r="3508" spans="17:18">
      <c r="Q3508" t="s">
        <v>4443</v>
      </c>
      <c r="R3508">
        <v>0</v>
      </c>
    </row>
    <row r="3509" spans="17:18">
      <c r="Q3509" t="s">
        <v>4444</v>
      </c>
      <c r="R3509">
        <v>0</v>
      </c>
    </row>
    <row r="3510" spans="17:18">
      <c r="Q3510" t="s">
        <v>4445</v>
      </c>
      <c r="R3510">
        <v>0</v>
      </c>
    </row>
    <row r="3511" spans="17:18">
      <c r="Q3511" t="s">
        <v>4446</v>
      </c>
      <c r="R3511">
        <v>0</v>
      </c>
    </row>
    <row r="3512" spans="17:18">
      <c r="Q3512" t="s">
        <v>4447</v>
      </c>
      <c r="R3512">
        <v>0</v>
      </c>
    </row>
    <row r="3513" spans="17:18">
      <c r="Q3513" t="s">
        <v>4448</v>
      </c>
      <c r="R3513">
        <v>0</v>
      </c>
    </row>
    <row r="3514" spans="17:18">
      <c r="Q3514" t="s">
        <v>4449</v>
      </c>
      <c r="R3514">
        <v>0</v>
      </c>
    </row>
    <row r="3515" spans="17:18">
      <c r="Q3515" t="s">
        <v>4450</v>
      </c>
      <c r="R3515">
        <v>0</v>
      </c>
    </row>
    <row r="3516" spans="17:18">
      <c r="Q3516" t="s">
        <v>4451</v>
      </c>
      <c r="R3516">
        <v>0</v>
      </c>
    </row>
    <row r="3517" spans="17:18">
      <c r="Q3517" t="s">
        <v>4452</v>
      </c>
      <c r="R3517">
        <v>0</v>
      </c>
    </row>
    <row r="3518" spans="17:18">
      <c r="Q3518" t="s">
        <v>4453</v>
      </c>
      <c r="R3518">
        <v>0</v>
      </c>
    </row>
    <row r="3519" spans="17:18">
      <c r="Q3519" t="s">
        <v>4454</v>
      </c>
      <c r="R3519">
        <v>0</v>
      </c>
    </row>
    <row r="3520" spans="17:18">
      <c r="Q3520" t="s">
        <v>4455</v>
      </c>
      <c r="R3520">
        <v>0</v>
      </c>
    </row>
    <row r="3521" spans="17:18">
      <c r="Q3521" t="s">
        <v>4456</v>
      </c>
      <c r="R3521">
        <v>0</v>
      </c>
    </row>
    <row r="3522" spans="17:18">
      <c r="Q3522" t="s">
        <v>4457</v>
      </c>
      <c r="R3522">
        <v>0</v>
      </c>
    </row>
    <row r="3523" spans="17:18">
      <c r="Q3523" t="s">
        <v>4458</v>
      </c>
      <c r="R3523">
        <v>0</v>
      </c>
    </row>
    <row r="3524" spans="17:18">
      <c r="Q3524" t="s">
        <v>4459</v>
      </c>
      <c r="R3524">
        <v>0</v>
      </c>
    </row>
    <row r="3525" spans="17:18">
      <c r="Q3525" t="s">
        <v>4460</v>
      </c>
      <c r="R3525">
        <v>30.569679999999998</v>
      </c>
    </row>
    <row r="3526" spans="17:18">
      <c r="Q3526" t="s">
        <v>4461</v>
      </c>
      <c r="R3526">
        <v>30.478929999999998</v>
      </c>
    </row>
    <row r="3527" spans="17:18">
      <c r="Q3527" t="s">
        <v>4462</v>
      </c>
      <c r="R3527">
        <v>15.488149999999999</v>
      </c>
    </row>
    <row r="3528" spans="17:18">
      <c r="Q3528" t="s">
        <v>4463</v>
      </c>
      <c r="R3528">
        <v>30.563100000000002</v>
      </c>
    </row>
    <row r="3529" spans="17:18">
      <c r="Q3529" t="s">
        <v>4464</v>
      </c>
      <c r="R3529">
        <v>30.44434</v>
      </c>
    </row>
    <row r="3530" spans="17:18">
      <c r="Q3530" t="s">
        <v>4465</v>
      </c>
      <c r="R3530">
        <v>209.00601999999998</v>
      </c>
    </row>
    <row r="3531" spans="17:18">
      <c r="Q3531" t="s">
        <v>4466</v>
      </c>
      <c r="R3531">
        <v>0</v>
      </c>
    </row>
    <row r="3532" spans="17:18">
      <c r="Q3532" t="s">
        <v>4467</v>
      </c>
      <c r="R3532">
        <v>0</v>
      </c>
    </row>
    <row r="3533" spans="17:18">
      <c r="Q3533" t="s">
        <v>4468</v>
      </c>
      <c r="R3533">
        <v>0</v>
      </c>
    </row>
    <row r="3534" spans="17:18">
      <c r="Q3534" t="s">
        <v>4469</v>
      </c>
      <c r="R3534">
        <v>0</v>
      </c>
    </row>
    <row r="3535" spans="17:18">
      <c r="Q3535" t="s">
        <v>4470</v>
      </c>
      <c r="R3535">
        <v>0</v>
      </c>
    </row>
    <row r="3536" spans="17:18">
      <c r="Q3536" t="s">
        <v>4471</v>
      </c>
      <c r="R3536">
        <v>0</v>
      </c>
    </row>
    <row r="3537" spans="17:18">
      <c r="Q3537" t="s">
        <v>4472</v>
      </c>
      <c r="R3537">
        <v>0</v>
      </c>
    </row>
    <row r="3538" spans="17:18">
      <c r="Q3538" t="s">
        <v>4473</v>
      </c>
      <c r="R3538">
        <v>0</v>
      </c>
    </row>
    <row r="3539" spans="17:18">
      <c r="Q3539" t="s">
        <v>4474</v>
      </c>
      <c r="R3539">
        <v>0</v>
      </c>
    </row>
    <row r="3540" spans="17:18">
      <c r="Q3540" t="s">
        <v>4475</v>
      </c>
      <c r="R3540">
        <v>0</v>
      </c>
    </row>
    <row r="3541" spans="17:18">
      <c r="Q3541" t="s">
        <v>4476</v>
      </c>
      <c r="R3541">
        <v>0</v>
      </c>
    </row>
    <row r="3542" spans="17:18">
      <c r="Q3542" t="s">
        <v>4477</v>
      </c>
      <c r="R3542">
        <v>0</v>
      </c>
    </row>
    <row r="3543" spans="17:18">
      <c r="Q3543" t="s">
        <v>4478</v>
      </c>
      <c r="R3543">
        <v>0</v>
      </c>
    </row>
    <row r="3544" spans="17:18">
      <c r="Q3544" t="s">
        <v>4479</v>
      </c>
      <c r="R3544">
        <v>0</v>
      </c>
    </row>
    <row r="3545" spans="17:18">
      <c r="Q3545" t="s">
        <v>4480</v>
      </c>
      <c r="R3545">
        <v>0</v>
      </c>
    </row>
    <row r="3546" spans="17:18">
      <c r="Q3546" t="s">
        <v>4481</v>
      </c>
      <c r="R3546">
        <v>0</v>
      </c>
    </row>
    <row r="3547" spans="17:18">
      <c r="Q3547" t="s">
        <v>4482</v>
      </c>
      <c r="R3547">
        <v>0</v>
      </c>
    </row>
    <row r="3548" spans="17:18">
      <c r="Q3548" t="s">
        <v>4483</v>
      </c>
      <c r="R3548">
        <v>0</v>
      </c>
    </row>
    <row r="3549" spans="17:18">
      <c r="Q3549" t="s">
        <v>4484</v>
      </c>
      <c r="R3549">
        <v>0</v>
      </c>
    </row>
    <row r="3550" spans="17:18">
      <c r="Q3550" t="s">
        <v>4485</v>
      </c>
      <c r="R3550">
        <v>0</v>
      </c>
    </row>
    <row r="3551" spans="17:18">
      <c r="Q3551" t="s">
        <v>4486</v>
      </c>
      <c r="R3551">
        <v>0</v>
      </c>
    </row>
    <row r="3552" spans="17:18">
      <c r="Q3552" t="s">
        <v>4487</v>
      </c>
      <c r="R3552">
        <v>0</v>
      </c>
    </row>
    <row r="3553" spans="17:18">
      <c r="Q3553" t="s">
        <v>4488</v>
      </c>
      <c r="R3553">
        <v>0</v>
      </c>
    </row>
    <row r="3554" spans="17:18">
      <c r="Q3554" t="s">
        <v>4489</v>
      </c>
      <c r="R3554">
        <v>0</v>
      </c>
    </row>
    <row r="3555" spans="17:18">
      <c r="Q3555" t="s">
        <v>4490</v>
      </c>
      <c r="R3555">
        <v>0</v>
      </c>
    </row>
    <row r="3556" spans="17:18">
      <c r="Q3556" t="s">
        <v>4491</v>
      </c>
      <c r="R3556">
        <v>0</v>
      </c>
    </row>
    <row r="3557" spans="17:18">
      <c r="Q3557" t="s">
        <v>4492</v>
      </c>
      <c r="R3557">
        <v>0</v>
      </c>
    </row>
    <row r="3558" spans="17:18">
      <c r="Q3558" t="s">
        <v>4493</v>
      </c>
      <c r="R3558">
        <v>0</v>
      </c>
    </row>
    <row r="3559" spans="17:18">
      <c r="Q3559" t="s">
        <v>4494</v>
      </c>
      <c r="R3559">
        <v>0</v>
      </c>
    </row>
    <row r="3560" spans="17:18">
      <c r="Q3560" t="s">
        <v>4495</v>
      </c>
      <c r="R3560">
        <v>0</v>
      </c>
    </row>
    <row r="3561" spans="17:18">
      <c r="Q3561" t="s">
        <v>4496</v>
      </c>
      <c r="R3561">
        <v>0</v>
      </c>
    </row>
    <row r="3562" spans="17:18">
      <c r="Q3562" t="s">
        <v>4497</v>
      </c>
      <c r="R3562">
        <v>0</v>
      </c>
    </row>
    <row r="3563" spans="17:18">
      <c r="Q3563" t="s">
        <v>4498</v>
      </c>
      <c r="R3563">
        <v>0</v>
      </c>
    </row>
    <row r="3564" spans="17:18">
      <c r="Q3564" t="s">
        <v>4499</v>
      </c>
      <c r="R3564">
        <v>0</v>
      </c>
    </row>
    <row r="3565" spans="17:18">
      <c r="Q3565" t="s">
        <v>4500</v>
      </c>
      <c r="R3565">
        <v>0</v>
      </c>
    </row>
    <row r="3566" spans="17:18">
      <c r="Q3566" t="s">
        <v>4501</v>
      </c>
      <c r="R3566">
        <v>0</v>
      </c>
    </row>
    <row r="3567" spans="17:18">
      <c r="Q3567" t="s">
        <v>4502</v>
      </c>
      <c r="R3567">
        <v>0</v>
      </c>
    </row>
    <row r="3568" spans="17:18">
      <c r="Q3568" t="s">
        <v>4503</v>
      </c>
      <c r="R3568">
        <v>0</v>
      </c>
    </row>
    <row r="3569" spans="17:18">
      <c r="Q3569" t="s">
        <v>4504</v>
      </c>
      <c r="R3569">
        <v>0</v>
      </c>
    </row>
    <row r="3570" spans="17:18">
      <c r="Q3570" t="s">
        <v>4505</v>
      </c>
      <c r="R3570">
        <v>0</v>
      </c>
    </row>
    <row r="3571" spans="17:18">
      <c r="Q3571" t="s">
        <v>4506</v>
      </c>
      <c r="R3571">
        <v>0</v>
      </c>
    </row>
    <row r="3572" spans="17:18">
      <c r="Q3572" t="s">
        <v>4507</v>
      </c>
      <c r="R3572">
        <v>0</v>
      </c>
    </row>
    <row r="3573" spans="17:18">
      <c r="Q3573" t="s">
        <v>4508</v>
      </c>
      <c r="R3573">
        <v>0</v>
      </c>
    </row>
    <row r="3574" spans="17:18">
      <c r="Q3574" t="s">
        <v>4509</v>
      </c>
      <c r="R3574">
        <v>0</v>
      </c>
    </row>
    <row r="3575" spans="17:18">
      <c r="Q3575" t="s">
        <v>4510</v>
      </c>
      <c r="R3575">
        <v>0</v>
      </c>
    </row>
    <row r="3576" spans="17:18">
      <c r="Q3576" t="s">
        <v>4511</v>
      </c>
      <c r="R3576">
        <v>0</v>
      </c>
    </row>
    <row r="3577" spans="17:18">
      <c r="Q3577" t="s">
        <v>4512</v>
      </c>
      <c r="R3577">
        <v>0</v>
      </c>
    </row>
    <row r="3578" spans="17:18">
      <c r="Q3578" t="s">
        <v>4513</v>
      </c>
      <c r="R3578">
        <v>0</v>
      </c>
    </row>
    <row r="3579" spans="17:18">
      <c r="Q3579" t="s">
        <v>4514</v>
      </c>
      <c r="R3579">
        <v>0</v>
      </c>
    </row>
    <row r="3580" spans="17:18">
      <c r="Q3580" t="s">
        <v>4515</v>
      </c>
      <c r="R3580">
        <v>0</v>
      </c>
    </row>
    <row r="3581" spans="17:18">
      <c r="Q3581" t="s">
        <v>4516</v>
      </c>
      <c r="R3581">
        <v>0</v>
      </c>
    </row>
    <row r="3582" spans="17:18">
      <c r="Q3582" t="s">
        <v>4517</v>
      </c>
      <c r="R3582">
        <v>0</v>
      </c>
    </row>
    <row r="3583" spans="17:18">
      <c r="Q3583" t="s">
        <v>4518</v>
      </c>
      <c r="R3583">
        <v>0</v>
      </c>
    </row>
    <row r="3584" spans="17:18">
      <c r="Q3584" t="s">
        <v>4519</v>
      </c>
      <c r="R3584">
        <v>0</v>
      </c>
    </row>
    <row r="3585" spans="17:18">
      <c r="Q3585" t="s">
        <v>4520</v>
      </c>
      <c r="R3585">
        <v>0</v>
      </c>
    </row>
    <row r="3586" spans="17:18">
      <c r="Q3586" t="s">
        <v>4521</v>
      </c>
      <c r="R3586">
        <v>0</v>
      </c>
    </row>
    <row r="3587" spans="17:18">
      <c r="Q3587" t="s">
        <v>4522</v>
      </c>
      <c r="R3587">
        <v>0</v>
      </c>
    </row>
    <row r="3588" spans="17:18">
      <c r="Q3588" t="s">
        <v>4523</v>
      </c>
      <c r="R3588">
        <v>0</v>
      </c>
    </row>
    <row r="3589" spans="17:18">
      <c r="Q3589" t="s">
        <v>4524</v>
      </c>
      <c r="R3589">
        <v>0</v>
      </c>
    </row>
    <row r="3590" spans="17:18">
      <c r="Q3590" t="s">
        <v>4525</v>
      </c>
      <c r="R3590">
        <v>0</v>
      </c>
    </row>
    <row r="3591" spans="17:18">
      <c r="Q3591" t="s">
        <v>4526</v>
      </c>
      <c r="R3591">
        <v>0</v>
      </c>
    </row>
    <row r="3592" spans="17:18">
      <c r="Q3592" t="s">
        <v>4527</v>
      </c>
      <c r="R3592">
        <v>0</v>
      </c>
    </row>
    <row r="3593" spans="17:18">
      <c r="Q3593" t="s">
        <v>4528</v>
      </c>
      <c r="R3593">
        <v>0</v>
      </c>
    </row>
    <row r="3594" spans="17:18">
      <c r="Q3594" t="s">
        <v>4529</v>
      </c>
      <c r="R3594">
        <v>0</v>
      </c>
    </row>
    <row r="3595" spans="17:18">
      <c r="Q3595" t="s">
        <v>4530</v>
      </c>
      <c r="R3595">
        <v>0</v>
      </c>
    </row>
    <row r="3596" spans="17:18">
      <c r="Q3596" t="s">
        <v>4531</v>
      </c>
      <c r="R3596">
        <v>0</v>
      </c>
    </row>
    <row r="3597" spans="17:18">
      <c r="Q3597" t="s">
        <v>4532</v>
      </c>
      <c r="R3597">
        <v>0</v>
      </c>
    </row>
    <row r="3598" spans="17:18">
      <c r="Q3598" t="s">
        <v>4533</v>
      </c>
      <c r="R3598">
        <v>0</v>
      </c>
    </row>
    <row r="3599" spans="17:18">
      <c r="Q3599" t="s">
        <v>4534</v>
      </c>
      <c r="R3599">
        <v>0</v>
      </c>
    </row>
    <row r="3600" spans="17:18">
      <c r="Q3600" t="s">
        <v>4535</v>
      </c>
      <c r="R3600">
        <v>0</v>
      </c>
    </row>
    <row r="3601" spans="17:18">
      <c r="Q3601" t="s">
        <v>4536</v>
      </c>
      <c r="R3601">
        <v>0</v>
      </c>
    </row>
    <row r="3602" spans="17:18">
      <c r="Q3602" t="s">
        <v>4537</v>
      </c>
      <c r="R3602">
        <v>0</v>
      </c>
    </row>
    <row r="3603" spans="17:18">
      <c r="Q3603" t="s">
        <v>4538</v>
      </c>
      <c r="R3603">
        <v>0</v>
      </c>
    </row>
    <row r="3604" spans="17:18">
      <c r="Q3604" t="s">
        <v>4539</v>
      </c>
      <c r="R3604">
        <v>0</v>
      </c>
    </row>
    <row r="3605" spans="17:18">
      <c r="Q3605" t="s">
        <v>4540</v>
      </c>
      <c r="R3605">
        <v>0</v>
      </c>
    </row>
    <row r="3606" spans="17:18">
      <c r="Q3606" t="s">
        <v>4541</v>
      </c>
      <c r="R3606">
        <v>0</v>
      </c>
    </row>
    <row r="3607" spans="17:18">
      <c r="Q3607" t="s">
        <v>4542</v>
      </c>
      <c r="R3607">
        <v>0</v>
      </c>
    </row>
    <row r="3608" spans="17:18">
      <c r="Q3608" t="s">
        <v>4543</v>
      </c>
      <c r="R3608">
        <v>0</v>
      </c>
    </row>
    <row r="3609" spans="17:18">
      <c r="Q3609" t="s">
        <v>4544</v>
      </c>
      <c r="R3609">
        <v>0</v>
      </c>
    </row>
    <row r="3610" spans="17:18">
      <c r="Q3610" t="s">
        <v>4545</v>
      </c>
      <c r="R3610">
        <v>0</v>
      </c>
    </row>
    <row r="3611" spans="17:18">
      <c r="Q3611" t="s">
        <v>4546</v>
      </c>
      <c r="R3611">
        <v>0</v>
      </c>
    </row>
    <row r="3612" spans="17:18">
      <c r="Q3612" t="s">
        <v>4547</v>
      </c>
      <c r="R3612">
        <v>0</v>
      </c>
    </row>
    <row r="3613" spans="17:18">
      <c r="Q3613" t="s">
        <v>4548</v>
      </c>
      <c r="R3613">
        <v>0</v>
      </c>
    </row>
    <row r="3614" spans="17:18">
      <c r="Q3614" t="s">
        <v>4549</v>
      </c>
      <c r="R3614">
        <v>0</v>
      </c>
    </row>
    <row r="3615" spans="17:18">
      <c r="Q3615" t="s">
        <v>4550</v>
      </c>
      <c r="R3615">
        <v>0</v>
      </c>
    </row>
    <row r="3616" spans="17:18">
      <c r="Q3616" t="s">
        <v>4551</v>
      </c>
      <c r="R3616">
        <v>0</v>
      </c>
    </row>
    <row r="3617" spans="17:18">
      <c r="Q3617" t="s">
        <v>4552</v>
      </c>
      <c r="R3617">
        <v>0</v>
      </c>
    </row>
    <row r="3618" spans="17:18">
      <c r="Q3618" t="s">
        <v>4553</v>
      </c>
      <c r="R3618">
        <v>0</v>
      </c>
    </row>
    <row r="3619" spans="17:18">
      <c r="Q3619" t="s">
        <v>4554</v>
      </c>
      <c r="R3619">
        <v>0</v>
      </c>
    </row>
    <row r="3620" spans="17:18">
      <c r="Q3620" t="s">
        <v>4555</v>
      </c>
      <c r="R3620">
        <v>0</v>
      </c>
    </row>
    <row r="3621" spans="17:18">
      <c r="Q3621" t="s">
        <v>4556</v>
      </c>
      <c r="R3621">
        <v>0</v>
      </c>
    </row>
    <row r="3622" spans="17:18">
      <c r="Q3622" t="s">
        <v>4557</v>
      </c>
      <c r="R3622">
        <v>0</v>
      </c>
    </row>
    <row r="3623" spans="17:18">
      <c r="Q3623" t="s">
        <v>4558</v>
      </c>
      <c r="R3623">
        <v>0</v>
      </c>
    </row>
    <row r="3624" spans="17:18">
      <c r="Q3624" t="s">
        <v>4559</v>
      </c>
      <c r="R3624">
        <v>0</v>
      </c>
    </row>
    <row r="3625" spans="17:18">
      <c r="Q3625" t="s">
        <v>4560</v>
      </c>
      <c r="R3625">
        <v>0</v>
      </c>
    </row>
    <row r="3626" spans="17:18">
      <c r="Q3626" t="s">
        <v>4561</v>
      </c>
      <c r="R3626">
        <v>0</v>
      </c>
    </row>
    <row r="3627" spans="17:18">
      <c r="Q3627" t="s">
        <v>4562</v>
      </c>
      <c r="R3627">
        <v>0</v>
      </c>
    </row>
    <row r="3628" spans="17:18">
      <c r="Q3628" t="s">
        <v>4563</v>
      </c>
      <c r="R3628">
        <v>0</v>
      </c>
    </row>
    <row r="3629" spans="17:18">
      <c r="Q3629" t="s">
        <v>4564</v>
      </c>
      <c r="R3629">
        <v>0</v>
      </c>
    </row>
    <row r="3630" spans="17:18">
      <c r="Q3630" t="s">
        <v>4565</v>
      </c>
      <c r="R3630">
        <v>0</v>
      </c>
    </row>
    <row r="3631" spans="17:18">
      <c r="Q3631" t="s">
        <v>4566</v>
      </c>
      <c r="R3631">
        <v>0</v>
      </c>
    </row>
    <row r="3632" spans="17:18">
      <c r="Q3632" t="s">
        <v>4567</v>
      </c>
      <c r="R3632">
        <v>0</v>
      </c>
    </row>
    <row r="3633" spans="17:18">
      <c r="Q3633" t="s">
        <v>4568</v>
      </c>
      <c r="R3633">
        <v>0</v>
      </c>
    </row>
    <row r="3634" spans="17:18">
      <c r="Q3634" t="s">
        <v>4569</v>
      </c>
      <c r="R3634">
        <v>0</v>
      </c>
    </row>
    <row r="3635" spans="17:18">
      <c r="Q3635" t="s">
        <v>4570</v>
      </c>
      <c r="R3635">
        <v>0</v>
      </c>
    </row>
    <row r="3636" spans="17:18">
      <c r="Q3636" t="s">
        <v>4571</v>
      </c>
      <c r="R3636">
        <v>0</v>
      </c>
    </row>
    <row r="3637" spans="17:18">
      <c r="Q3637" t="s">
        <v>4572</v>
      </c>
      <c r="R3637">
        <v>0</v>
      </c>
    </row>
    <row r="3638" spans="17:18">
      <c r="Q3638" t="s">
        <v>4573</v>
      </c>
      <c r="R3638">
        <v>0</v>
      </c>
    </row>
    <row r="3639" spans="17:18">
      <c r="Q3639" t="s">
        <v>4574</v>
      </c>
      <c r="R3639">
        <v>0</v>
      </c>
    </row>
    <row r="3640" spans="17:18">
      <c r="Q3640" t="s">
        <v>4575</v>
      </c>
      <c r="R3640">
        <v>0</v>
      </c>
    </row>
    <row r="3641" spans="17:18">
      <c r="Q3641" t="s">
        <v>4576</v>
      </c>
      <c r="R3641">
        <v>0</v>
      </c>
    </row>
    <row r="3642" spans="17:18">
      <c r="Q3642" t="s">
        <v>4577</v>
      </c>
      <c r="R3642">
        <v>0</v>
      </c>
    </row>
    <row r="3643" spans="17:18">
      <c r="Q3643" t="s">
        <v>4578</v>
      </c>
      <c r="R3643">
        <v>0</v>
      </c>
    </row>
    <row r="3644" spans="17:18">
      <c r="Q3644" t="s">
        <v>4579</v>
      </c>
      <c r="R3644">
        <v>0</v>
      </c>
    </row>
    <row r="3645" spans="17:18">
      <c r="Q3645" t="s">
        <v>4580</v>
      </c>
      <c r="R3645">
        <v>0</v>
      </c>
    </row>
    <row r="3646" spans="17:18">
      <c r="Q3646" t="s">
        <v>4581</v>
      </c>
      <c r="R3646">
        <v>0</v>
      </c>
    </row>
    <row r="3647" spans="17:18">
      <c r="Q3647" t="s">
        <v>4582</v>
      </c>
      <c r="R3647">
        <v>0</v>
      </c>
    </row>
    <row r="3648" spans="17:18">
      <c r="Q3648" t="s">
        <v>4583</v>
      </c>
      <c r="R3648">
        <v>0</v>
      </c>
    </row>
    <row r="3649" spans="17:18">
      <c r="Q3649" t="s">
        <v>4584</v>
      </c>
      <c r="R3649">
        <v>0</v>
      </c>
    </row>
    <row r="3650" spans="17:18">
      <c r="Q3650" t="s">
        <v>4585</v>
      </c>
      <c r="R3650">
        <v>0</v>
      </c>
    </row>
    <row r="3651" spans="17:18">
      <c r="Q3651" t="s">
        <v>4586</v>
      </c>
      <c r="R3651">
        <v>0</v>
      </c>
    </row>
    <row r="3652" spans="17:18">
      <c r="Q3652" t="s">
        <v>4587</v>
      </c>
      <c r="R3652">
        <v>0</v>
      </c>
    </row>
    <row r="3653" spans="17:18">
      <c r="Q3653" t="s">
        <v>4588</v>
      </c>
      <c r="R3653">
        <v>0</v>
      </c>
    </row>
    <row r="3654" spans="17:18">
      <c r="Q3654" t="s">
        <v>4589</v>
      </c>
      <c r="R3654">
        <v>0</v>
      </c>
    </row>
    <row r="3655" spans="17:18">
      <c r="Q3655" t="s">
        <v>4590</v>
      </c>
      <c r="R3655">
        <v>0</v>
      </c>
    </row>
    <row r="3656" spans="17:18">
      <c r="Q3656" t="s">
        <v>4591</v>
      </c>
      <c r="R3656">
        <v>0</v>
      </c>
    </row>
    <row r="3657" spans="17:18">
      <c r="Q3657" t="s">
        <v>4592</v>
      </c>
      <c r="R3657">
        <v>0</v>
      </c>
    </row>
    <row r="3658" spans="17:18">
      <c r="Q3658" t="s">
        <v>4593</v>
      </c>
      <c r="R3658">
        <v>0</v>
      </c>
    </row>
    <row r="3659" spans="17:18">
      <c r="Q3659" t="s">
        <v>4594</v>
      </c>
      <c r="R3659">
        <v>0</v>
      </c>
    </row>
    <row r="3660" spans="17:18">
      <c r="Q3660" t="s">
        <v>4595</v>
      </c>
      <c r="R3660">
        <v>0</v>
      </c>
    </row>
    <row r="3661" spans="17:18">
      <c r="Q3661" t="s">
        <v>4596</v>
      </c>
      <c r="R3661">
        <v>0</v>
      </c>
    </row>
    <row r="3662" spans="17:18">
      <c r="Q3662" t="s">
        <v>4597</v>
      </c>
      <c r="R3662">
        <v>0</v>
      </c>
    </row>
    <row r="3663" spans="17:18">
      <c r="Q3663" t="s">
        <v>4598</v>
      </c>
      <c r="R3663">
        <v>0</v>
      </c>
    </row>
    <row r="3664" spans="17:18">
      <c r="Q3664" t="s">
        <v>4599</v>
      </c>
      <c r="R3664">
        <v>0</v>
      </c>
    </row>
    <row r="3665" spans="17:18">
      <c r="Q3665" t="s">
        <v>4600</v>
      </c>
      <c r="R3665">
        <v>0</v>
      </c>
    </row>
    <row r="3666" spans="17:18">
      <c r="Q3666" t="s">
        <v>4601</v>
      </c>
      <c r="R3666">
        <v>0</v>
      </c>
    </row>
    <row r="3667" spans="17:18">
      <c r="Q3667" t="s">
        <v>4602</v>
      </c>
      <c r="R3667">
        <v>0</v>
      </c>
    </row>
    <row r="3668" spans="17:18">
      <c r="Q3668" t="s">
        <v>4603</v>
      </c>
      <c r="R3668">
        <v>0</v>
      </c>
    </row>
    <row r="3669" spans="17:18">
      <c r="Q3669" t="s">
        <v>4604</v>
      </c>
      <c r="R3669">
        <v>0</v>
      </c>
    </row>
    <row r="3670" spans="17:18">
      <c r="Q3670" t="s">
        <v>4605</v>
      </c>
      <c r="R3670">
        <v>0</v>
      </c>
    </row>
    <row r="3671" spans="17:18">
      <c r="Q3671" t="s">
        <v>4606</v>
      </c>
      <c r="R3671">
        <v>0</v>
      </c>
    </row>
    <row r="3672" spans="17:18">
      <c r="Q3672" t="s">
        <v>4607</v>
      </c>
      <c r="R3672">
        <v>0</v>
      </c>
    </row>
    <row r="3673" spans="17:18">
      <c r="Q3673" t="s">
        <v>4608</v>
      </c>
      <c r="R3673">
        <v>0</v>
      </c>
    </row>
    <row r="3674" spans="17:18">
      <c r="Q3674" t="s">
        <v>4609</v>
      </c>
      <c r="R3674">
        <v>0</v>
      </c>
    </row>
    <row r="3675" spans="17:18">
      <c r="Q3675" t="s">
        <v>4610</v>
      </c>
      <c r="R3675">
        <v>0</v>
      </c>
    </row>
    <row r="3676" spans="17:18">
      <c r="Q3676" t="s">
        <v>4611</v>
      </c>
      <c r="R3676">
        <v>0</v>
      </c>
    </row>
    <row r="3677" spans="17:18">
      <c r="Q3677" t="s">
        <v>4612</v>
      </c>
      <c r="R3677">
        <v>0</v>
      </c>
    </row>
    <row r="3678" spans="17:18">
      <c r="Q3678" t="s">
        <v>4613</v>
      </c>
      <c r="R3678">
        <v>0</v>
      </c>
    </row>
    <row r="3679" spans="17:18">
      <c r="Q3679" t="s">
        <v>4614</v>
      </c>
      <c r="R3679">
        <v>0</v>
      </c>
    </row>
    <row r="3680" spans="17:18">
      <c r="Q3680" t="s">
        <v>4615</v>
      </c>
      <c r="R3680">
        <v>0</v>
      </c>
    </row>
    <row r="3681" spans="17:18">
      <c r="Q3681" t="s">
        <v>4616</v>
      </c>
      <c r="R3681">
        <v>0</v>
      </c>
    </row>
    <row r="3682" spans="17:18">
      <c r="Q3682" t="s">
        <v>4617</v>
      </c>
      <c r="R3682">
        <v>0</v>
      </c>
    </row>
    <row r="3683" spans="17:18">
      <c r="Q3683" t="s">
        <v>4618</v>
      </c>
      <c r="R3683">
        <v>0</v>
      </c>
    </row>
    <row r="3684" spans="17:18">
      <c r="Q3684" t="s">
        <v>4619</v>
      </c>
      <c r="R3684">
        <v>0</v>
      </c>
    </row>
    <row r="3685" spans="17:18">
      <c r="Q3685" t="s">
        <v>4620</v>
      </c>
      <c r="R3685">
        <v>0</v>
      </c>
    </row>
    <row r="3686" spans="17:18">
      <c r="Q3686" t="s">
        <v>4621</v>
      </c>
      <c r="R3686">
        <v>0</v>
      </c>
    </row>
    <row r="3687" spans="17:18">
      <c r="Q3687" t="s">
        <v>4622</v>
      </c>
      <c r="R3687">
        <v>0</v>
      </c>
    </row>
    <row r="3688" spans="17:18">
      <c r="Q3688" t="s">
        <v>4623</v>
      </c>
      <c r="R3688">
        <v>0</v>
      </c>
    </row>
    <row r="3689" spans="17:18">
      <c r="Q3689" t="s">
        <v>4624</v>
      </c>
      <c r="R3689">
        <v>0</v>
      </c>
    </row>
    <row r="3690" spans="17:18">
      <c r="Q3690" t="s">
        <v>4625</v>
      </c>
      <c r="R3690">
        <v>0</v>
      </c>
    </row>
    <row r="3691" spans="17:18">
      <c r="Q3691" t="s">
        <v>4626</v>
      </c>
      <c r="R3691">
        <v>0</v>
      </c>
    </row>
    <row r="3692" spans="17:18">
      <c r="Q3692" t="s">
        <v>4627</v>
      </c>
      <c r="R3692">
        <v>0</v>
      </c>
    </row>
    <row r="3693" spans="17:18">
      <c r="Q3693" t="s">
        <v>4628</v>
      </c>
      <c r="R3693">
        <v>0</v>
      </c>
    </row>
    <row r="3694" spans="17:18">
      <c r="Q3694" t="s">
        <v>4629</v>
      </c>
      <c r="R3694">
        <v>0</v>
      </c>
    </row>
    <row r="3695" spans="17:18">
      <c r="Q3695" t="s">
        <v>4630</v>
      </c>
      <c r="R3695">
        <v>0</v>
      </c>
    </row>
    <row r="3696" spans="17:18">
      <c r="Q3696" t="s">
        <v>4631</v>
      </c>
      <c r="R3696">
        <v>0</v>
      </c>
    </row>
    <row r="3697" spans="17:18">
      <c r="Q3697" t="s">
        <v>4632</v>
      </c>
      <c r="R3697">
        <v>0</v>
      </c>
    </row>
    <row r="3698" spans="17:18">
      <c r="Q3698" t="s">
        <v>4633</v>
      </c>
      <c r="R3698">
        <v>0</v>
      </c>
    </row>
    <row r="3699" spans="17:18">
      <c r="Q3699" t="s">
        <v>4634</v>
      </c>
      <c r="R3699">
        <v>0</v>
      </c>
    </row>
    <row r="3700" spans="17:18">
      <c r="Q3700" t="s">
        <v>4635</v>
      </c>
      <c r="R3700">
        <v>0</v>
      </c>
    </row>
    <row r="3701" spans="17:18">
      <c r="Q3701" t="s">
        <v>4636</v>
      </c>
      <c r="R3701">
        <v>0</v>
      </c>
    </row>
    <row r="3702" spans="17:18">
      <c r="Q3702" t="s">
        <v>4637</v>
      </c>
      <c r="R3702">
        <v>0</v>
      </c>
    </row>
    <row r="3703" spans="17:18">
      <c r="Q3703" t="s">
        <v>4638</v>
      </c>
      <c r="R3703">
        <v>0</v>
      </c>
    </row>
    <row r="3704" spans="17:18">
      <c r="Q3704" t="s">
        <v>4639</v>
      </c>
      <c r="R3704">
        <v>0</v>
      </c>
    </row>
    <row r="3705" spans="17:18">
      <c r="Q3705" t="s">
        <v>4640</v>
      </c>
      <c r="R3705">
        <v>0</v>
      </c>
    </row>
    <row r="3706" spans="17:18">
      <c r="Q3706" t="s">
        <v>4641</v>
      </c>
      <c r="R3706">
        <v>0</v>
      </c>
    </row>
    <row r="3707" spans="17:18">
      <c r="Q3707" t="s">
        <v>4642</v>
      </c>
      <c r="R3707">
        <v>0</v>
      </c>
    </row>
    <row r="3708" spans="17:18">
      <c r="Q3708" t="s">
        <v>4643</v>
      </c>
      <c r="R3708">
        <v>0</v>
      </c>
    </row>
    <row r="3709" spans="17:18">
      <c r="Q3709" t="s">
        <v>4644</v>
      </c>
      <c r="R3709">
        <v>0</v>
      </c>
    </row>
    <row r="3710" spans="17:18">
      <c r="Q3710" t="s">
        <v>4645</v>
      </c>
      <c r="R3710">
        <v>0</v>
      </c>
    </row>
    <row r="3711" spans="17:18">
      <c r="Q3711" t="s">
        <v>4646</v>
      </c>
      <c r="R3711">
        <v>0</v>
      </c>
    </row>
    <row r="3712" spans="17:18">
      <c r="Q3712" t="s">
        <v>4647</v>
      </c>
      <c r="R3712">
        <v>0</v>
      </c>
    </row>
    <row r="3713" spans="17:18">
      <c r="Q3713" t="s">
        <v>4648</v>
      </c>
      <c r="R3713">
        <v>0</v>
      </c>
    </row>
    <row r="3714" spans="17:18">
      <c r="Q3714" t="s">
        <v>4649</v>
      </c>
      <c r="R3714">
        <v>0</v>
      </c>
    </row>
    <row r="3715" spans="17:18">
      <c r="Q3715" t="s">
        <v>4650</v>
      </c>
      <c r="R3715">
        <v>0</v>
      </c>
    </row>
    <row r="3716" spans="17:18">
      <c r="Q3716" t="s">
        <v>4651</v>
      </c>
      <c r="R3716">
        <v>0</v>
      </c>
    </row>
    <row r="3717" spans="17:18">
      <c r="Q3717" t="s">
        <v>4652</v>
      </c>
      <c r="R3717">
        <v>0</v>
      </c>
    </row>
    <row r="3718" spans="17:18">
      <c r="Q3718" t="s">
        <v>4653</v>
      </c>
      <c r="R3718">
        <v>0</v>
      </c>
    </row>
    <row r="3719" spans="17:18">
      <c r="Q3719" t="s">
        <v>4654</v>
      </c>
      <c r="R3719">
        <v>0</v>
      </c>
    </row>
    <row r="3720" spans="17:18">
      <c r="Q3720" t="s">
        <v>4655</v>
      </c>
      <c r="R3720">
        <v>0</v>
      </c>
    </row>
    <row r="3721" spans="17:18">
      <c r="Q3721" t="s">
        <v>4656</v>
      </c>
      <c r="R3721">
        <v>0</v>
      </c>
    </row>
    <row r="3722" spans="17:18">
      <c r="Q3722" t="s">
        <v>4657</v>
      </c>
      <c r="R3722">
        <v>0</v>
      </c>
    </row>
    <row r="3723" spans="17:18">
      <c r="Q3723" t="s">
        <v>4658</v>
      </c>
      <c r="R3723">
        <v>52.302390000000003</v>
      </c>
    </row>
    <row r="3724" spans="17:18">
      <c r="Q3724" t="s">
        <v>4659</v>
      </c>
      <c r="R3724">
        <v>9.8265600000000006</v>
      </c>
    </row>
    <row r="3725" spans="17:18">
      <c r="Q3725" t="s">
        <v>4660</v>
      </c>
      <c r="R3725">
        <v>3.9203699999999997</v>
      </c>
    </row>
    <row r="3726" spans="17:18">
      <c r="Q3726" t="s">
        <v>4661</v>
      </c>
      <c r="R3726">
        <v>3.83148</v>
      </c>
    </row>
    <row r="3727" spans="17:18">
      <c r="Q3727" t="s">
        <v>4662</v>
      </c>
      <c r="R3727">
        <v>1.45573</v>
      </c>
    </row>
    <row r="3728" spans="17:18">
      <c r="Q3728" t="s">
        <v>4663</v>
      </c>
      <c r="R3728">
        <v>4.0848899999999997</v>
      </c>
    </row>
    <row r="3729" spans="17:18">
      <c r="Q3729" t="s">
        <v>4664</v>
      </c>
      <c r="R3729">
        <v>14.4041</v>
      </c>
    </row>
    <row r="3730" spans="17:18">
      <c r="Q3730" t="s">
        <v>4665</v>
      </c>
      <c r="R3730">
        <v>11.000620000000001</v>
      </c>
    </row>
    <row r="3731" spans="17:18">
      <c r="Q3731" t="s">
        <v>4666</v>
      </c>
      <c r="R3731">
        <v>12.534140000000001</v>
      </c>
    </row>
    <row r="3732" spans="17:18">
      <c r="Q3732" t="s">
        <v>4667</v>
      </c>
      <c r="R3732">
        <v>84.618359999999996</v>
      </c>
    </row>
    <row r="3733" spans="17:18">
      <c r="Q3733" t="s">
        <v>4668</v>
      </c>
      <c r="R3733">
        <v>11.923020000000001</v>
      </c>
    </row>
    <row r="3734" spans="17:18">
      <c r="Q3734" t="s">
        <v>4669</v>
      </c>
      <c r="R3734">
        <v>3.8803699999999997</v>
      </c>
    </row>
    <row r="3735" spans="17:18">
      <c r="Q3735" t="s">
        <v>4670</v>
      </c>
      <c r="R3735">
        <v>45.618360000000003</v>
      </c>
    </row>
    <row r="3736" spans="17:18">
      <c r="Q3736" t="s">
        <v>4671</v>
      </c>
      <c r="R3736">
        <v>7.7064700000000004</v>
      </c>
    </row>
    <row r="3737" spans="17:18">
      <c r="Q3737" t="s">
        <v>4672</v>
      </c>
      <c r="R3737">
        <v>4.6654799999999996</v>
      </c>
    </row>
    <row r="3738" spans="17:18">
      <c r="Q3738" t="s">
        <v>4673</v>
      </c>
      <c r="R3738">
        <v>5.72187</v>
      </c>
    </row>
    <row r="3739" spans="17:18">
      <c r="Q3739" t="s">
        <v>4674</v>
      </c>
      <c r="R3739">
        <v>8.9148199999999989</v>
      </c>
    </row>
    <row r="3740" spans="17:18">
      <c r="Q3740" t="s">
        <v>4675</v>
      </c>
      <c r="R3740">
        <v>3.9203699999999997</v>
      </c>
    </row>
    <row r="3741" spans="17:18">
      <c r="Q3741" t="s">
        <v>4676</v>
      </c>
      <c r="R3741">
        <v>284.35064</v>
      </c>
    </row>
    <row r="3742" spans="17:18">
      <c r="Q3742" t="s">
        <v>4677</v>
      </c>
      <c r="R3742">
        <v>27.976320000000001</v>
      </c>
    </row>
    <row r="3743" spans="17:18">
      <c r="Q3743" t="s">
        <v>4678</v>
      </c>
      <c r="R3743">
        <v>13.103260000000001</v>
      </c>
    </row>
    <row r="3744" spans="17:18">
      <c r="Q3744" t="s">
        <v>4679</v>
      </c>
      <c r="R3744">
        <v>38.101970000000001</v>
      </c>
    </row>
    <row r="3745" spans="17:18">
      <c r="Q3745" t="s">
        <v>4680</v>
      </c>
      <c r="R3745">
        <v>4.3590600000000004</v>
      </c>
    </row>
    <row r="3746" spans="17:18">
      <c r="Q3746" t="s">
        <v>4681</v>
      </c>
      <c r="R3746">
        <v>4.4011399999999998</v>
      </c>
    </row>
    <row r="3747" spans="17:18">
      <c r="Q3747" t="s">
        <v>4682</v>
      </c>
      <c r="R3747">
        <v>3.8626899999999997</v>
      </c>
    </row>
    <row r="3748" spans="17:18">
      <c r="Q3748" t="s">
        <v>4683</v>
      </c>
      <c r="R3748">
        <v>264.08300000000003</v>
      </c>
    </row>
    <row r="3749" spans="17:18">
      <c r="Q3749" t="s">
        <v>4684</v>
      </c>
      <c r="R3749">
        <v>0</v>
      </c>
    </row>
    <row r="3750" spans="17:18">
      <c r="Q3750" t="s">
        <v>4685</v>
      </c>
      <c r="R3750">
        <v>0</v>
      </c>
    </row>
    <row r="3751" spans="17:18">
      <c r="Q3751" t="s">
        <v>4686</v>
      </c>
      <c r="R3751">
        <v>0</v>
      </c>
    </row>
    <row r="3752" spans="17:18">
      <c r="Q3752" t="s">
        <v>4687</v>
      </c>
      <c r="R3752">
        <v>0</v>
      </c>
    </row>
    <row r="3753" spans="17:18">
      <c r="Q3753" t="s">
        <v>4688</v>
      </c>
      <c r="R3753">
        <v>0</v>
      </c>
    </row>
    <row r="3754" spans="17:18">
      <c r="Q3754" t="s">
        <v>4689</v>
      </c>
      <c r="R3754">
        <v>0</v>
      </c>
    </row>
    <row r="3755" spans="17:18">
      <c r="Q3755" t="s">
        <v>4690</v>
      </c>
      <c r="R3755">
        <v>0</v>
      </c>
    </row>
    <row r="3756" spans="17:18">
      <c r="Q3756" t="s">
        <v>4691</v>
      </c>
      <c r="R3756">
        <v>0</v>
      </c>
    </row>
    <row r="3757" spans="17:18">
      <c r="Q3757" t="s">
        <v>4692</v>
      </c>
      <c r="R3757">
        <v>0</v>
      </c>
    </row>
    <row r="3758" spans="17:18">
      <c r="Q3758" t="s">
        <v>4693</v>
      </c>
      <c r="R3758">
        <v>0</v>
      </c>
    </row>
    <row r="3759" spans="17:18">
      <c r="Q3759" t="s">
        <v>4694</v>
      </c>
      <c r="R3759">
        <v>0</v>
      </c>
    </row>
    <row r="3760" spans="17:18">
      <c r="Q3760" t="s">
        <v>4695</v>
      </c>
      <c r="R3760">
        <v>0</v>
      </c>
    </row>
    <row r="3761" spans="17:18">
      <c r="Q3761" t="s">
        <v>4696</v>
      </c>
      <c r="R3761">
        <v>0</v>
      </c>
    </row>
    <row r="3762" spans="17:18">
      <c r="Q3762" t="s">
        <v>4697</v>
      </c>
      <c r="R3762">
        <v>0</v>
      </c>
    </row>
    <row r="3763" spans="17:18">
      <c r="Q3763" t="s">
        <v>4698</v>
      </c>
      <c r="R3763">
        <v>0</v>
      </c>
    </row>
    <row r="3764" spans="17:18">
      <c r="Q3764" t="s">
        <v>4699</v>
      </c>
      <c r="R3764">
        <v>0</v>
      </c>
    </row>
    <row r="3765" spans="17:18">
      <c r="Q3765" t="s">
        <v>4700</v>
      </c>
      <c r="R3765">
        <v>0</v>
      </c>
    </row>
    <row r="3766" spans="17:18">
      <c r="Q3766" t="s">
        <v>4701</v>
      </c>
      <c r="R3766">
        <v>0</v>
      </c>
    </row>
    <row r="3767" spans="17:18">
      <c r="Q3767" t="s">
        <v>4702</v>
      </c>
      <c r="R3767">
        <v>0</v>
      </c>
    </row>
    <row r="3768" spans="17:18">
      <c r="Q3768" t="s">
        <v>4703</v>
      </c>
      <c r="R3768">
        <v>0</v>
      </c>
    </row>
    <row r="3769" spans="17:18">
      <c r="Q3769" t="s">
        <v>4704</v>
      </c>
      <c r="R3769">
        <v>0</v>
      </c>
    </row>
    <row r="3770" spans="17:18">
      <c r="Q3770" t="s">
        <v>4705</v>
      </c>
      <c r="R3770">
        <v>0</v>
      </c>
    </row>
    <row r="3771" spans="17:18">
      <c r="Q3771" t="s">
        <v>4706</v>
      </c>
      <c r="R3771">
        <v>0</v>
      </c>
    </row>
    <row r="3772" spans="17:18">
      <c r="Q3772" t="s">
        <v>4707</v>
      </c>
      <c r="R3772">
        <v>0</v>
      </c>
    </row>
    <row r="3773" spans="17:18">
      <c r="Q3773" t="s">
        <v>4708</v>
      </c>
      <c r="R3773">
        <v>0</v>
      </c>
    </row>
    <row r="3774" spans="17:18">
      <c r="Q3774" t="s">
        <v>4709</v>
      </c>
      <c r="R3774">
        <v>0</v>
      </c>
    </row>
    <row r="3775" spans="17:18">
      <c r="Q3775" t="s">
        <v>4710</v>
      </c>
      <c r="R3775">
        <v>0</v>
      </c>
    </row>
    <row r="3776" spans="17:18">
      <c r="Q3776" t="s">
        <v>4711</v>
      </c>
      <c r="R3776">
        <v>0</v>
      </c>
    </row>
    <row r="3777" spans="17:18">
      <c r="Q3777" t="s">
        <v>4712</v>
      </c>
      <c r="R3777">
        <v>0</v>
      </c>
    </row>
    <row r="3778" spans="17:18">
      <c r="Q3778" t="s">
        <v>4713</v>
      </c>
      <c r="R3778">
        <v>0</v>
      </c>
    </row>
    <row r="3779" spans="17:18">
      <c r="Q3779" t="s">
        <v>4714</v>
      </c>
      <c r="R3779">
        <v>0</v>
      </c>
    </row>
    <row r="3780" spans="17:18">
      <c r="Q3780" t="s">
        <v>4715</v>
      </c>
      <c r="R3780">
        <v>0</v>
      </c>
    </row>
    <row r="3781" spans="17:18">
      <c r="Q3781" t="s">
        <v>4716</v>
      </c>
      <c r="R3781">
        <v>0</v>
      </c>
    </row>
    <row r="3782" spans="17:18">
      <c r="Q3782" t="s">
        <v>4717</v>
      </c>
      <c r="R3782">
        <v>0</v>
      </c>
    </row>
    <row r="3783" spans="17:18">
      <c r="Q3783" t="s">
        <v>4718</v>
      </c>
      <c r="R3783">
        <v>0</v>
      </c>
    </row>
    <row r="3784" spans="17:18">
      <c r="Q3784" t="s">
        <v>4719</v>
      </c>
      <c r="R3784">
        <v>0</v>
      </c>
    </row>
    <row r="3785" spans="17:18">
      <c r="Q3785" t="s">
        <v>4720</v>
      </c>
      <c r="R3785">
        <v>0</v>
      </c>
    </row>
    <row r="3786" spans="17:18">
      <c r="Q3786" t="s">
        <v>4721</v>
      </c>
      <c r="R3786">
        <v>0</v>
      </c>
    </row>
    <row r="3787" spans="17:18">
      <c r="Q3787" t="s">
        <v>4722</v>
      </c>
      <c r="R3787">
        <v>0</v>
      </c>
    </row>
    <row r="3788" spans="17:18">
      <c r="Q3788" t="s">
        <v>4723</v>
      </c>
      <c r="R3788">
        <v>0</v>
      </c>
    </row>
    <row r="3789" spans="17:18">
      <c r="Q3789" t="s">
        <v>4724</v>
      </c>
      <c r="R3789">
        <v>0</v>
      </c>
    </row>
    <row r="3790" spans="17:18">
      <c r="Q3790" t="s">
        <v>4725</v>
      </c>
      <c r="R3790">
        <v>0</v>
      </c>
    </row>
    <row r="3791" spans="17:18">
      <c r="Q3791" t="s">
        <v>4726</v>
      </c>
      <c r="R3791">
        <v>0</v>
      </c>
    </row>
    <row r="3792" spans="17:18">
      <c r="Q3792" t="s">
        <v>4727</v>
      </c>
      <c r="R3792">
        <v>0</v>
      </c>
    </row>
    <row r="3793" spans="17:18">
      <c r="Q3793" t="s">
        <v>4728</v>
      </c>
      <c r="R3793">
        <v>0</v>
      </c>
    </row>
    <row r="3794" spans="17:18">
      <c r="Q3794" t="s">
        <v>4729</v>
      </c>
      <c r="R3794">
        <v>0</v>
      </c>
    </row>
    <row r="3795" spans="17:18">
      <c r="Q3795" t="s">
        <v>4730</v>
      </c>
      <c r="R3795">
        <v>0</v>
      </c>
    </row>
    <row r="3796" spans="17:18">
      <c r="Q3796" t="s">
        <v>4731</v>
      </c>
      <c r="R3796">
        <v>0</v>
      </c>
    </row>
    <row r="3797" spans="17:18">
      <c r="Q3797" t="s">
        <v>4732</v>
      </c>
      <c r="R3797">
        <v>0</v>
      </c>
    </row>
    <row r="3798" spans="17:18">
      <c r="Q3798" t="s">
        <v>4733</v>
      </c>
      <c r="R3798">
        <v>0</v>
      </c>
    </row>
    <row r="3799" spans="17:18">
      <c r="Q3799" t="s">
        <v>4734</v>
      </c>
      <c r="R3799">
        <v>0</v>
      </c>
    </row>
    <row r="3800" spans="17:18">
      <c r="Q3800" t="s">
        <v>4735</v>
      </c>
      <c r="R3800">
        <v>0</v>
      </c>
    </row>
    <row r="3801" spans="17:18">
      <c r="Q3801" t="s">
        <v>4736</v>
      </c>
      <c r="R3801">
        <v>0</v>
      </c>
    </row>
    <row r="3802" spans="17:18">
      <c r="Q3802" t="s">
        <v>4737</v>
      </c>
      <c r="R3802">
        <v>0</v>
      </c>
    </row>
    <row r="3803" spans="17:18">
      <c r="Q3803" t="s">
        <v>4738</v>
      </c>
      <c r="R3803">
        <v>0</v>
      </c>
    </row>
    <row r="3804" spans="17:18">
      <c r="Q3804" t="s">
        <v>4739</v>
      </c>
      <c r="R3804">
        <v>0</v>
      </c>
    </row>
    <row r="3805" spans="17:18">
      <c r="Q3805" t="s">
        <v>4740</v>
      </c>
      <c r="R3805">
        <v>0</v>
      </c>
    </row>
    <row r="3806" spans="17:18">
      <c r="Q3806" t="s">
        <v>4741</v>
      </c>
      <c r="R3806">
        <v>0</v>
      </c>
    </row>
    <row r="3807" spans="17:18">
      <c r="Q3807" t="s">
        <v>4742</v>
      </c>
      <c r="R3807">
        <v>0</v>
      </c>
    </row>
    <row r="3808" spans="17:18">
      <c r="Q3808" t="s">
        <v>4743</v>
      </c>
      <c r="R3808">
        <v>0</v>
      </c>
    </row>
    <row r="3809" spans="17:18">
      <c r="Q3809" t="s">
        <v>4744</v>
      </c>
      <c r="R3809">
        <v>0</v>
      </c>
    </row>
    <row r="3810" spans="17:18">
      <c r="Q3810" t="s">
        <v>4745</v>
      </c>
      <c r="R3810">
        <v>0</v>
      </c>
    </row>
    <row r="3811" spans="17:18">
      <c r="Q3811" t="s">
        <v>4746</v>
      </c>
      <c r="R3811">
        <v>0</v>
      </c>
    </row>
    <row r="3812" spans="17:18">
      <c r="Q3812" t="s">
        <v>4747</v>
      </c>
      <c r="R3812">
        <v>0</v>
      </c>
    </row>
    <row r="3813" spans="17:18">
      <c r="Q3813" t="s">
        <v>4748</v>
      </c>
      <c r="R3813">
        <v>0</v>
      </c>
    </row>
    <row r="3814" spans="17:18">
      <c r="Q3814" t="s">
        <v>4749</v>
      </c>
      <c r="R3814">
        <v>0</v>
      </c>
    </row>
    <row r="3815" spans="17:18">
      <c r="Q3815" t="s">
        <v>4750</v>
      </c>
      <c r="R3815">
        <v>0</v>
      </c>
    </row>
    <row r="3816" spans="17:18">
      <c r="Q3816" t="s">
        <v>4751</v>
      </c>
      <c r="R3816">
        <v>0</v>
      </c>
    </row>
    <row r="3817" spans="17:18">
      <c r="Q3817" t="s">
        <v>4752</v>
      </c>
      <c r="R3817">
        <v>0</v>
      </c>
    </row>
    <row r="3818" spans="17:18">
      <c r="Q3818" t="s">
        <v>4753</v>
      </c>
      <c r="R3818">
        <v>0</v>
      </c>
    </row>
    <row r="3819" spans="17:18">
      <c r="Q3819" t="s">
        <v>4754</v>
      </c>
      <c r="R3819">
        <v>0</v>
      </c>
    </row>
    <row r="3820" spans="17:18">
      <c r="Q3820" t="s">
        <v>4755</v>
      </c>
      <c r="R3820">
        <v>0</v>
      </c>
    </row>
    <row r="3821" spans="17:18">
      <c r="Q3821" t="s">
        <v>4756</v>
      </c>
      <c r="R3821">
        <v>0</v>
      </c>
    </row>
    <row r="3822" spans="17:18">
      <c r="Q3822" t="s">
        <v>4757</v>
      </c>
      <c r="R3822">
        <v>0</v>
      </c>
    </row>
    <row r="3823" spans="17:18">
      <c r="Q3823" t="s">
        <v>4758</v>
      </c>
      <c r="R3823">
        <v>0</v>
      </c>
    </row>
    <row r="3824" spans="17:18">
      <c r="Q3824" t="s">
        <v>4759</v>
      </c>
      <c r="R3824">
        <v>0</v>
      </c>
    </row>
    <row r="3825" spans="17:18">
      <c r="Q3825" t="s">
        <v>4760</v>
      </c>
      <c r="R3825">
        <v>0</v>
      </c>
    </row>
    <row r="3826" spans="17:18">
      <c r="Q3826" t="s">
        <v>4761</v>
      </c>
      <c r="R3826">
        <v>0</v>
      </c>
    </row>
    <row r="3827" spans="17:18">
      <c r="Q3827" t="s">
        <v>4762</v>
      </c>
      <c r="R3827">
        <v>0</v>
      </c>
    </row>
    <row r="3828" spans="17:18">
      <c r="Q3828" t="s">
        <v>4763</v>
      </c>
      <c r="R3828">
        <v>0</v>
      </c>
    </row>
    <row r="3829" spans="17:18">
      <c r="Q3829" t="s">
        <v>4764</v>
      </c>
      <c r="R3829">
        <v>0</v>
      </c>
    </row>
    <row r="3830" spans="17:18">
      <c r="Q3830" t="s">
        <v>4765</v>
      </c>
      <c r="R3830">
        <v>0</v>
      </c>
    </row>
    <row r="3831" spans="17:18">
      <c r="Q3831" t="s">
        <v>4766</v>
      </c>
      <c r="R3831">
        <v>0</v>
      </c>
    </row>
    <row r="3832" spans="17:18">
      <c r="Q3832" t="s">
        <v>4767</v>
      </c>
      <c r="R3832">
        <v>0</v>
      </c>
    </row>
    <row r="3833" spans="17:18">
      <c r="Q3833" t="s">
        <v>4768</v>
      </c>
      <c r="R3833">
        <v>0</v>
      </c>
    </row>
    <row r="3834" spans="17:18">
      <c r="Q3834" t="s">
        <v>4769</v>
      </c>
      <c r="R3834">
        <v>0</v>
      </c>
    </row>
    <row r="3835" spans="17:18">
      <c r="Q3835" t="s">
        <v>4770</v>
      </c>
      <c r="R3835">
        <v>0</v>
      </c>
    </row>
    <row r="3836" spans="17:18">
      <c r="Q3836" t="s">
        <v>4771</v>
      </c>
      <c r="R3836">
        <v>0</v>
      </c>
    </row>
    <row r="3837" spans="17:18">
      <c r="Q3837" t="s">
        <v>4772</v>
      </c>
      <c r="R3837">
        <v>0</v>
      </c>
    </row>
    <row r="3838" spans="17:18">
      <c r="Q3838" t="s">
        <v>4773</v>
      </c>
      <c r="R3838">
        <v>0</v>
      </c>
    </row>
    <row r="3839" spans="17:18">
      <c r="Q3839" t="s">
        <v>4774</v>
      </c>
      <c r="R3839">
        <v>0</v>
      </c>
    </row>
    <row r="3840" spans="17:18">
      <c r="Q3840" t="s">
        <v>4775</v>
      </c>
      <c r="R3840">
        <v>0</v>
      </c>
    </row>
    <row r="3841" spans="17:18">
      <c r="Q3841" t="s">
        <v>4776</v>
      </c>
      <c r="R3841">
        <v>0</v>
      </c>
    </row>
    <row r="3842" spans="17:18">
      <c r="Q3842" t="s">
        <v>4777</v>
      </c>
      <c r="R3842">
        <v>0</v>
      </c>
    </row>
    <row r="3843" spans="17:18">
      <c r="Q3843" t="s">
        <v>4778</v>
      </c>
      <c r="R3843">
        <v>0</v>
      </c>
    </row>
    <row r="3844" spans="17:18">
      <c r="Q3844" t="s">
        <v>4779</v>
      </c>
      <c r="R3844">
        <v>0</v>
      </c>
    </row>
    <row r="3845" spans="17:18">
      <c r="Q3845" t="s">
        <v>4780</v>
      </c>
      <c r="R3845">
        <v>0</v>
      </c>
    </row>
    <row r="3846" spans="17:18">
      <c r="Q3846" t="s">
        <v>4781</v>
      </c>
      <c r="R3846">
        <v>0</v>
      </c>
    </row>
    <row r="3847" spans="17:18">
      <c r="Q3847" t="s">
        <v>4782</v>
      </c>
      <c r="R3847">
        <v>0</v>
      </c>
    </row>
    <row r="3848" spans="17:18">
      <c r="Q3848" t="s">
        <v>4783</v>
      </c>
      <c r="R3848">
        <v>0</v>
      </c>
    </row>
    <row r="3849" spans="17:18">
      <c r="Q3849" t="s">
        <v>4784</v>
      </c>
      <c r="R3849">
        <v>0</v>
      </c>
    </row>
    <row r="3850" spans="17:18">
      <c r="Q3850" t="s">
        <v>4785</v>
      </c>
      <c r="R3850">
        <v>0</v>
      </c>
    </row>
    <row r="3851" spans="17:18">
      <c r="Q3851" t="s">
        <v>4786</v>
      </c>
      <c r="R3851">
        <v>0</v>
      </c>
    </row>
    <row r="3852" spans="17:18">
      <c r="Q3852" t="s">
        <v>4787</v>
      </c>
      <c r="R3852">
        <v>0</v>
      </c>
    </row>
    <row r="3853" spans="17:18">
      <c r="Q3853" t="s">
        <v>4788</v>
      </c>
      <c r="R3853">
        <v>0</v>
      </c>
    </row>
    <row r="3854" spans="17:18">
      <c r="Q3854" t="s">
        <v>4789</v>
      </c>
      <c r="R3854">
        <v>0</v>
      </c>
    </row>
    <row r="3855" spans="17:18">
      <c r="Q3855" t="s">
        <v>4790</v>
      </c>
      <c r="R3855">
        <v>0</v>
      </c>
    </row>
    <row r="3856" spans="17:18">
      <c r="Q3856" t="s">
        <v>4791</v>
      </c>
      <c r="R3856">
        <v>0</v>
      </c>
    </row>
    <row r="3857" spans="17:18">
      <c r="Q3857" t="s">
        <v>4792</v>
      </c>
      <c r="R3857">
        <v>0</v>
      </c>
    </row>
    <row r="3858" spans="17:18">
      <c r="Q3858" t="s">
        <v>4793</v>
      </c>
      <c r="R3858">
        <v>0</v>
      </c>
    </row>
    <row r="3859" spans="17:18">
      <c r="Q3859" t="s">
        <v>4794</v>
      </c>
      <c r="R3859">
        <v>0</v>
      </c>
    </row>
    <row r="3860" spans="17:18">
      <c r="Q3860" t="s">
        <v>4795</v>
      </c>
      <c r="R3860">
        <v>0</v>
      </c>
    </row>
    <row r="3861" spans="17:18">
      <c r="Q3861" t="s">
        <v>4796</v>
      </c>
      <c r="R3861">
        <v>0</v>
      </c>
    </row>
    <row r="3862" spans="17:18">
      <c r="Q3862" t="s">
        <v>4797</v>
      </c>
      <c r="R3862">
        <v>0</v>
      </c>
    </row>
    <row r="3863" spans="17:18">
      <c r="Q3863" t="s">
        <v>4798</v>
      </c>
      <c r="R3863">
        <v>0</v>
      </c>
    </row>
    <row r="3864" spans="17:18">
      <c r="Q3864" t="s">
        <v>4799</v>
      </c>
      <c r="R3864">
        <v>0</v>
      </c>
    </row>
    <row r="3865" spans="17:18">
      <c r="Q3865" t="s">
        <v>4800</v>
      </c>
      <c r="R3865">
        <v>0</v>
      </c>
    </row>
    <row r="3866" spans="17:18">
      <c r="Q3866" t="s">
        <v>4801</v>
      </c>
      <c r="R3866">
        <v>0</v>
      </c>
    </row>
    <row r="3867" spans="17:18">
      <c r="Q3867" t="s">
        <v>4802</v>
      </c>
      <c r="R3867">
        <v>0</v>
      </c>
    </row>
    <row r="3868" spans="17:18">
      <c r="Q3868" t="s">
        <v>4803</v>
      </c>
      <c r="R3868">
        <v>0</v>
      </c>
    </row>
    <row r="3869" spans="17:18">
      <c r="Q3869" t="s">
        <v>4804</v>
      </c>
      <c r="R3869">
        <v>0</v>
      </c>
    </row>
    <row r="3870" spans="17:18">
      <c r="Q3870" t="s">
        <v>4805</v>
      </c>
      <c r="R3870">
        <v>0</v>
      </c>
    </row>
    <row r="3871" spans="17:18">
      <c r="Q3871" t="s">
        <v>4806</v>
      </c>
      <c r="R3871">
        <v>0</v>
      </c>
    </row>
    <row r="3872" spans="17:18">
      <c r="Q3872" t="s">
        <v>4807</v>
      </c>
      <c r="R3872">
        <v>0</v>
      </c>
    </row>
    <row r="3873" spans="17:18">
      <c r="Q3873" t="s">
        <v>4808</v>
      </c>
      <c r="R3873">
        <v>0</v>
      </c>
    </row>
    <row r="3874" spans="17:18">
      <c r="Q3874" t="s">
        <v>4809</v>
      </c>
      <c r="R3874">
        <v>0</v>
      </c>
    </row>
    <row r="3875" spans="17:18">
      <c r="Q3875" t="s">
        <v>4810</v>
      </c>
      <c r="R3875">
        <v>0</v>
      </c>
    </row>
    <row r="3876" spans="17:18">
      <c r="Q3876" t="s">
        <v>4811</v>
      </c>
      <c r="R3876">
        <v>0</v>
      </c>
    </row>
    <row r="3877" spans="17:18">
      <c r="Q3877" t="s">
        <v>4812</v>
      </c>
      <c r="R3877">
        <v>0</v>
      </c>
    </row>
    <row r="3878" spans="17:18">
      <c r="Q3878" t="s">
        <v>4813</v>
      </c>
      <c r="R3878">
        <v>0</v>
      </c>
    </row>
    <row r="3879" spans="17:18">
      <c r="Q3879" t="s">
        <v>4814</v>
      </c>
      <c r="R3879">
        <v>0</v>
      </c>
    </row>
    <row r="3880" spans="17:18">
      <c r="Q3880" t="s">
        <v>4815</v>
      </c>
      <c r="R3880">
        <v>0</v>
      </c>
    </row>
    <row r="3881" spans="17:18">
      <c r="Q3881" t="s">
        <v>4816</v>
      </c>
      <c r="R3881">
        <v>0</v>
      </c>
    </row>
    <row r="3882" spans="17:18">
      <c r="Q3882" t="s">
        <v>4817</v>
      </c>
      <c r="R3882">
        <v>0</v>
      </c>
    </row>
    <row r="3883" spans="17:18">
      <c r="Q3883" t="s">
        <v>4818</v>
      </c>
      <c r="R3883">
        <v>0</v>
      </c>
    </row>
    <row r="3884" spans="17:18">
      <c r="Q3884" t="s">
        <v>4819</v>
      </c>
      <c r="R3884">
        <v>0</v>
      </c>
    </row>
    <row r="3885" spans="17:18">
      <c r="Q3885" t="s">
        <v>4820</v>
      </c>
      <c r="R3885">
        <v>0</v>
      </c>
    </row>
    <row r="3886" spans="17:18">
      <c r="Q3886" t="s">
        <v>4821</v>
      </c>
      <c r="R3886">
        <v>0</v>
      </c>
    </row>
    <row r="3887" spans="17:18">
      <c r="Q3887" t="s">
        <v>4822</v>
      </c>
      <c r="R3887">
        <v>0</v>
      </c>
    </row>
    <row r="3888" spans="17:18">
      <c r="Q3888" t="s">
        <v>4823</v>
      </c>
      <c r="R3888">
        <v>0</v>
      </c>
    </row>
    <row r="3889" spans="17:18">
      <c r="Q3889" t="s">
        <v>4824</v>
      </c>
      <c r="R3889">
        <v>0</v>
      </c>
    </row>
    <row r="3890" spans="17:18">
      <c r="Q3890" t="s">
        <v>4825</v>
      </c>
      <c r="R3890">
        <v>0</v>
      </c>
    </row>
    <row r="3891" spans="17:18">
      <c r="Q3891" t="s">
        <v>4826</v>
      </c>
      <c r="R3891">
        <v>0</v>
      </c>
    </row>
    <row r="3892" spans="17:18">
      <c r="Q3892" t="s">
        <v>4827</v>
      </c>
      <c r="R3892">
        <v>0</v>
      </c>
    </row>
    <row r="3893" spans="17:18">
      <c r="Q3893" t="s">
        <v>4828</v>
      </c>
      <c r="R3893">
        <v>0</v>
      </c>
    </row>
    <row r="3894" spans="17:18">
      <c r="Q3894" t="s">
        <v>4829</v>
      </c>
      <c r="R3894">
        <v>0</v>
      </c>
    </row>
    <row r="3895" spans="17:18">
      <c r="Q3895" t="s">
        <v>4830</v>
      </c>
      <c r="R3895">
        <v>0</v>
      </c>
    </row>
    <row r="3896" spans="17:18">
      <c r="Q3896" t="s">
        <v>4831</v>
      </c>
      <c r="R3896">
        <v>0</v>
      </c>
    </row>
    <row r="3897" spans="17:18">
      <c r="Q3897" t="s">
        <v>4832</v>
      </c>
      <c r="R3897">
        <v>0</v>
      </c>
    </row>
    <row r="3898" spans="17:18">
      <c r="Q3898" t="s">
        <v>4833</v>
      </c>
      <c r="R3898">
        <v>0</v>
      </c>
    </row>
    <row r="3899" spans="17:18">
      <c r="Q3899" t="s">
        <v>4834</v>
      </c>
      <c r="R3899">
        <v>0</v>
      </c>
    </row>
    <row r="3900" spans="17:18">
      <c r="Q3900" t="s">
        <v>4835</v>
      </c>
      <c r="R3900">
        <v>0</v>
      </c>
    </row>
    <row r="3901" spans="17:18">
      <c r="Q3901" t="s">
        <v>4836</v>
      </c>
      <c r="R3901">
        <v>0</v>
      </c>
    </row>
    <row r="3902" spans="17:18">
      <c r="Q3902" t="s">
        <v>4837</v>
      </c>
      <c r="R3902">
        <v>0</v>
      </c>
    </row>
    <row r="3903" spans="17:18">
      <c r="Q3903" t="s">
        <v>4838</v>
      </c>
      <c r="R3903">
        <v>0</v>
      </c>
    </row>
    <row r="3904" spans="17:18">
      <c r="Q3904" t="s">
        <v>4839</v>
      </c>
      <c r="R3904">
        <v>0</v>
      </c>
    </row>
    <row r="3905" spans="17:18">
      <c r="Q3905" t="s">
        <v>4840</v>
      </c>
      <c r="R3905">
        <v>0</v>
      </c>
    </row>
    <row r="3906" spans="17:18">
      <c r="Q3906" t="s">
        <v>4841</v>
      </c>
      <c r="R3906">
        <v>0</v>
      </c>
    </row>
    <row r="3907" spans="17:18">
      <c r="Q3907" t="s">
        <v>4842</v>
      </c>
      <c r="R3907">
        <v>0</v>
      </c>
    </row>
    <row r="3908" spans="17:18">
      <c r="Q3908" t="s">
        <v>4843</v>
      </c>
      <c r="R3908">
        <v>0</v>
      </c>
    </row>
    <row r="3909" spans="17:18">
      <c r="Q3909" t="s">
        <v>4844</v>
      </c>
      <c r="R3909">
        <v>0</v>
      </c>
    </row>
    <row r="3910" spans="17:18">
      <c r="Q3910" t="s">
        <v>4845</v>
      </c>
      <c r="R3910">
        <v>0</v>
      </c>
    </row>
    <row r="3911" spans="17:18">
      <c r="Q3911" t="s">
        <v>4846</v>
      </c>
      <c r="R3911">
        <v>0</v>
      </c>
    </row>
    <row r="3912" spans="17:18">
      <c r="Q3912" t="s">
        <v>4847</v>
      </c>
      <c r="R3912">
        <v>0</v>
      </c>
    </row>
    <row r="3913" spans="17:18">
      <c r="Q3913" t="s">
        <v>4848</v>
      </c>
      <c r="R3913">
        <v>0</v>
      </c>
    </row>
    <row r="3914" spans="17:18">
      <c r="Q3914" t="s">
        <v>4849</v>
      </c>
      <c r="R3914">
        <v>0</v>
      </c>
    </row>
    <row r="3915" spans="17:18">
      <c r="Q3915" t="s">
        <v>4850</v>
      </c>
      <c r="R3915">
        <v>0</v>
      </c>
    </row>
    <row r="3916" spans="17:18">
      <c r="Q3916" t="s">
        <v>4851</v>
      </c>
      <c r="R3916">
        <v>0</v>
      </c>
    </row>
    <row r="3917" spans="17:18">
      <c r="Q3917" t="s">
        <v>4852</v>
      </c>
      <c r="R3917">
        <v>0</v>
      </c>
    </row>
    <row r="3918" spans="17:18">
      <c r="Q3918" t="s">
        <v>4853</v>
      </c>
      <c r="R3918">
        <v>0</v>
      </c>
    </row>
    <row r="3919" spans="17:18">
      <c r="Q3919" t="s">
        <v>4854</v>
      </c>
      <c r="R3919">
        <v>0</v>
      </c>
    </row>
    <row r="3920" spans="17:18">
      <c r="Q3920" t="s">
        <v>4855</v>
      </c>
      <c r="R3920">
        <v>0</v>
      </c>
    </row>
    <row r="3921" spans="17:18">
      <c r="Q3921" t="s">
        <v>4856</v>
      </c>
      <c r="R3921">
        <v>0</v>
      </c>
    </row>
    <row r="3922" spans="17:18">
      <c r="Q3922" t="s">
        <v>4857</v>
      </c>
      <c r="R3922">
        <v>0</v>
      </c>
    </row>
    <row r="3923" spans="17:18">
      <c r="Q3923" t="s">
        <v>4858</v>
      </c>
      <c r="R3923">
        <v>0</v>
      </c>
    </row>
    <row r="3924" spans="17:18">
      <c r="Q3924" t="s">
        <v>4859</v>
      </c>
      <c r="R3924">
        <v>0</v>
      </c>
    </row>
    <row r="3925" spans="17:18">
      <c r="Q3925" t="s">
        <v>4860</v>
      </c>
      <c r="R3925">
        <v>0</v>
      </c>
    </row>
    <row r="3926" spans="17:18">
      <c r="Q3926" t="s">
        <v>4861</v>
      </c>
      <c r="R3926">
        <v>0</v>
      </c>
    </row>
    <row r="3927" spans="17:18">
      <c r="Q3927" t="s">
        <v>4862</v>
      </c>
      <c r="R3927">
        <v>0</v>
      </c>
    </row>
    <row r="3928" spans="17:18">
      <c r="Q3928" t="s">
        <v>4863</v>
      </c>
      <c r="R3928">
        <v>0</v>
      </c>
    </row>
    <row r="3929" spans="17:18">
      <c r="Q3929" t="s">
        <v>4864</v>
      </c>
      <c r="R3929">
        <v>0</v>
      </c>
    </row>
    <row r="3930" spans="17:18">
      <c r="Q3930" t="s">
        <v>4865</v>
      </c>
      <c r="R3930">
        <v>0</v>
      </c>
    </row>
    <row r="3931" spans="17:18">
      <c r="Q3931" t="s">
        <v>4866</v>
      </c>
      <c r="R3931">
        <v>0</v>
      </c>
    </row>
    <row r="3932" spans="17:18">
      <c r="Q3932" t="s">
        <v>4867</v>
      </c>
      <c r="R3932">
        <v>0</v>
      </c>
    </row>
    <row r="3933" spans="17:18">
      <c r="Q3933" t="s">
        <v>4868</v>
      </c>
      <c r="R3933">
        <v>0</v>
      </c>
    </row>
    <row r="3934" spans="17:18">
      <c r="Q3934" t="s">
        <v>4869</v>
      </c>
      <c r="R3934">
        <v>0</v>
      </c>
    </row>
    <row r="3935" spans="17:18">
      <c r="Q3935" t="s">
        <v>4870</v>
      </c>
      <c r="R3935">
        <v>0</v>
      </c>
    </row>
    <row r="3936" spans="17:18">
      <c r="Q3936" t="s">
        <v>4871</v>
      </c>
      <c r="R3936">
        <v>0</v>
      </c>
    </row>
    <row r="3937" spans="17:18">
      <c r="Q3937" t="s">
        <v>4872</v>
      </c>
      <c r="R3937">
        <v>0</v>
      </c>
    </row>
    <row r="3938" spans="17:18">
      <c r="Q3938" t="s">
        <v>4873</v>
      </c>
      <c r="R3938">
        <v>0</v>
      </c>
    </row>
    <row r="3939" spans="17:18">
      <c r="Q3939" t="s">
        <v>4874</v>
      </c>
      <c r="R3939">
        <v>0</v>
      </c>
    </row>
    <row r="3940" spans="17:18">
      <c r="Q3940" t="s">
        <v>4875</v>
      </c>
      <c r="R3940">
        <v>0</v>
      </c>
    </row>
    <row r="3941" spans="17:18">
      <c r="Q3941" t="s">
        <v>4876</v>
      </c>
      <c r="R3941">
        <v>0</v>
      </c>
    </row>
    <row r="3942" spans="17:18">
      <c r="Q3942" t="s">
        <v>4877</v>
      </c>
      <c r="R3942">
        <v>0</v>
      </c>
    </row>
    <row r="3943" spans="17:18">
      <c r="Q3943" t="s">
        <v>4878</v>
      </c>
      <c r="R3943">
        <v>0</v>
      </c>
    </row>
    <row r="3944" spans="17:18">
      <c r="Q3944" t="s">
        <v>4879</v>
      </c>
      <c r="R3944">
        <v>0</v>
      </c>
    </row>
    <row r="3945" spans="17:18">
      <c r="Q3945" t="s">
        <v>4880</v>
      </c>
      <c r="R3945">
        <v>0</v>
      </c>
    </row>
    <row r="3946" spans="17:18">
      <c r="Q3946" t="s">
        <v>4881</v>
      </c>
      <c r="R3946">
        <v>0</v>
      </c>
    </row>
    <row r="3947" spans="17:18">
      <c r="Q3947" t="s">
        <v>4882</v>
      </c>
      <c r="R3947">
        <v>0</v>
      </c>
    </row>
    <row r="3948" spans="17:18">
      <c r="Q3948" t="s">
        <v>4883</v>
      </c>
      <c r="R3948">
        <v>0</v>
      </c>
    </row>
    <row r="3949" spans="17:18">
      <c r="Q3949" t="s">
        <v>4884</v>
      </c>
      <c r="R3949">
        <v>0</v>
      </c>
    </row>
    <row r="3950" spans="17:18">
      <c r="Q3950" t="s">
        <v>4885</v>
      </c>
      <c r="R3950">
        <v>0</v>
      </c>
    </row>
    <row r="3951" spans="17:18">
      <c r="Q3951" t="s">
        <v>4886</v>
      </c>
      <c r="R3951">
        <v>0</v>
      </c>
    </row>
    <row r="3952" spans="17:18">
      <c r="Q3952" t="s">
        <v>4887</v>
      </c>
      <c r="R3952">
        <v>0</v>
      </c>
    </row>
    <row r="3953" spans="17:18">
      <c r="Q3953" t="s">
        <v>4888</v>
      </c>
      <c r="R3953">
        <v>0</v>
      </c>
    </row>
    <row r="3954" spans="17:18">
      <c r="Q3954" t="s">
        <v>4889</v>
      </c>
      <c r="R3954">
        <v>0</v>
      </c>
    </row>
    <row r="3955" spans="17:18">
      <c r="Q3955" t="s">
        <v>4890</v>
      </c>
      <c r="R3955">
        <v>0</v>
      </c>
    </row>
    <row r="3956" spans="17:18">
      <c r="Q3956" t="s">
        <v>4891</v>
      </c>
      <c r="R3956">
        <v>0</v>
      </c>
    </row>
    <row r="3957" spans="17:18">
      <c r="Q3957" t="s">
        <v>4892</v>
      </c>
      <c r="R3957">
        <v>0</v>
      </c>
    </row>
    <row r="3958" spans="17:18">
      <c r="Q3958" t="s">
        <v>4893</v>
      </c>
      <c r="R3958">
        <v>0</v>
      </c>
    </row>
    <row r="3959" spans="17:18">
      <c r="Q3959" t="s">
        <v>4894</v>
      </c>
      <c r="R3959">
        <v>0</v>
      </c>
    </row>
    <row r="3960" spans="17:18">
      <c r="Q3960" t="s">
        <v>4895</v>
      </c>
      <c r="R3960">
        <v>0</v>
      </c>
    </row>
    <row r="3961" spans="17:18">
      <c r="Q3961" t="s">
        <v>4896</v>
      </c>
      <c r="R3961">
        <v>0</v>
      </c>
    </row>
    <row r="3962" spans="17:18">
      <c r="Q3962" t="s">
        <v>4897</v>
      </c>
      <c r="R3962">
        <v>0</v>
      </c>
    </row>
    <row r="3963" spans="17:18">
      <c r="Q3963" t="s">
        <v>4898</v>
      </c>
      <c r="R3963">
        <v>0</v>
      </c>
    </row>
    <row r="3964" spans="17:18">
      <c r="Q3964" t="s">
        <v>4899</v>
      </c>
      <c r="R3964">
        <v>0</v>
      </c>
    </row>
    <row r="3965" spans="17:18">
      <c r="Q3965" t="s">
        <v>4900</v>
      </c>
      <c r="R3965">
        <v>0</v>
      </c>
    </row>
    <row r="3966" spans="17:18">
      <c r="Q3966" t="s">
        <v>4901</v>
      </c>
      <c r="R3966">
        <v>0</v>
      </c>
    </row>
    <row r="3967" spans="17:18">
      <c r="Q3967" t="s">
        <v>4902</v>
      </c>
      <c r="R3967">
        <v>0</v>
      </c>
    </row>
    <row r="3968" spans="17:18">
      <c r="Q3968" t="s">
        <v>4903</v>
      </c>
      <c r="R3968">
        <v>0</v>
      </c>
    </row>
    <row r="3969" spans="17:18">
      <c r="Q3969" t="s">
        <v>4904</v>
      </c>
      <c r="R3969">
        <v>0</v>
      </c>
    </row>
    <row r="3970" spans="17:18">
      <c r="Q3970" t="s">
        <v>4905</v>
      </c>
      <c r="R3970">
        <v>0</v>
      </c>
    </row>
    <row r="3971" spans="17:18">
      <c r="Q3971" t="s">
        <v>4906</v>
      </c>
      <c r="R3971">
        <v>0</v>
      </c>
    </row>
    <row r="3972" spans="17:18">
      <c r="Q3972" t="s">
        <v>4907</v>
      </c>
      <c r="R3972">
        <v>0</v>
      </c>
    </row>
    <row r="3973" spans="17:18">
      <c r="Q3973" t="s">
        <v>5376</v>
      </c>
      <c r="R3973">
        <v>0</v>
      </c>
    </row>
    <row r="3974" spans="17:18">
      <c r="Q3974" t="s">
        <v>4908</v>
      </c>
      <c r="R3974">
        <v>0</v>
      </c>
    </row>
    <row r="3975" spans="17:18">
      <c r="Q3975" t="s">
        <v>4909</v>
      </c>
      <c r="R3975">
        <v>0</v>
      </c>
    </row>
    <row r="3976" spans="17:18">
      <c r="Q3976" t="s">
        <v>4910</v>
      </c>
      <c r="R3976">
        <v>0</v>
      </c>
    </row>
    <row r="3977" spans="17:18">
      <c r="Q3977" t="s">
        <v>4911</v>
      </c>
      <c r="R3977">
        <v>0</v>
      </c>
    </row>
    <row r="3978" spans="17:18">
      <c r="Q3978" t="s">
        <v>4912</v>
      </c>
      <c r="R3978">
        <v>0</v>
      </c>
    </row>
    <row r="3979" spans="17:18">
      <c r="Q3979" t="s">
        <v>4913</v>
      </c>
      <c r="R3979">
        <v>0</v>
      </c>
    </row>
    <row r="3980" spans="17:18">
      <c r="Q3980" t="s">
        <v>4914</v>
      </c>
      <c r="R3980">
        <v>0</v>
      </c>
    </row>
    <row r="3981" spans="17:18">
      <c r="Q3981" t="s">
        <v>4915</v>
      </c>
      <c r="R3981">
        <v>0</v>
      </c>
    </row>
    <row r="3982" spans="17:18">
      <c r="Q3982" t="s">
        <v>4916</v>
      </c>
      <c r="R3982">
        <v>0</v>
      </c>
    </row>
    <row r="3983" spans="17:18">
      <c r="Q3983" t="s">
        <v>4917</v>
      </c>
      <c r="R3983">
        <v>0</v>
      </c>
    </row>
    <row r="3984" spans="17:18">
      <c r="Q3984" t="s">
        <v>4918</v>
      </c>
      <c r="R3984">
        <v>0</v>
      </c>
    </row>
    <row r="3985" spans="17:18">
      <c r="Q3985" t="s">
        <v>4919</v>
      </c>
      <c r="R3985">
        <v>0</v>
      </c>
    </row>
    <row r="3986" spans="17:18">
      <c r="Q3986" t="s">
        <v>4920</v>
      </c>
      <c r="R3986">
        <v>0</v>
      </c>
    </row>
    <row r="3987" spans="17:18">
      <c r="Q3987" t="s">
        <v>4921</v>
      </c>
      <c r="R3987">
        <v>0</v>
      </c>
    </row>
    <row r="3988" spans="17:18">
      <c r="Q3988" t="s">
        <v>4922</v>
      </c>
      <c r="R3988">
        <v>0</v>
      </c>
    </row>
    <row r="3989" spans="17:18">
      <c r="Q3989" t="s">
        <v>4923</v>
      </c>
      <c r="R3989">
        <v>0</v>
      </c>
    </row>
    <row r="3990" spans="17:18">
      <c r="Q3990" t="s">
        <v>4924</v>
      </c>
      <c r="R3990">
        <v>0</v>
      </c>
    </row>
    <row r="3991" spans="17:18">
      <c r="Q3991" t="s">
        <v>4925</v>
      </c>
      <c r="R3991">
        <v>0</v>
      </c>
    </row>
    <row r="3992" spans="17:18">
      <c r="Q3992" t="s">
        <v>4926</v>
      </c>
      <c r="R3992">
        <v>0</v>
      </c>
    </row>
    <row r="3993" spans="17:18">
      <c r="Q3993" t="s">
        <v>4927</v>
      </c>
      <c r="R3993">
        <v>0</v>
      </c>
    </row>
    <row r="3994" spans="17:18">
      <c r="Q3994" t="s">
        <v>4928</v>
      </c>
      <c r="R3994">
        <v>0</v>
      </c>
    </row>
    <row r="3995" spans="17:18">
      <c r="Q3995" t="s">
        <v>4929</v>
      </c>
      <c r="R3995">
        <v>0</v>
      </c>
    </row>
    <row r="3996" spans="17:18">
      <c r="Q3996" t="s">
        <v>4930</v>
      </c>
      <c r="R3996">
        <v>0</v>
      </c>
    </row>
    <row r="3997" spans="17:18">
      <c r="Q3997" t="s">
        <v>4931</v>
      </c>
      <c r="R3997">
        <v>0</v>
      </c>
    </row>
    <row r="3998" spans="17:18">
      <c r="Q3998" t="s">
        <v>4932</v>
      </c>
      <c r="R3998">
        <v>0</v>
      </c>
    </row>
    <row r="3999" spans="17:18">
      <c r="Q3999" t="s">
        <v>4933</v>
      </c>
      <c r="R3999">
        <v>0</v>
      </c>
    </row>
    <row r="4000" spans="17:18">
      <c r="Q4000" t="s">
        <v>4934</v>
      </c>
      <c r="R4000">
        <v>0</v>
      </c>
    </row>
    <row r="4001" spans="17:18">
      <c r="Q4001" t="s">
        <v>4935</v>
      </c>
      <c r="R4001">
        <v>0</v>
      </c>
    </row>
    <row r="4002" spans="17:18">
      <c r="Q4002" t="s">
        <v>4936</v>
      </c>
      <c r="R4002">
        <v>0</v>
      </c>
    </row>
    <row r="4003" spans="17:18">
      <c r="Q4003" t="s">
        <v>4937</v>
      </c>
      <c r="R4003">
        <v>0</v>
      </c>
    </row>
    <row r="4004" spans="17:18">
      <c r="Q4004" t="s">
        <v>4938</v>
      </c>
      <c r="R4004">
        <v>0</v>
      </c>
    </row>
    <row r="4005" spans="17:18">
      <c r="Q4005" t="s">
        <v>5377</v>
      </c>
      <c r="R4005">
        <v>0</v>
      </c>
    </row>
    <row r="4006" spans="17:18">
      <c r="Q4006" t="s">
        <v>4939</v>
      </c>
      <c r="R4006">
        <v>0</v>
      </c>
    </row>
    <row r="4007" spans="17:18">
      <c r="Q4007" t="s">
        <v>4940</v>
      </c>
      <c r="R4007">
        <v>0</v>
      </c>
    </row>
    <row r="4008" spans="17:18">
      <c r="Q4008" t="s">
        <v>4941</v>
      </c>
      <c r="R4008">
        <v>0</v>
      </c>
    </row>
    <row r="4009" spans="17:18">
      <c r="Q4009" t="s">
        <v>4942</v>
      </c>
      <c r="R4009">
        <v>0</v>
      </c>
    </row>
    <row r="4010" spans="17:18">
      <c r="Q4010" t="s">
        <v>4943</v>
      </c>
      <c r="R4010">
        <v>0</v>
      </c>
    </row>
    <row r="4011" spans="17:18">
      <c r="Q4011" t="s">
        <v>4944</v>
      </c>
      <c r="R4011">
        <v>0</v>
      </c>
    </row>
    <row r="4012" spans="17:18">
      <c r="Q4012" t="s">
        <v>4945</v>
      </c>
      <c r="R4012">
        <v>0</v>
      </c>
    </row>
    <row r="4013" spans="17:18">
      <c r="Q4013" t="s">
        <v>4946</v>
      </c>
      <c r="R4013">
        <v>0</v>
      </c>
    </row>
    <row r="4014" spans="17:18">
      <c r="Q4014" t="s">
        <v>4947</v>
      </c>
      <c r="R4014">
        <v>0</v>
      </c>
    </row>
    <row r="4015" spans="17:18">
      <c r="Q4015" t="s">
        <v>4948</v>
      </c>
      <c r="R4015">
        <v>0</v>
      </c>
    </row>
    <row r="4016" spans="17:18">
      <c r="Q4016" t="s">
        <v>4949</v>
      </c>
      <c r="R4016">
        <v>0</v>
      </c>
    </row>
    <row r="4017" spans="17:18">
      <c r="Q4017" t="s">
        <v>4950</v>
      </c>
      <c r="R4017">
        <v>0</v>
      </c>
    </row>
    <row r="4018" spans="17:18">
      <c r="Q4018" t="s">
        <v>4951</v>
      </c>
      <c r="R4018">
        <v>0</v>
      </c>
    </row>
    <row r="4019" spans="17:18">
      <c r="Q4019" t="s">
        <v>4952</v>
      </c>
      <c r="R4019">
        <v>1.50159</v>
      </c>
    </row>
    <row r="4020" spans="17:18">
      <c r="Q4020" t="s">
        <v>4953</v>
      </c>
      <c r="R4020">
        <v>0</v>
      </c>
    </row>
    <row r="4021" spans="17:18">
      <c r="Q4021" t="s">
        <v>4954</v>
      </c>
      <c r="R4021">
        <v>0.40942000000000001</v>
      </c>
    </row>
    <row r="4022" spans="17:18">
      <c r="Q4022" t="s">
        <v>4955</v>
      </c>
      <c r="R4022">
        <v>0</v>
      </c>
    </row>
    <row r="4023" spans="17:18">
      <c r="Q4023" t="s">
        <v>4956</v>
      </c>
      <c r="R4023">
        <v>0</v>
      </c>
    </row>
    <row r="4024" spans="17:18">
      <c r="Q4024" t="s">
        <v>4957</v>
      </c>
      <c r="R4024">
        <v>0</v>
      </c>
    </row>
    <row r="4025" spans="17:18">
      <c r="Q4025" t="s">
        <v>4958</v>
      </c>
      <c r="R4025">
        <v>0</v>
      </c>
    </row>
    <row r="4026" spans="17:18">
      <c r="Q4026" t="s">
        <v>4959</v>
      </c>
      <c r="R4026">
        <v>0</v>
      </c>
    </row>
    <row r="4027" spans="17:18">
      <c r="Q4027" t="s">
        <v>4960</v>
      </c>
      <c r="R4027">
        <v>0</v>
      </c>
    </row>
    <row r="4028" spans="17:18">
      <c r="Q4028" t="s">
        <v>4961</v>
      </c>
      <c r="R4028">
        <v>0</v>
      </c>
    </row>
    <row r="4029" spans="17:18">
      <c r="Q4029" t="s">
        <v>4962</v>
      </c>
      <c r="R4029">
        <v>0</v>
      </c>
    </row>
    <row r="4030" spans="17:18">
      <c r="Q4030" t="s">
        <v>4963</v>
      </c>
      <c r="R4030">
        <v>0</v>
      </c>
    </row>
    <row r="4031" spans="17:18">
      <c r="Q4031" t="s">
        <v>4964</v>
      </c>
      <c r="R4031">
        <v>0</v>
      </c>
    </row>
    <row r="4032" spans="17:18">
      <c r="Q4032" t="s">
        <v>4965</v>
      </c>
      <c r="R4032">
        <v>0</v>
      </c>
    </row>
    <row r="4033" spans="17:18">
      <c r="Q4033" t="s">
        <v>4966</v>
      </c>
      <c r="R4033">
        <v>0</v>
      </c>
    </row>
    <row r="4034" spans="17:18">
      <c r="Q4034" t="s">
        <v>4967</v>
      </c>
      <c r="R4034">
        <v>0</v>
      </c>
    </row>
    <row r="4035" spans="17:18">
      <c r="Q4035" t="s">
        <v>4968</v>
      </c>
      <c r="R4035">
        <v>0</v>
      </c>
    </row>
    <row r="4036" spans="17:18">
      <c r="Q4036" t="s">
        <v>4969</v>
      </c>
      <c r="R4036">
        <v>0</v>
      </c>
    </row>
    <row r="4037" spans="17:18">
      <c r="Q4037" t="s">
        <v>4970</v>
      </c>
      <c r="R4037">
        <v>7.3620000000000005E-2</v>
      </c>
    </row>
    <row r="4038" spans="17:18">
      <c r="Q4038" t="s">
        <v>4971</v>
      </c>
      <c r="R4038">
        <v>0.12719</v>
      </c>
    </row>
    <row r="4039" spans="17:18">
      <c r="Q4039" t="s">
        <v>4972</v>
      </c>
      <c r="R4039">
        <v>4.2849999999999999E-2</v>
      </c>
    </row>
    <row r="4040" spans="17:18">
      <c r="Q4040" t="s">
        <v>4973</v>
      </c>
      <c r="R4040">
        <v>5.1279999999999999E-2</v>
      </c>
    </row>
    <row r="4041" spans="17:18">
      <c r="Q4041" t="s">
        <v>4974</v>
      </c>
      <c r="R4041">
        <v>6.472E-2</v>
      </c>
    </row>
    <row r="4042" spans="17:18">
      <c r="Q4042" t="s">
        <v>4975</v>
      </c>
      <c r="R4042">
        <v>2.5760000000000002E-2</v>
      </c>
    </row>
    <row r="4043" spans="17:18">
      <c r="Q4043" t="s">
        <v>4976</v>
      </c>
      <c r="R4043">
        <v>4.2880000000000001E-2</v>
      </c>
    </row>
    <row r="4044" spans="17:18">
      <c r="Q4044" t="s">
        <v>4977</v>
      </c>
      <c r="R4044">
        <v>4.6260000000000003E-2</v>
      </c>
    </row>
    <row r="4045" spans="17:18">
      <c r="Q4045" t="s">
        <v>4978</v>
      </c>
      <c r="R4045">
        <v>5.2449999999999997E-2</v>
      </c>
    </row>
    <row r="4046" spans="17:18">
      <c r="Q4046" t="s">
        <v>4979</v>
      </c>
      <c r="R4046">
        <v>0.12845000000000001</v>
      </c>
    </row>
    <row r="4047" spans="17:18">
      <c r="Q4047" t="s">
        <v>4980</v>
      </c>
      <c r="R4047">
        <v>2.5000000000000001E-2</v>
      </c>
    </row>
    <row r="4048" spans="17:18">
      <c r="Q4048" t="s">
        <v>4981</v>
      </c>
      <c r="R4048">
        <v>4.4549999999999999E-2</v>
      </c>
    </row>
    <row r="4049" spans="17:18">
      <c r="Q4049" t="s">
        <v>4982</v>
      </c>
      <c r="R4049">
        <v>4.0640000000000003E-2</v>
      </c>
    </row>
    <row r="4050" spans="17:18">
      <c r="Q4050" t="s">
        <v>4983</v>
      </c>
      <c r="R4050">
        <v>9.1240000000000002E-2</v>
      </c>
    </row>
    <row r="4051" spans="17:18">
      <c r="Q4051" t="s">
        <v>4984</v>
      </c>
      <c r="R4051">
        <v>0.37468000000000001</v>
      </c>
    </row>
    <row r="4052" spans="17:18">
      <c r="Q4052" t="s">
        <v>4985</v>
      </c>
      <c r="R4052">
        <v>3.3250000000000002E-2</v>
      </c>
    </row>
    <row r="4053" spans="17:18">
      <c r="Q4053" t="s">
        <v>4986</v>
      </c>
      <c r="R4053">
        <v>4.2459999999999998E-2</v>
      </c>
    </row>
    <row r="4054" spans="17:18">
      <c r="Q4054" t="s">
        <v>4987</v>
      </c>
      <c r="R4054">
        <v>0.10365000000000001</v>
      </c>
    </row>
    <row r="4055" spans="17:18">
      <c r="Q4055" t="s">
        <v>4988</v>
      </c>
      <c r="R4055">
        <v>2.6460000000000001E-2</v>
      </c>
    </row>
    <row r="4056" spans="17:18">
      <c r="Q4056" t="s">
        <v>4989</v>
      </c>
      <c r="R4056">
        <v>4.2979999999999997E-2</v>
      </c>
    </row>
    <row r="4057" spans="17:18">
      <c r="Q4057" t="s">
        <v>4990</v>
      </c>
      <c r="R4057">
        <v>7.775E-2</v>
      </c>
    </row>
    <row r="4058" spans="17:18">
      <c r="Q4058" t="s">
        <v>4991</v>
      </c>
      <c r="R4058">
        <v>5.212E-2</v>
      </c>
    </row>
    <row r="4059" spans="17:18">
      <c r="Q4059" t="s">
        <v>4992</v>
      </c>
      <c r="R4059">
        <v>4.1570000000000003E-2</v>
      </c>
    </row>
    <row r="4060" spans="17:18">
      <c r="Q4060" t="s">
        <v>4993</v>
      </c>
      <c r="R4060">
        <v>4.9759999999999999E-2</v>
      </c>
    </row>
    <row r="4061" spans="17:18">
      <c r="Q4061" t="s">
        <v>4994</v>
      </c>
      <c r="R4061">
        <v>3.117E-2</v>
      </c>
    </row>
    <row r="4062" spans="17:18">
      <c r="Q4062" t="s">
        <v>4995</v>
      </c>
      <c r="R4062">
        <v>2.7910000000000001E-2</v>
      </c>
    </row>
    <row r="4063" spans="17:18">
      <c r="Q4063" t="s">
        <v>4996</v>
      </c>
      <c r="R4063">
        <v>6.053E-2</v>
      </c>
    </row>
    <row r="4064" spans="17:18">
      <c r="Q4064" t="s">
        <v>4997</v>
      </c>
      <c r="R4064">
        <v>2.0549999999999999E-2</v>
      </c>
    </row>
    <row r="4065" spans="17:18">
      <c r="Q4065" t="s">
        <v>4998</v>
      </c>
      <c r="R4065">
        <v>3.3309999999999999E-2</v>
      </c>
    </row>
    <row r="4066" spans="17:18">
      <c r="Q4066" t="s">
        <v>4999</v>
      </c>
      <c r="R4066">
        <v>2.197E-2</v>
      </c>
    </row>
    <row r="4067" spans="17:18">
      <c r="Q4067" t="s">
        <v>5000</v>
      </c>
      <c r="R4067">
        <v>1.9099999999999999E-2</v>
      </c>
    </row>
    <row r="4068" spans="17:18">
      <c r="Q4068" t="s">
        <v>5001</v>
      </c>
      <c r="R4068">
        <v>9.0069999999999997E-2</v>
      </c>
    </row>
    <row r="4069" spans="17:18">
      <c r="Q4069" t="s">
        <v>5002</v>
      </c>
      <c r="R4069">
        <v>2.3980000000000001E-2</v>
      </c>
    </row>
    <row r="4070" spans="17:18">
      <c r="Q4070" t="s">
        <v>5003</v>
      </c>
      <c r="R4070">
        <v>7.3620000000000005E-2</v>
      </c>
    </row>
    <row r="4071" spans="17:18">
      <c r="Q4071" t="s">
        <v>5004</v>
      </c>
      <c r="R4071">
        <v>4.4310000000000002E-2</v>
      </c>
    </row>
    <row r="4072" spans="17:18">
      <c r="Q4072" t="s">
        <v>5005</v>
      </c>
      <c r="R4072">
        <v>2.683E-2</v>
      </c>
    </row>
    <row r="4073" spans="17:18">
      <c r="Q4073" t="s">
        <v>5006</v>
      </c>
      <c r="R4073">
        <v>7.9020000000000007E-2</v>
      </c>
    </row>
    <row r="4074" spans="17:18">
      <c r="Q4074" t="s">
        <v>5007</v>
      </c>
      <c r="R4074">
        <v>2.1139999999999999E-2</v>
      </c>
    </row>
    <row r="4075" spans="17:18">
      <c r="Q4075" t="s">
        <v>5008</v>
      </c>
      <c r="R4075">
        <v>0.20852999999999999</v>
      </c>
    </row>
    <row r="4076" spans="17:18">
      <c r="Q4076" t="s">
        <v>5009</v>
      </c>
      <c r="R4076">
        <v>3.2419999999999997E-2</v>
      </c>
    </row>
    <row r="4077" spans="17:18">
      <c r="Q4077" t="s">
        <v>5010</v>
      </c>
      <c r="R4077">
        <v>2.9499999999999998E-2</v>
      </c>
    </row>
    <row r="4078" spans="17:18">
      <c r="Q4078" t="s">
        <v>5011</v>
      </c>
      <c r="R4078">
        <v>1.503E-2</v>
      </c>
    </row>
    <row r="4079" spans="17:18">
      <c r="Q4079" t="s">
        <v>5012</v>
      </c>
      <c r="R4079">
        <v>1.503E-2</v>
      </c>
    </row>
    <row r="4080" spans="17:18">
      <c r="Q4080" t="s">
        <v>5013</v>
      </c>
      <c r="R4080">
        <v>0.32591999999999999</v>
      </c>
    </row>
    <row r="4081" spans="17:18">
      <c r="Q4081" t="s">
        <v>5014</v>
      </c>
      <c r="R4081">
        <v>4.8930000000000001E-2</v>
      </c>
    </row>
    <row r="4082" spans="17:18">
      <c r="Q4082" t="s">
        <v>5015</v>
      </c>
      <c r="R4082">
        <v>0.17272999999999999</v>
      </c>
    </row>
    <row r="4083" spans="17:18">
      <c r="Q4083" t="s">
        <v>5016</v>
      </c>
      <c r="R4083">
        <v>3.6819999999999999E-2</v>
      </c>
    </row>
    <row r="4084" spans="17:18">
      <c r="Q4084" t="s">
        <v>5017</v>
      </c>
      <c r="R4084">
        <v>5.7439999999999998E-2</v>
      </c>
    </row>
    <row r="4085" spans="17:18">
      <c r="Q4085" t="s">
        <v>5018</v>
      </c>
      <c r="R4085">
        <v>7.9890000000000003E-2</v>
      </c>
    </row>
    <row r="4086" spans="17:18">
      <c r="Q4086" t="s">
        <v>5019</v>
      </c>
      <c r="R4086">
        <v>2.368E-2</v>
      </c>
    </row>
    <row r="4087" spans="17:18">
      <c r="Q4087" t="s">
        <v>5020</v>
      </c>
      <c r="R4087">
        <v>0.31577</v>
      </c>
    </row>
    <row r="4088" spans="17:18">
      <c r="Q4088" t="s">
        <v>5021</v>
      </c>
      <c r="R4088">
        <v>0.32751999999999998</v>
      </c>
    </row>
    <row r="4089" spans="17:18">
      <c r="Q4089" t="s">
        <v>5022</v>
      </c>
      <c r="R4089">
        <v>4.0390000000000002E-2</v>
      </c>
    </row>
    <row r="4090" spans="17:18">
      <c r="Q4090" t="s">
        <v>5023</v>
      </c>
      <c r="R4090">
        <v>1.9949999999999999E-2</v>
      </c>
    </row>
    <row r="4091" spans="17:18">
      <c r="Q4091" t="s">
        <v>5024</v>
      </c>
      <c r="R4091">
        <v>0.30275999999999997</v>
      </c>
    </row>
    <row r="4092" spans="17:18">
      <c r="Q4092" t="s">
        <v>5025</v>
      </c>
      <c r="R4092">
        <v>108.08654</v>
      </c>
    </row>
    <row r="4093" spans="17:18">
      <c r="Q4093" t="s">
        <v>5026</v>
      </c>
      <c r="R4093">
        <v>149.19891000000001</v>
      </c>
    </row>
    <row r="4094" spans="17:18">
      <c r="Q4094" t="s">
        <v>5027</v>
      </c>
      <c r="R4094">
        <v>274.81125000000003</v>
      </c>
    </row>
    <row r="4095" spans="17:18">
      <c r="Q4095" t="s">
        <v>5028</v>
      </c>
      <c r="R4095">
        <v>199.29728</v>
      </c>
    </row>
    <row r="4096" spans="17:18">
      <c r="Q4096" t="s">
        <v>5029</v>
      </c>
      <c r="R4096">
        <v>615.65069000000005</v>
      </c>
    </row>
    <row r="4097" spans="17:18">
      <c r="Q4097" t="s">
        <v>5030</v>
      </c>
      <c r="R4097">
        <v>393.68074000000001</v>
      </c>
    </row>
    <row r="4098" spans="17:18">
      <c r="Q4098" t="s">
        <v>5031</v>
      </c>
      <c r="R4098">
        <v>153.28815</v>
      </c>
    </row>
    <row r="4099" spans="17:18">
      <c r="Q4099" t="s">
        <v>5032</v>
      </c>
      <c r="R4099">
        <v>437.15562999999997</v>
      </c>
    </row>
    <row r="4100" spans="17:18">
      <c r="Q4100" t="s">
        <v>5033</v>
      </c>
      <c r="R4100">
        <v>179.47403</v>
      </c>
    </row>
    <row r="4101" spans="17:18">
      <c r="Q4101" t="s">
        <v>5034</v>
      </c>
      <c r="R4101">
        <v>209.43794</v>
      </c>
    </row>
    <row r="4102" spans="17:18">
      <c r="Q4102" t="s">
        <v>5035</v>
      </c>
      <c r="R4102">
        <v>278.61405000000002</v>
      </c>
    </row>
    <row r="4103" spans="17:18">
      <c r="Q4103" t="s">
        <v>5036</v>
      </c>
      <c r="R4103">
        <v>653.74243000000001</v>
      </c>
    </row>
    <row r="4104" spans="17:18">
      <c r="Q4104" t="s">
        <v>5037</v>
      </c>
      <c r="R4104">
        <v>263.24444</v>
      </c>
    </row>
    <row r="4105" spans="17:18">
      <c r="Q4105" t="s">
        <v>5038</v>
      </c>
      <c r="R4105">
        <v>157.77264</v>
      </c>
    </row>
    <row r="4106" spans="17:18">
      <c r="Q4106" t="s">
        <v>5039</v>
      </c>
      <c r="R4106">
        <v>207.80949999999999</v>
      </c>
    </row>
    <row r="4107" spans="17:18">
      <c r="Q4107" t="s">
        <v>5040</v>
      </c>
      <c r="R4107">
        <v>127.72658999999999</v>
      </c>
    </row>
    <row r="4108" spans="17:18">
      <c r="Q4108" t="s">
        <v>5041</v>
      </c>
      <c r="R4108">
        <v>506.95930999999996</v>
      </c>
    </row>
    <row r="4109" spans="17:18">
      <c r="Q4109" t="s">
        <v>5042</v>
      </c>
      <c r="R4109">
        <v>103.59187</v>
      </c>
    </row>
    <row r="4110" spans="17:18">
      <c r="Q4110" t="s">
        <v>5043</v>
      </c>
      <c r="R4110">
        <v>164.58420000000001</v>
      </c>
    </row>
    <row r="4111" spans="17:18">
      <c r="Q4111" t="s">
        <v>5044</v>
      </c>
      <c r="R4111">
        <v>145.79033999999999</v>
      </c>
    </row>
    <row r="4112" spans="17:18">
      <c r="Q4112" t="s">
        <v>5045</v>
      </c>
      <c r="R4112">
        <v>163.24016</v>
      </c>
    </row>
    <row r="4113" spans="17:18">
      <c r="Q4113" t="s">
        <v>5046</v>
      </c>
      <c r="R4113">
        <v>174.65111999999999</v>
      </c>
    </row>
    <row r="4114" spans="17:18">
      <c r="Q4114" t="s">
        <v>5047</v>
      </c>
      <c r="R4114">
        <v>148.94834</v>
      </c>
    </row>
    <row r="4115" spans="17:18">
      <c r="Q4115" t="s">
        <v>5048</v>
      </c>
      <c r="R4115">
        <v>101.34207000000001</v>
      </c>
    </row>
    <row r="4116" spans="17:18">
      <c r="Q4116" t="s">
        <v>5049</v>
      </c>
      <c r="R4116">
        <v>260.60134999999997</v>
      </c>
    </row>
    <row r="4117" spans="17:18">
      <c r="Q4117" t="s">
        <v>5050</v>
      </c>
      <c r="R4117">
        <v>307.60732000000002</v>
      </c>
    </row>
    <row r="4118" spans="17:18">
      <c r="Q4118" t="s">
        <v>5051</v>
      </c>
      <c r="R4118">
        <v>216.53209000000001</v>
      </c>
    </row>
    <row r="4119" spans="17:18">
      <c r="Q4119" t="s">
        <v>5052</v>
      </c>
      <c r="R4119">
        <v>151.52159</v>
      </c>
    </row>
    <row r="4120" spans="17:18">
      <c r="Q4120" t="s">
        <v>5053</v>
      </c>
      <c r="R4120">
        <v>108.46696</v>
      </c>
    </row>
    <row r="4121" spans="17:18">
      <c r="Q4121" t="s">
        <v>5054</v>
      </c>
      <c r="R4121">
        <v>867.61527999999998</v>
      </c>
    </row>
    <row r="4122" spans="17:18">
      <c r="Q4122" t="s">
        <v>5055</v>
      </c>
      <c r="R4122">
        <v>122.18839000000001</v>
      </c>
    </row>
    <row r="4123" spans="17:18">
      <c r="Q4123" t="s">
        <v>5056</v>
      </c>
      <c r="R4123">
        <v>486.93801999999999</v>
      </c>
    </row>
    <row r="4124" spans="17:18">
      <c r="Q4124" t="s">
        <v>5057</v>
      </c>
      <c r="R4124">
        <v>182.15798999999998</v>
      </c>
    </row>
    <row r="4125" spans="17:18">
      <c r="Q4125" t="s">
        <v>5058</v>
      </c>
      <c r="R4125">
        <v>519.02323000000001</v>
      </c>
    </row>
    <row r="4126" spans="17:18">
      <c r="Q4126" t="s">
        <v>5059</v>
      </c>
      <c r="R4126">
        <v>124.39163000000001</v>
      </c>
    </row>
    <row r="4127" spans="17:18">
      <c r="Q4127" t="s">
        <v>5060</v>
      </c>
      <c r="R4127">
        <v>120.86490999999999</v>
      </c>
    </row>
    <row r="4128" spans="17:18">
      <c r="Q4128" t="s">
        <v>5061</v>
      </c>
      <c r="R4128">
        <v>113.71451</v>
      </c>
    </row>
    <row r="4129" spans="17:18">
      <c r="Q4129" t="s">
        <v>5062</v>
      </c>
      <c r="R4129">
        <v>113.03446</v>
      </c>
    </row>
    <row r="4130" spans="17:18">
      <c r="Q4130" t="s">
        <v>5063</v>
      </c>
      <c r="R4130">
        <v>42.035209999999999</v>
      </c>
    </row>
    <row r="4131" spans="17:18">
      <c r="Q4131" t="s">
        <v>5064</v>
      </c>
      <c r="R4131">
        <v>158.65099999999998</v>
      </c>
    </row>
    <row r="4132" spans="17:18">
      <c r="Q4132" t="s">
        <v>5065</v>
      </c>
      <c r="R4132">
        <v>129.66319000000001</v>
      </c>
    </row>
    <row r="4133" spans="17:18">
      <c r="Q4133" t="s">
        <v>5066</v>
      </c>
      <c r="R4133">
        <v>259.33855</v>
      </c>
    </row>
    <row r="4134" spans="17:18">
      <c r="Q4134" t="s">
        <v>5067</v>
      </c>
      <c r="R4134">
        <v>259.06815</v>
      </c>
    </row>
    <row r="4135" spans="17:18">
      <c r="Q4135" t="s">
        <v>5068</v>
      </c>
      <c r="R4135">
        <v>210.72820999999999</v>
      </c>
    </row>
    <row r="4136" spans="17:18">
      <c r="Q4136" t="s">
        <v>5069</v>
      </c>
      <c r="R4136">
        <v>230.71959000000001</v>
      </c>
    </row>
    <row r="4137" spans="17:18">
      <c r="Q4137" t="s">
        <v>5070</v>
      </c>
      <c r="R4137">
        <v>196.42920000000001</v>
      </c>
    </row>
    <row r="4138" spans="17:18">
      <c r="Q4138" t="s">
        <v>5071</v>
      </c>
      <c r="R4138">
        <v>295.42791</v>
      </c>
    </row>
    <row r="4139" spans="17:18">
      <c r="Q4139" t="s">
        <v>5072</v>
      </c>
      <c r="R4139">
        <v>304.36264999999997</v>
      </c>
    </row>
    <row r="4140" spans="17:18">
      <c r="Q4140" t="s">
        <v>5073</v>
      </c>
      <c r="R4140">
        <v>298.87720000000002</v>
      </c>
    </row>
    <row r="4141" spans="17:18">
      <c r="Q4141" t="s">
        <v>5074</v>
      </c>
      <c r="R4141">
        <v>220.26661000000001</v>
      </c>
    </row>
    <row r="4142" spans="17:18">
      <c r="Q4142" t="s">
        <v>5075</v>
      </c>
      <c r="R4142">
        <v>185.50984</v>
      </c>
    </row>
    <row r="4143" spans="17:18">
      <c r="Q4143" t="s">
        <v>5076</v>
      </c>
      <c r="R4143">
        <v>201.56581</v>
      </c>
    </row>
    <row r="4144" spans="17:18">
      <c r="Q4144" t="s">
        <v>5077</v>
      </c>
      <c r="R4144">
        <v>192.22781000000001</v>
      </c>
    </row>
    <row r="4145" spans="17:18">
      <c r="Q4145" t="s">
        <v>5078</v>
      </c>
      <c r="R4145">
        <v>151.01069000000001</v>
      </c>
    </row>
    <row r="4146" spans="17:18">
      <c r="Q4146" t="s">
        <v>5079</v>
      </c>
      <c r="R4146">
        <v>219.59179999999998</v>
      </c>
    </row>
    <row r="4147" spans="17:18">
      <c r="Q4147" t="s">
        <v>5080</v>
      </c>
      <c r="R4147">
        <v>175.97067999999999</v>
      </c>
    </row>
    <row r="4148" spans="17:18">
      <c r="Q4148" t="s">
        <v>5081</v>
      </c>
      <c r="R4148">
        <v>262.42318</v>
      </c>
    </row>
    <row r="4149" spans="17:18">
      <c r="Q4149" t="s">
        <v>5082</v>
      </c>
      <c r="R4149">
        <v>298.85840999999999</v>
      </c>
    </row>
    <row r="4150" spans="17:18">
      <c r="Q4150" t="s">
        <v>5083</v>
      </c>
      <c r="R4150">
        <v>256.22116</v>
      </c>
    </row>
    <row r="4151" spans="17:18">
      <c r="Q4151" t="s">
        <v>5084</v>
      </c>
      <c r="R4151">
        <v>120.24095999999999</v>
      </c>
    </row>
    <row r="4152" spans="17:18">
      <c r="Q4152" t="s">
        <v>5085</v>
      </c>
      <c r="R4152">
        <v>162.07774000000001</v>
      </c>
    </row>
    <row r="4153" spans="17:18">
      <c r="Q4153" t="s">
        <v>5086</v>
      </c>
      <c r="R4153">
        <v>144.47916000000001</v>
      </c>
    </row>
    <row r="4154" spans="17:18">
      <c r="Q4154" t="s">
        <v>5087</v>
      </c>
      <c r="R4154">
        <v>122.77213</v>
      </c>
    </row>
    <row r="4155" spans="17:18">
      <c r="Q4155" t="s">
        <v>5088</v>
      </c>
      <c r="R4155">
        <v>88.363500000000002</v>
      </c>
    </row>
    <row r="4156" spans="17:18">
      <c r="Q4156" t="s">
        <v>5089</v>
      </c>
      <c r="R4156">
        <v>129.2697</v>
      </c>
    </row>
    <row r="4157" spans="17:18">
      <c r="Q4157" t="s">
        <v>5090</v>
      </c>
      <c r="R4157">
        <v>877.18885999999998</v>
      </c>
    </row>
    <row r="4158" spans="17:18">
      <c r="Q4158" t="s">
        <v>5091</v>
      </c>
      <c r="R4158">
        <v>42.035209999999999</v>
      </c>
    </row>
    <row r="4159" spans="17:18">
      <c r="Q4159" t="s">
        <v>5092</v>
      </c>
      <c r="R4159">
        <v>121.96025</v>
      </c>
    </row>
    <row r="4160" spans="17:18">
      <c r="Q4160" t="s">
        <v>5093</v>
      </c>
      <c r="R4160">
        <v>113.47091</v>
      </c>
    </row>
    <row r="4161" spans="17:18">
      <c r="Q4161" t="s">
        <v>5094</v>
      </c>
      <c r="R4161">
        <v>252.53099</v>
      </c>
    </row>
    <row r="4162" spans="17:18">
      <c r="Q4162" t="s">
        <v>5095</v>
      </c>
      <c r="R4162">
        <v>106.17399</v>
      </c>
    </row>
    <row r="4163" spans="17:18">
      <c r="Q4163" t="s">
        <v>5096</v>
      </c>
      <c r="R4163">
        <v>185.3921</v>
      </c>
    </row>
    <row r="4164" spans="17:18">
      <c r="Q4164" t="s">
        <v>5097</v>
      </c>
      <c r="R4164">
        <v>42.158699999999996</v>
      </c>
    </row>
    <row r="4165" spans="17:18">
      <c r="Q4165" t="s">
        <v>5098</v>
      </c>
      <c r="R4165">
        <v>339.96177</v>
      </c>
    </row>
    <row r="4166" spans="17:18">
      <c r="Q4166" t="s">
        <v>5099</v>
      </c>
      <c r="R4166">
        <v>102.04111999999999</v>
      </c>
    </row>
    <row r="4167" spans="17:18">
      <c r="Q4167" t="s">
        <v>5100</v>
      </c>
      <c r="R4167">
        <v>150.65854999999999</v>
      </c>
    </row>
    <row r="4168" spans="17:18">
      <c r="Q4168" t="s">
        <v>5101</v>
      </c>
      <c r="R4168">
        <v>782.74161000000004</v>
      </c>
    </row>
    <row r="4169" spans="17:18">
      <c r="Q4169" t="s">
        <v>5102</v>
      </c>
      <c r="R4169">
        <v>557.33041000000003</v>
      </c>
    </row>
    <row r="4170" spans="17:18">
      <c r="Q4170" t="s">
        <v>5103</v>
      </c>
      <c r="R4170">
        <v>344.35957000000002</v>
      </c>
    </row>
    <row r="4171" spans="17:18">
      <c r="Q4171" t="s">
        <v>5104</v>
      </c>
      <c r="R4171">
        <v>248.36589999999998</v>
      </c>
    </row>
    <row r="4172" spans="17:18">
      <c r="Q4172" t="s">
        <v>5105</v>
      </c>
      <c r="R4172">
        <v>227.77333999999999</v>
      </c>
    </row>
    <row r="4173" spans="17:18">
      <c r="Q4173" t="s">
        <v>5106</v>
      </c>
      <c r="R4173">
        <v>366.29102</v>
      </c>
    </row>
    <row r="4174" spans="17:18">
      <c r="Q4174" t="s">
        <v>5107</v>
      </c>
      <c r="R4174">
        <v>215.55189999999999</v>
      </c>
    </row>
    <row r="4175" spans="17:18">
      <c r="Q4175" t="s">
        <v>5108</v>
      </c>
      <c r="R4175">
        <v>320.14822999999996</v>
      </c>
    </row>
    <row r="4176" spans="17:18">
      <c r="Q4176" t="s">
        <v>5109</v>
      </c>
      <c r="R4176">
        <v>335.87457000000001</v>
      </c>
    </row>
    <row r="4177" spans="17:18">
      <c r="Q4177" t="s">
        <v>5110</v>
      </c>
      <c r="R4177">
        <v>209.23424</v>
      </c>
    </row>
    <row r="4178" spans="17:18">
      <c r="Q4178" t="s">
        <v>5111</v>
      </c>
      <c r="R4178">
        <v>274.59679</v>
      </c>
    </row>
    <row r="4179" spans="17:18">
      <c r="Q4179" t="s">
        <v>5112</v>
      </c>
      <c r="R4179">
        <v>217.70563000000001</v>
      </c>
    </row>
    <row r="4180" spans="17:18">
      <c r="Q4180" t="s">
        <v>5113</v>
      </c>
      <c r="R4180">
        <v>217.67515</v>
      </c>
    </row>
    <row r="4181" spans="17:18">
      <c r="Q4181" t="s">
        <v>5114</v>
      </c>
      <c r="R4181">
        <v>151.88489999999999</v>
      </c>
    </row>
    <row r="4182" spans="17:18">
      <c r="Q4182" t="s">
        <v>5115</v>
      </c>
      <c r="R4182">
        <v>92.109139999999996</v>
      </c>
    </row>
    <row r="4183" spans="17:18">
      <c r="Q4183" t="s">
        <v>5116</v>
      </c>
      <c r="R4183">
        <v>304.92345999999998</v>
      </c>
    </row>
    <row r="4184" spans="17:18">
      <c r="Q4184" t="s">
        <v>5117</v>
      </c>
      <c r="R4184">
        <v>154.45083</v>
      </c>
    </row>
    <row r="4185" spans="17:18">
      <c r="Q4185" t="s">
        <v>5118</v>
      </c>
      <c r="R4185">
        <v>135.41521</v>
      </c>
    </row>
    <row r="4186" spans="17:18">
      <c r="Q4186" t="s">
        <v>5119</v>
      </c>
      <c r="R4186">
        <v>183.26213999999999</v>
      </c>
    </row>
    <row r="4187" spans="17:18">
      <c r="Q4187" t="s">
        <v>5120</v>
      </c>
      <c r="R4187">
        <v>46.247300000000003</v>
      </c>
    </row>
    <row r="4188" spans="17:18">
      <c r="Q4188" t="s">
        <v>5121</v>
      </c>
      <c r="R4188">
        <v>565.39175999999998</v>
      </c>
    </row>
    <row r="4189" spans="17:18">
      <c r="Q4189" t="s">
        <v>5122</v>
      </c>
      <c r="R4189">
        <v>165.76239000000001</v>
      </c>
    </row>
    <row r="4190" spans="17:18">
      <c r="Q4190" t="s">
        <v>5123</v>
      </c>
      <c r="R4190">
        <v>145.6909</v>
      </c>
    </row>
    <row r="4191" spans="17:18">
      <c r="Q4191" t="s">
        <v>5124</v>
      </c>
      <c r="R4191">
        <v>216.11519999999999</v>
      </c>
    </row>
    <row r="4192" spans="17:18">
      <c r="Q4192" t="s">
        <v>5125</v>
      </c>
      <c r="R4192">
        <v>136.53200999999999</v>
      </c>
    </row>
    <row r="4193" spans="17:18">
      <c r="Q4193" t="s">
        <v>5126</v>
      </c>
      <c r="R4193">
        <v>146.40817000000001</v>
      </c>
    </row>
    <row r="4194" spans="17:18">
      <c r="Q4194" t="s">
        <v>5127</v>
      </c>
      <c r="R4194">
        <v>154.55942999999999</v>
      </c>
    </row>
    <row r="4195" spans="17:18">
      <c r="Q4195" t="s">
        <v>5128</v>
      </c>
      <c r="R4195">
        <v>409.67444</v>
      </c>
    </row>
    <row r="4196" spans="17:18">
      <c r="Q4196" t="s">
        <v>5129</v>
      </c>
      <c r="R4196">
        <v>103.74084999999999</v>
      </c>
    </row>
    <row r="4197" spans="17:18">
      <c r="Q4197" t="s">
        <v>5130</v>
      </c>
      <c r="R4197">
        <v>1054.6046100000001</v>
      </c>
    </row>
    <row r="4198" spans="17:18">
      <c r="Q4198" t="s">
        <v>5131</v>
      </c>
      <c r="R4198">
        <v>413.71627999999998</v>
      </c>
    </row>
    <row r="4199" spans="17:18">
      <c r="Q4199" t="s">
        <v>5132</v>
      </c>
      <c r="R4199">
        <v>121.95874000000001</v>
      </c>
    </row>
    <row r="4200" spans="17:18">
      <c r="Q4200" t="s">
        <v>5133</v>
      </c>
      <c r="R4200">
        <v>47.180900000000001</v>
      </c>
    </row>
    <row r="4201" spans="17:18">
      <c r="Q4201" t="s">
        <v>5134</v>
      </c>
      <c r="R4201">
        <v>194.74896999999999</v>
      </c>
    </row>
    <row r="4202" spans="17:18">
      <c r="Q4202" t="s">
        <v>5135</v>
      </c>
      <c r="R4202">
        <v>242.96126999999998</v>
      </c>
    </row>
    <row r="4203" spans="17:18">
      <c r="Q4203" t="s">
        <v>5136</v>
      </c>
      <c r="R4203">
        <v>204.51000000000002</v>
      </c>
    </row>
    <row r="4204" spans="17:18">
      <c r="Q4204" t="s">
        <v>5137</v>
      </c>
      <c r="R4204">
        <v>317.81139999999999</v>
      </c>
    </row>
    <row r="4205" spans="17:18">
      <c r="Q4205" t="s">
        <v>5138</v>
      </c>
      <c r="R4205">
        <v>360.1</v>
      </c>
    </row>
    <row r="4206" spans="17:18">
      <c r="Q4206" t="s">
        <v>5139</v>
      </c>
      <c r="R4206">
        <v>255.8</v>
      </c>
    </row>
    <row r="4207" spans="17:18">
      <c r="Q4207" t="s">
        <v>5140</v>
      </c>
      <c r="R4207">
        <v>299.75454999999999</v>
      </c>
    </row>
    <row r="4208" spans="17:18">
      <c r="Q4208" t="s">
        <v>5141</v>
      </c>
      <c r="R4208">
        <v>220.75356999999997</v>
      </c>
    </row>
    <row r="4209" spans="17:18">
      <c r="Q4209" t="s">
        <v>5142</v>
      </c>
      <c r="R4209">
        <v>237.10978</v>
      </c>
    </row>
    <row r="4210" spans="17:18">
      <c r="Q4210" t="s">
        <v>5143</v>
      </c>
      <c r="R4210">
        <v>380.50000000000006</v>
      </c>
    </row>
    <row r="4211" spans="17:18">
      <c r="Q4211" t="s">
        <v>5144</v>
      </c>
      <c r="R4211">
        <v>87.221279999999993</v>
      </c>
    </row>
    <row r="4212" spans="17:18">
      <c r="Q4212" t="s">
        <v>5145</v>
      </c>
      <c r="R4212">
        <v>352.92063000000002</v>
      </c>
    </row>
    <row r="4213" spans="17:18">
      <c r="Q4213" t="s">
        <v>5146</v>
      </c>
      <c r="R4213">
        <v>102.81111000000001</v>
      </c>
    </row>
    <row r="4214" spans="17:18">
      <c r="Q4214" t="s">
        <v>5147</v>
      </c>
      <c r="R4214">
        <v>145.94747999999998</v>
      </c>
    </row>
    <row r="4215" spans="17:18">
      <c r="Q4215" t="s">
        <v>5148</v>
      </c>
      <c r="R4215">
        <v>166.42053000000001</v>
      </c>
    </row>
    <row r="4216" spans="17:18">
      <c r="Q4216" t="s">
        <v>5149</v>
      </c>
      <c r="R4216">
        <v>257.06148999999999</v>
      </c>
    </row>
    <row r="4217" spans="17:18">
      <c r="Q4217" t="s">
        <v>5150</v>
      </c>
      <c r="R4217">
        <v>533.79999999999995</v>
      </c>
    </row>
    <row r="4218" spans="17:18">
      <c r="Q4218" t="s">
        <v>5151</v>
      </c>
      <c r="R4218">
        <v>299.99328000000003</v>
      </c>
    </row>
    <row r="4219" spans="17:18">
      <c r="Q4219" t="s">
        <v>5152</v>
      </c>
      <c r="R4219">
        <v>397.7</v>
      </c>
    </row>
    <row r="4220" spans="17:18">
      <c r="Q4220" t="s">
        <v>5153</v>
      </c>
      <c r="R4220">
        <v>547.26</v>
      </c>
    </row>
    <row r="4221" spans="17:18">
      <c r="Q4221" t="s">
        <v>5154</v>
      </c>
      <c r="R4221">
        <v>136.28299999999999</v>
      </c>
    </row>
    <row r="4222" spans="17:18">
      <c r="Q4222" t="s">
        <v>5155</v>
      </c>
      <c r="R4222">
        <v>109.77519000000001</v>
      </c>
    </row>
    <row r="4223" spans="17:18">
      <c r="Q4223" t="s">
        <v>5156</v>
      </c>
      <c r="R4223">
        <v>194.91183999999998</v>
      </c>
    </row>
    <row r="4224" spans="17:18">
      <c r="Q4224" t="s">
        <v>5157</v>
      </c>
      <c r="R4224">
        <v>156.84</v>
      </c>
    </row>
    <row r="4225" spans="17:18">
      <c r="Q4225" t="s">
        <v>5158</v>
      </c>
      <c r="R4225">
        <v>164.98558</v>
      </c>
    </row>
    <row r="4226" spans="17:18">
      <c r="Q4226" t="s">
        <v>5159</v>
      </c>
      <c r="R4226">
        <v>148.96353000000002</v>
      </c>
    </row>
    <row r="4227" spans="17:18">
      <c r="Q4227" t="s">
        <v>5160</v>
      </c>
      <c r="R4227">
        <v>97.056629999999998</v>
      </c>
    </row>
    <row r="4228" spans="17:18">
      <c r="Q4228" t="s">
        <v>5161</v>
      </c>
      <c r="R4228">
        <v>107.32184000000001</v>
      </c>
    </row>
    <row r="4229" spans="17:18">
      <c r="Q4229" t="s">
        <v>5162</v>
      </c>
      <c r="R4229">
        <v>123.98138</v>
      </c>
    </row>
    <row r="4230" spans="17:18">
      <c r="Q4230" t="s">
        <v>5163</v>
      </c>
      <c r="R4230">
        <v>122.21041</v>
      </c>
    </row>
    <row r="4231" spans="17:18">
      <c r="Q4231" t="s">
        <v>5164</v>
      </c>
      <c r="R4231">
        <v>109.76148999999999</v>
      </c>
    </row>
    <row r="4232" spans="17:18">
      <c r="Q4232" t="s">
        <v>5165</v>
      </c>
      <c r="R4232">
        <v>114.80604000000001</v>
      </c>
    </row>
    <row r="4233" spans="17:18">
      <c r="Q4233" t="s">
        <v>5166</v>
      </c>
      <c r="R4233">
        <v>150.96724</v>
      </c>
    </row>
    <row r="4234" spans="17:18">
      <c r="Q4234" t="s">
        <v>5167</v>
      </c>
      <c r="R4234">
        <v>204.76797999999999</v>
      </c>
    </row>
    <row r="4235" spans="17:18">
      <c r="Q4235" t="s">
        <v>5168</v>
      </c>
      <c r="R4235">
        <v>225.90234000000001</v>
      </c>
    </row>
    <row r="4236" spans="17:18">
      <c r="Q4236" t="s">
        <v>5169</v>
      </c>
      <c r="R4236">
        <v>199.59708000000001</v>
      </c>
    </row>
    <row r="4237" spans="17:18">
      <c r="Q4237" t="s">
        <v>5170</v>
      </c>
      <c r="R4237">
        <v>116.22127</v>
      </c>
    </row>
    <row r="4238" spans="17:18">
      <c r="Q4238" t="s">
        <v>5171</v>
      </c>
      <c r="R4238">
        <v>38.3947</v>
      </c>
    </row>
    <row r="4239" spans="17:18">
      <c r="Q4239" t="s">
        <v>5172</v>
      </c>
      <c r="R4239">
        <v>150.68375</v>
      </c>
    </row>
    <row r="4240" spans="17:18">
      <c r="Q4240" t="s">
        <v>5173</v>
      </c>
      <c r="R4240">
        <v>199.42171999999999</v>
      </c>
    </row>
    <row r="4241" spans="17:18">
      <c r="Q4241" t="s">
        <v>5174</v>
      </c>
      <c r="R4241">
        <v>125.81406</v>
      </c>
    </row>
    <row r="4242" spans="17:18">
      <c r="Q4242" t="s">
        <v>5175</v>
      </c>
      <c r="R4242">
        <v>67.270240000000001</v>
      </c>
    </row>
    <row r="4243" spans="17:18">
      <c r="Q4243" t="s">
        <v>5176</v>
      </c>
      <c r="R4243">
        <v>132.59494000000001</v>
      </c>
    </row>
    <row r="4244" spans="17:18">
      <c r="Q4244" t="s">
        <v>5177</v>
      </c>
      <c r="R4244">
        <v>117.89631</v>
      </c>
    </row>
    <row r="4245" spans="17:18">
      <c r="Q4245" t="s">
        <v>5178</v>
      </c>
      <c r="R4245">
        <v>128.96995999999999</v>
      </c>
    </row>
    <row r="4246" spans="17:18">
      <c r="Q4246" t="s">
        <v>5179</v>
      </c>
      <c r="R4246">
        <v>138.34937000000002</v>
      </c>
    </row>
    <row r="4247" spans="17:18">
      <c r="Q4247" t="s">
        <v>5180</v>
      </c>
      <c r="R4247">
        <v>209.4194</v>
      </c>
    </row>
    <row r="4248" spans="17:18">
      <c r="Q4248" t="s">
        <v>5181</v>
      </c>
      <c r="R4248">
        <v>215.78616</v>
      </c>
    </row>
    <row r="4249" spans="17:18">
      <c r="Q4249" t="s">
        <v>5182</v>
      </c>
      <c r="R4249">
        <v>189.53745000000001</v>
      </c>
    </row>
    <row r="4250" spans="17:18">
      <c r="Q4250" t="s">
        <v>5183</v>
      </c>
      <c r="R4250">
        <v>171.84981999999999</v>
      </c>
    </row>
    <row r="4251" spans="17:18">
      <c r="Q4251" t="s">
        <v>5184</v>
      </c>
      <c r="R4251">
        <v>114.33091</v>
      </c>
    </row>
    <row r="4252" spans="17:18">
      <c r="Q4252" t="s">
        <v>5185</v>
      </c>
      <c r="R4252">
        <v>135.93664999999999</v>
      </c>
    </row>
    <row r="4253" spans="17:18">
      <c r="Q4253" t="s">
        <v>5186</v>
      </c>
      <c r="R4253">
        <v>42.041090000000004</v>
      </c>
    </row>
    <row r="4254" spans="17:18">
      <c r="Q4254" t="s">
        <v>5187</v>
      </c>
      <c r="R4254">
        <v>197.87824000000001</v>
      </c>
    </row>
    <row r="4255" spans="17:18">
      <c r="Q4255" t="s">
        <v>5188</v>
      </c>
      <c r="R4255">
        <v>250.55681000000001</v>
      </c>
    </row>
    <row r="4256" spans="17:18">
      <c r="Q4256" t="s">
        <v>5189</v>
      </c>
      <c r="R4256">
        <v>226.55032</v>
      </c>
    </row>
    <row r="4257" spans="17:18">
      <c r="Q4257" t="s">
        <v>5190</v>
      </c>
      <c r="R4257">
        <v>134.89402000000001</v>
      </c>
    </row>
    <row r="4258" spans="17:18">
      <c r="Q4258" t="s">
        <v>5191</v>
      </c>
      <c r="R4258">
        <v>818.91421000000003</v>
      </c>
    </row>
    <row r="4259" spans="17:18">
      <c r="Q4259" t="s">
        <v>5192</v>
      </c>
      <c r="R4259">
        <v>192.84119999999999</v>
      </c>
    </row>
    <row r="4260" spans="17:18">
      <c r="Q4260" t="s">
        <v>5193</v>
      </c>
      <c r="R4260">
        <v>834.13824999999997</v>
      </c>
    </row>
    <row r="4261" spans="17:18">
      <c r="Q4261" t="s">
        <v>5194</v>
      </c>
      <c r="R4261">
        <v>144.61018999999999</v>
      </c>
    </row>
    <row r="4262" spans="17:18">
      <c r="Q4262" t="s">
        <v>5195</v>
      </c>
      <c r="R4262">
        <v>159.12886</v>
      </c>
    </row>
    <row r="4263" spans="17:18">
      <c r="Q4263" t="s">
        <v>5196</v>
      </c>
      <c r="R4263">
        <v>242.45914000000002</v>
      </c>
    </row>
    <row r="4264" spans="17:18">
      <c r="Q4264" t="s">
        <v>5197</v>
      </c>
      <c r="R4264">
        <v>704.80265999999995</v>
      </c>
    </row>
    <row r="4265" spans="17:18">
      <c r="Q4265" t="s">
        <v>5198</v>
      </c>
      <c r="R4265">
        <v>223.29110999999997</v>
      </c>
    </row>
    <row r="4266" spans="17:18">
      <c r="Q4266" t="s">
        <v>5199</v>
      </c>
      <c r="R4266">
        <v>696.12318000000005</v>
      </c>
    </row>
    <row r="4267" spans="17:18">
      <c r="Q4267" t="s">
        <v>5200</v>
      </c>
      <c r="R4267">
        <v>208.97290999999998</v>
      </c>
    </row>
    <row r="4268" spans="17:18">
      <c r="Q4268" t="s">
        <v>5201</v>
      </c>
      <c r="R4268">
        <v>1060.42173</v>
      </c>
    </row>
    <row r="4269" spans="17:18">
      <c r="Q4269" t="s">
        <v>5202</v>
      </c>
      <c r="R4269">
        <v>1117.17578</v>
      </c>
    </row>
    <row r="4270" spans="17:18">
      <c r="Q4270" t="s">
        <v>5203</v>
      </c>
      <c r="R4270">
        <v>885.64121999999998</v>
      </c>
    </row>
    <row r="4271" spans="17:18">
      <c r="Q4271" t="s">
        <v>5204</v>
      </c>
      <c r="R4271">
        <v>138.29791</v>
      </c>
    </row>
    <row r="4272" spans="17:18">
      <c r="Q4272" t="s">
        <v>5205</v>
      </c>
      <c r="R4272">
        <v>199.63658999999998</v>
      </c>
    </row>
    <row r="4273" spans="17:18">
      <c r="Q4273" t="s">
        <v>5206</v>
      </c>
      <c r="R4273">
        <v>232.79431</v>
      </c>
    </row>
    <row r="4274" spans="17:18">
      <c r="Q4274" t="s">
        <v>5207</v>
      </c>
      <c r="R4274">
        <v>152.69050999999999</v>
      </c>
    </row>
    <row r="4275" spans="17:18">
      <c r="Q4275" t="s">
        <v>5208</v>
      </c>
      <c r="R4275">
        <v>309.70411999999999</v>
      </c>
    </row>
    <row r="4276" spans="17:18">
      <c r="Q4276" t="s">
        <v>5209</v>
      </c>
      <c r="R4276">
        <v>42.158699999999996</v>
      </c>
    </row>
    <row r="4277" spans="17:18">
      <c r="Q4277" t="s">
        <v>5210</v>
      </c>
      <c r="R4277">
        <v>42.158699999999996</v>
      </c>
    </row>
    <row r="4278" spans="17:18">
      <c r="Q4278" t="s">
        <v>5211</v>
      </c>
      <c r="R4278">
        <v>288.56450000000001</v>
      </c>
    </row>
    <row r="4279" spans="17:18">
      <c r="Q4279" t="s">
        <v>5212</v>
      </c>
      <c r="R4279">
        <v>181.65455</v>
      </c>
    </row>
    <row r="4280" spans="17:18">
      <c r="Q4280" t="s">
        <v>5213</v>
      </c>
      <c r="R4280">
        <v>321.86664999999999</v>
      </c>
    </row>
    <row r="4281" spans="17:18">
      <c r="Q4281" t="s">
        <v>5214</v>
      </c>
      <c r="R4281">
        <v>414.71315999999996</v>
      </c>
    </row>
    <row r="4282" spans="17:18">
      <c r="Q4282" t="s">
        <v>5215</v>
      </c>
      <c r="R4282">
        <v>36.654299999999999</v>
      </c>
    </row>
    <row r="4283" spans="17:18">
      <c r="Q4283" t="s">
        <v>5216</v>
      </c>
      <c r="R4283">
        <v>113.89268</v>
      </c>
    </row>
    <row r="4284" spans="17:18">
      <c r="Q4284" t="s">
        <v>5217</v>
      </c>
      <c r="R4284">
        <v>693.29328999999996</v>
      </c>
    </row>
    <row r="4285" spans="17:18">
      <c r="Q4285" t="s">
        <v>5218</v>
      </c>
      <c r="R4285">
        <v>216.04174</v>
      </c>
    </row>
    <row r="4286" spans="17:18">
      <c r="Q4286" t="s">
        <v>5219</v>
      </c>
      <c r="R4286">
        <v>414.70287999999999</v>
      </c>
    </row>
    <row r="4287" spans="17:18">
      <c r="Q4287" t="s">
        <v>5220</v>
      </c>
      <c r="R4287">
        <v>120.87235000000001</v>
      </c>
    </row>
    <row r="4288" spans="17:18">
      <c r="Q4288" t="s">
        <v>5221</v>
      </c>
      <c r="R4288">
        <v>131.95350999999999</v>
      </c>
    </row>
    <row r="4289" spans="17:18">
      <c r="Q4289" t="s">
        <v>5222</v>
      </c>
      <c r="R4289">
        <v>110.66950999999999</v>
      </c>
    </row>
    <row r="4290" spans="17:18">
      <c r="Q4290" t="s">
        <v>5223</v>
      </c>
      <c r="R4290">
        <v>152.58901</v>
      </c>
    </row>
    <row r="4291" spans="17:18">
      <c r="Q4291" t="s">
        <v>5224</v>
      </c>
      <c r="R4291">
        <v>543.16084999999998</v>
      </c>
    </row>
    <row r="4292" spans="17:18">
      <c r="Q4292" t="s">
        <v>5225</v>
      </c>
      <c r="R4292">
        <v>680.02675999999997</v>
      </c>
    </row>
    <row r="4293" spans="17:18">
      <c r="Q4293" t="s">
        <v>5226</v>
      </c>
      <c r="R4293">
        <v>546.51288</v>
      </c>
    </row>
    <row r="4294" spans="17:18">
      <c r="Q4294" t="s">
        <v>5227</v>
      </c>
      <c r="R4294">
        <v>0</v>
      </c>
    </row>
    <row r="4295" spans="17:18">
      <c r="Q4295" t="s">
        <v>5228</v>
      </c>
      <c r="R4295">
        <v>0</v>
      </c>
    </row>
    <row r="4296" spans="17:18">
      <c r="Q4296" t="s">
        <v>5229</v>
      </c>
      <c r="R4296">
        <v>0</v>
      </c>
    </row>
    <row r="4297" spans="17:18">
      <c r="Q4297" t="s">
        <v>5230</v>
      </c>
      <c r="R4297">
        <v>0</v>
      </c>
    </row>
    <row r="4298" spans="17:18">
      <c r="Q4298" t="s">
        <v>5231</v>
      </c>
      <c r="R4298">
        <v>0</v>
      </c>
    </row>
    <row r="4299" spans="17:18">
      <c r="Q4299" t="s">
        <v>1698</v>
      </c>
      <c r="R4299">
        <v>0</v>
      </c>
    </row>
    <row r="9178" spans="19:36">
      <c r="S9178" s="120" t="s">
        <v>5232</v>
      </c>
      <c r="T9178" s="120" t="s">
        <v>5233</v>
      </c>
      <c r="U9178" s="120" t="s">
        <v>5234</v>
      </c>
      <c r="V9178" s="120" t="s">
        <v>5235</v>
      </c>
      <c r="W9178" s="121">
        <v>1</v>
      </c>
      <c r="X9178" s="121">
        <v>0</v>
      </c>
      <c r="Y9178" s="121">
        <v>0</v>
      </c>
      <c r="Z9178" s="120" t="s">
        <v>5236</v>
      </c>
      <c r="AA9178" s="120" t="s">
        <v>994</v>
      </c>
      <c r="AB9178" s="119">
        <v>43794</v>
      </c>
      <c r="AC9178" s="120" t="s">
        <v>5237</v>
      </c>
      <c r="AD9178" s="121">
        <v>1</v>
      </c>
      <c r="AE9178" s="120" t="s">
        <v>5238</v>
      </c>
      <c r="AF9178" s="120" t="s">
        <v>994</v>
      </c>
      <c r="AG9178" s="121">
        <v>0</v>
      </c>
      <c r="AH9178" s="122">
        <v>10000</v>
      </c>
      <c r="AI9178" s="119">
        <v>43794</v>
      </c>
      <c r="AJ9178" s="122">
        <v>0</v>
      </c>
    </row>
    <row r="9179" spans="19:36">
      <c r="S9179" s="120" t="s">
        <v>5232</v>
      </c>
      <c r="T9179" s="120" t="s">
        <v>1250</v>
      </c>
      <c r="U9179" s="120" t="s">
        <v>5239</v>
      </c>
      <c r="V9179" s="120" t="s">
        <v>5235</v>
      </c>
      <c r="W9179" s="121">
        <v>2</v>
      </c>
      <c r="X9179" s="121">
        <v>0</v>
      </c>
      <c r="Y9179" s="121">
        <v>2</v>
      </c>
      <c r="Z9179" s="120" t="s">
        <v>5236</v>
      </c>
      <c r="AA9179" s="120" t="s">
        <v>994</v>
      </c>
      <c r="AB9179" s="119">
        <v>43794</v>
      </c>
      <c r="AC9179" s="120" t="s">
        <v>5237</v>
      </c>
      <c r="AD9179" s="121">
        <v>1</v>
      </c>
      <c r="AE9179" s="120" t="s">
        <v>5238</v>
      </c>
      <c r="AF9179" s="120" t="s">
        <v>994</v>
      </c>
      <c r="AG9179" s="121">
        <v>686.96</v>
      </c>
      <c r="AH9179" s="122">
        <v>10000</v>
      </c>
      <c r="AI9179" s="119">
        <v>43794</v>
      </c>
      <c r="AJ9179" s="122">
        <v>0</v>
      </c>
    </row>
    <row r="9180" spans="19:36">
      <c r="S9180" s="120" t="s">
        <v>5232</v>
      </c>
      <c r="T9180" s="120" t="s">
        <v>1250</v>
      </c>
      <c r="U9180" s="120" t="s">
        <v>5240</v>
      </c>
      <c r="V9180" s="120" t="s">
        <v>5235</v>
      </c>
      <c r="W9180" s="121">
        <v>4</v>
      </c>
      <c r="X9180" s="121">
        <v>0</v>
      </c>
      <c r="Y9180" s="121">
        <v>0</v>
      </c>
      <c r="Z9180" s="120" t="s">
        <v>5236</v>
      </c>
      <c r="AA9180" s="120" t="s">
        <v>994</v>
      </c>
      <c r="AB9180" s="119">
        <v>43794</v>
      </c>
      <c r="AC9180" s="120" t="s">
        <v>5237</v>
      </c>
      <c r="AD9180" s="121">
        <v>1</v>
      </c>
      <c r="AE9180" s="120" t="s">
        <v>5238</v>
      </c>
      <c r="AF9180" s="120" t="s">
        <v>994</v>
      </c>
      <c r="AG9180" s="121">
        <v>0</v>
      </c>
      <c r="AH9180" s="122">
        <v>10000</v>
      </c>
      <c r="AI9180" s="119">
        <v>43794</v>
      </c>
      <c r="AJ9180" s="122">
        <v>0</v>
      </c>
    </row>
    <row r="9181" spans="19:36">
      <c r="S9181" s="120" t="s">
        <v>5232</v>
      </c>
      <c r="T9181" s="120" t="s">
        <v>1186</v>
      </c>
      <c r="U9181" s="120" t="s">
        <v>5241</v>
      </c>
      <c r="V9181" s="120" t="s">
        <v>5235</v>
      </c>
      <c r="W9181" s="121">
        <v>7</v>
      </c>
      <c r="X9181" s="121">
        <v>0</v>
      </c>
      <c r="Y9181" s="121">
        <v>7</v>
      </c>
      <c r="Z9181" s="120" t="s">
        <v>5236</v>
      </c>
      <c r="AA9181" s="120" t="s">
        <v>994</v>
      </c>
      <c r="AB9181" s="119">
        <v>43794</v>
      </c>
      <c r="AC9181" s="120" t="s">
        <v>5237</v>
      </c>
      <c r="AD9181" s="121">
        <v>1</v>
      </c>
      <c r="AE9181" s="120" t="s">
        <v>5238</v>
      </c>
      <c r="AF9181" s="120" t="s">
        <v>994</v>
      </c>
      <c r="AG9181" s="121">
        <v>1030.48</v>
      </c>
      <c r="AH9181" s="122">
        <v>10000</v>
      </c>
      <c r="AI9181" s="119">
        <v>43794</v>
      </c>
      <c r="AJ9181" s="122">
        <v>0</v>
      </c>
    </row>
    <row r="9182" spans="19:36">
      <c r="S9182" s="120" t="s">
        <v>5232</v>
      </c>
      <c r="T9182" s="120" t="s">
        <v>5242</v>
      </c>
      <c r="U9182" s="120" t="s">
        <v>5243</v>
      </c>
      <c r="V9182" s="120" t="s">
        <v>5235</v>
      </c>
      <c r="W9182" s="121">
        <v>1</v>
      </c>
      <c r="X9182" s="121">
        <v>0</v>
      </c>
      <c r="Y9182" s="121">
        <v>0</v>
      </c>
      <c r="Z9182" s="120" t="s">
        <v>5236</v>
      </c>
      <c r="AA9182" s="120" t="s">
        <v>994</v>
      </c>
      <c r="AB9182" s="119">
        <v>43794</v>
      </c>
      <c r="AC9182" s="120" t="s">
        <v>5237</v>
      </c>
      <c r="AD9182" s="121">
        <v>1</v>
      </c>
      <c r="AE9182" s="120" t="s">
        <v>5238</v>
      </c>
      <c r="AF9182" s="120" t="s">
        <v>994</v>
      </c>
      <c r="AG9182" s="121">
        <v>0</v>
      </c>
      <c r="AH9182" s="122">
        <v>10000</v>
      </c>
      <c r="AI9182" s="119">
        <v>43794</v>
      </c>
      <c r="AJ9182" s="122">
        <v>0</v>
      </c>
    </row>
    <row r="9183" spans="19:36">
      <c r="S9183" s="120" t="s">
        <v>5232</v>
      </c>
      <c r="T9183" s="120" t="s">
        <v>246</v>
      </c>
      <c r="U9183" s="120" t="s">
        <v>5244</v>
      </c>
      <c r="V9183" s="120" t="s">
        <v>5235</v>
      </c>
      <c r="W9183" s="121">
        <v>2</v>
      </c>
      <c r="X9183" s="121">
        <v>0</v>
      </c>
      <c r="Y9183" s="121">
        <v>0</v>
      </c>
      <c r="Z9183" s="120" t="s">
        <v>5236</v>
      </c>
      <c r="AA9183" s="120" t="s">
        <v>994</v>
      </c>
      <c r="AB9183" s="119">
        <v>43794</v>
      </c>
      <c r="AC9183" s="120" t="s">
        <v>5237</v>
      </c>
      <c r="AD9183" s="121">
        <v>1</v>
      </c>
      <c r="AE9183" s="120" t="s">
        <v>5238</v>
      </c>
      <c r="AF9183" s="120" t="s">
        <v>994</v>
      </c>
      <c r="AG9183" s="121">
        <v>0</v>
      </c>
      <c r="AH9183" s="122">
        <v>10000</v>
      </c>
      <c r="AI9183" s="119">
        <v>43794</v>
      </c>
      <c r="AJ9183" s="122">
        <v>0</v>
      </c>
    </row>
    <row r="9184" spans="19:36">
      <c r="S9184" s="120" t="s">
        <v>5232</v>
      </c>
      <c r="T9184" s="120" t="s">
        <v>1224</v>
      </c>
      <c r="U9184" s="120" t="s">
        <v>5245</v>
      </c>
      <c r="V9184" s="120" t="s">
        <v>5235</v>
      </c>
      <c r="W9184" s="121">
        <v>5</v>
      </c>
      <c r="X9184" s="121">
        <v>0</v>
      </c>
      <c r="Y9184" s="121">
        <v>5</v>
      </c>
      <c r="Z9184" s="120" t="s">
        <v>5236</v>
      </c>
      <c r="AA9184" s="120" t="s">
        <v>994</v>
      </c>
      <c r="AB9184" s="119">
        <v>43794</v>
      </c>
      <c r="AC9184" s="120" t="s">
        <v>5237</v>
      </c>
      <c r="AD9184" s="121">
        <v>1</v>
      </c>
      <c r="AE9184" s="120" t="s">
        <v>5238</v>
      </c>
      <c r="AF9184" s="120" t="s">
        <v>994</v>
      </c>
      <c r="AG9184" s="121">
        <v>346.5</v>
      </c>
      <c r="AH9184" s="122">
        <v>10000</v>
      </c>
      <c r="AI9184" s="119">
        <v>43794</v>
      </c>
      <c r="AJ9184" s="122">
        <v>0</v>
      </c>
    </row>
    <row r="9185" spans="19:36">
      <c r="S9185" s="120" t="s">
        <v>5232</v>
      </c>
      <c r="T9185" s="120" t="s">
        <v>1223</v>
      </c>
      <c r="U9185" s="120" t="s">
        <v>5246</v>
      </c>
      <c r="V9185" s="120" t="s">
        <v>5235</v>
      </c>
      <c r="W9185" s="121">
        <v>5</v>
      </c>
      <c r="X9185" s="121">
        <v>0</v>
      </c>
      <c r="Y9185" s="121">
        <v>5</v>
      </c>
      <c r="Z9185" s="120" t="s">
        <v>5236</v>
      </c>
      <c r="AA9185" s="120" t="s">
        <v>994</v>
      </c>
      <c r="AB9185" s="119">
        <v>43794</v>
      </c>
      <c r="AC9185" s="120" t="s">
        <v>5237</v>
      </c>
      <c r="AD9185" s="121">
        <v>1</v>
      </c>
      <c r="AE9185" s="120" t="s">
        <v>5238</v>
      </c>
      <c r="AF9185" s="120" t="s">
        <v>994</v>
      </c>
      <c r="AG9185" s="121">
        <v>402.17</v>
      </c>
      <c r="AH9185" s="122">
        <v>10000</v>
      </c>
      <c r="AI9185" s="119">
        <v>43794</v>
      </c>
      <c r="AJ9185" s="122">
        <v>0</v>
      </c>
    </row>
    <row r="9186" spans="19:36">
      <c r="S9186" s="120" t="s">
        <v>5232</v>
      </c>
      <c r="T9186" s="120" t="s">
        <v>1260</v>
      </c>
      <c r="U9186" s="120" t="s">
        <v>5247</v>
      </c>
      <c r="V9186" s="120" t="s">
        <v>5235</v>
      </c>
      <c r="W9186" s="121">
        <v>10</v>
      </c>
      <c r="X9186" s="121">
        <v>0</v>
      </c>
      <c r="Y9186" s="121">
        <v>10</v>
      </c>
      <c r="Z9186" s="120" t="s">
        <v>5236</v>
      </c>
      <c r="AA9186" s="120" t="s">
        <v>994</v>
      </c>
      <c r="AB9186" s="119">
        <v>43794</v>
      </c>
      <c r="AC9186" s="120" t="s">
        <v>5237</v>
      </c>
      <c r="AD9186" s="121">
        <v>1</v>
      </c>
      <c r="AE9186" s="120" t="s">
        <v>5238</v>
      </c>
      <c r="AF9186" s="120" t="s">
        <v>994</v>
      </c>
      <c r="AG9186" s="121">
        <v>2724.34</v>
      </c>
      <c r="AH9186" s="122">
        <v>10000</v>
      </c>
      <c r="AI9186" s="119">
        <v>43794</v>
      </c>
      <c r="AJ9186" s="122">
        <v>0</v>
      </c>
    </row>
    <row r="9187" spans="19:36">
      <c r="S9187" s="120" t="s">
        <v>5232</v>
      </c>
      <c r="T9187" s="120" t="s">
        <v>1550</v>
      </c>
      <c r="U9187" s="120" t="s">
        <v>5248</v>
      </c>
      <c r="V9187" s="120" t="s">
        <v>5235</v>
      </c>
      <c r="W9187" s="121">
        <v>5</v>
      </c>
      <c r="X9187" s="121">
        <v>0</v>
      </c>
      <c r="Y9187" s="121">
        <v>5</v>
      </c>
      <c r="Z9187" s="120" t="s">
        <v>5236</v>
      </c>
      <c r="AA9187" s="120" t="s">
        <v>994</v>
      </c>
      <c r="AB9187" s="119">
        <v>43794</v>
      </c>
      <c r="AC9187" s="120" t="s">
        <v>5237</v>
      </c>
      <c r="AD9187" s="121">
        <v>1</v>
      </c>
      <c r="AE9187" s="120" t="s">
        <v>5238</v>
      </c>
      <c r="AF9187" s="120" t="s">
        <v>994</v>
      </c>
      <c r="AG9187" s="121">
        <v>2441.2600000000002</v>
      </c>
      <c r="AH9187" s="122">
        <v>10000</v>
      </c>
      <c r="AI9187" s="119">
        <v>43794</v>
      </c>
      <c r="AJ9187" s="122">
        <v>0</v>
      </c>
    </row>
    <row r="9188" spans="19:36">
      <c r="S9188" s="120" t="s">
        <v>5232</v>
      </c>
      <c r="T9188" s="120" t="s">
        <v>1261</v>
      </c>
      <c r="U9188" s="120" t="s">
        <v>5249</v>
      </c>
      <c r="V9188" s="120" t="s">
        <v>5235</v>
      </c>
      <c r="W9188" s="121">
        <v>10</v>
      </c>
      <c r="X9188" s="121">
        <v>0</v>
      </c>
      <c r="Y9188" s="121">
        <v>10</v>
      </c>
      <c r="Z9188" s="120" t="s">
        <v>5236</v>
      </c>
      <c r="AA9188" s="120" t="s">
        <v>994</v>
      </c>
      <c r="AB9188" s="119">
        <v>43794</v>
      </c>
      <c r="AC9188" s="120" t="s">
        <v>5237</v>
      </c>
      <c r="AD9188" s="121">
        <v>1</v>
      </c>
      <c r="AE9188" s="120" t="s">
        <v>5238</v>
      </c>
      <c r="AF9188" s="120" t="s">
        <v>994</v>
      </c>
      <c r="AG9188" s="121">
        <v>3381.74</v>
      </c>
      <c r="AH9188" s="122">
        <v>10000</v>
      </c>
      <c r="AI9188" s="119">
        <v>43794</v>
      </c>
      <c r="AJ9188" s="122">
        <v>0</v>
      </c>
    </row>
    <row r="9189" spans="19:36">
      <c r="S9189" s="120" t="s">
        <v>5232</v>
      </c>
      <c r="T9189" s="120" t="s">
        <v>1681</v>
      </c>
      <c r="U9189" s="120" t="s">
        <v>5250</v>
      </c>
      <c r="V9189" s="120" t="s">
        <v>5235</v>
      </c>
      <c r="W9189" s="121">
        <v>2</v>
      </c>
      <c r="X9189" s="121">
        <v>0</v>
      </c>
      <c r="Y9189" s="121">
        <v>2</v>
      </c>
      <c r="Z9189" s="120" t="s">
        <v>5236</v>
      </c>
      <c r="AA9189" s="120" t="s">
        <v>994</v>
      </c>
      <c r="AB9189" s="119">
        <v>43794</v>
      </c>
      <c r="AC9189" s="120" t="s">
        <v>5237</v>
      </c>
      <c r="AD9189" s="121">
        <v>1</v>
      </c>
      <c r="AE9189" s="120" t="s">
        <v>5238</v>
      </c>
      <c r="AF9189" s="120" t="s">
        <v>994</v>
      </c>
      <c r="AG9189" s="121">
        <v>611.85</v>
      </c>
      <c r="AH9189" s="122">
        <v>10000</v>
      </c>
      <c r="AI9189" s="119">
        <v>43794</v>
      </c>
      <c r="AJ9189" s="122">
        <v>0</v>
      </c>
    </row>
    <row r="9190" spans="19:36">
      <c r="S9190" s="120" t="s">
        <v>5232</v>
      </c>
      <c r="T9190" s="120" t="s">
        <v>867</v>
      </c>
      <c r="U9190" s="120" t="s">
        <v>5251</v>
      </c>
      <c r="V9190" s="120" t="s">
        <v>5235</v>
      </c>
      <c r="W9190" s="121">
        <v>5</v>
      </c>
      <c r="X9190" s="121">
        <v>0</v>
      </c>
      <c r="Y9190" s="121">
        <v>5</v>
      </c>
      <c r="Z9190" s="120" t="s">
        <v>5236</v>
      </c>
      <c r="AA9190" s="120" t="s">
        <v>994</v>
      </c>
      <c r="AB9190" s="119">
        <v>43794</v>
      </c>
      <c r="AC9190" s="120" t="s">
        <v>5237</v>
      </c>
      <c r="AD9190" s="121">
        <v>1</v>
      </c>
      <c r="AE9190" s="120" t="s">
        <v>5238</v>
      </c>
      <c r="AF9190" s="120" t="s">
        <v>994</v>
      </c>
      <c r="AG9190" s="121">
        <v>1485.22</v>
      </c>
      <c r="AH9190" s="122">
        <v>10000</v>
      </c>
      <c r="AI9190" s="119">
        <v>43794</v>
      </c>
      <c r="AJ9190" s="122">
        <v>0</v>
      </c>
    </row>
    <row r="9191" spans="19:36">
      <c r="S9191" s="120" t="s">
        <v>5232</v>
      </c>
      <c r="T9191" s="120" t="s">
        <v>253</v>
      </c>
      <c r="U9191" s="120" t="s">
        <v>5252</v>
      </c>
      <c r="V9191" s="120" t="s">
        <v>5235</v>
      </c>
      <c r="W9191" s="121">
        <v>1.2</v>
      </c>
      <c r="X9191" s="121">
        <v>0</v>
      </c>
      <c r="Y9191" s="121">
        <v>0</v>
      </c>
      <c r="Z9191" s="120" t="s">
        <v>5236</v>
      </c>
      <c r="AA9191" s="120" t="s">
        <v>994</v>
      </c>
      <c r="AB9191" s="119">
        <v>43794</v>
      </c>
      <c r="AC9191" s="120" t="s">
        <v>5237</v>
      </c>
      <c r="AD9191" s="121">
        <v>1</v>
      </c>
      <c r="AE9191" s="120" t="s">
        <v>5238</v>
      </c>
      <c r="AF9191" s="120" t="s">
        <v>994</v>
      </c>
      <c r="AG9191" s="121">
        <v>0</v>
      </c>
      <c r="AH9191" s="122">
        <v>10000</v>
      </c>
      <c r="AI9191" s="119">
        <v>43794</v>
      </c>
      <c r="AJ9191" s="122">
        <v>0</v>
      </c>
    </row>
    <row r="9192" spans="19:36">
      <c r="S9192" s="120" t="s">
        <v>5232</v>
      </c>
      <c r="T9192" s="120" t="s">
        <v>1559</v>
      </c>
      <c r="U9192" s="120" t="s">
        <v>5253</v>
      </c>
      <c r="V9192" s="120" t="s">
        <v>5235</v>
      </c>
      <c r="W9192" s="121">
        <v>1</v>
      </c>
      <c r="X9192" s="121">
        <v>0</v>
      </c>
      <c r="Y9192" s="121">
        <v>0</v>
      </c>
      <c r="Z9192" s="120" t="s">
        <v>5236</v>
      </c>
      <c r="AA9192" s="120" t="s">
        <v>994</v>
      </c>
      <c r="AB9192" s="119">
        <v>43794</v>
      </c>
      <c r="AC9192" s="120" t="s">
        <v>5237</v>
      </c>
      <c r="AD9192" s="121">
        <v>1</v>
      </c>
      <c r="AE9192" s="120" t="s">
        <v>5238</v>
      </c>
      <c r="AF9192" s="120" t="s">
        <v>994</v>
      </c>
      <c r="AG9192" s="121">
        <v>0</v>
      </c>
      <c r="AH9192" s="122">
        <v>10000</v>
      </c>
      <c r="AI9192" s="119">
        <v>43794</v>
      </c>
      <c r="AJ9192" s="122">
        <v>0</v>
      </c>
    </row>
    <row r="9193" spans="19:36">
      <c r="S9193" s="120" t="s">
        <v>5232</v>
      </c>
      <c r="T9193" s="120" t="s">
        <v>1535</v>
      </c>
      <c r="U9193" s="120" t="s">
        <v>5254</v>
      </c>
      <c r="V9193" s="120" t="s">
        <v>5235</v>
      </c>
      <c r="W9193" s="121">
        <v>1</v>
      </c>
      <c r="X9193" s="121">
        <v>0</v>
      </c>
      <c r="Y9193" s="121">
        <v>1</v>
      </c>
      <c r="Z9193" s="120" t="s">
        <v>5236</v>
      </c>
      <c r="AA9193" s="120" t="s">
        <v>994</v>
      </c>
      <c r="AB9193" s="119">
        <v>43794</v>
      </c>
      <c r="AC9193" s="120" t="s">
        <v>5237</v>
      </c>
      <c r="AD9193" s="121">
        <v>1</v>
      </c>
      <c r="AE9193" s="120" t="s">
        <v>5238</v>
      </c>
      <c r="AF9193" s="120" t="s">
        <v>994</v>
      </c>
      <c r="AG9193" s="121">
        <v>907.16</v>
      </c>
      <c r="AH9193" s="122">
        <v>10000</v>
      </c>
      <c r="AI9193" s="119">
        <v>43794</v>
      </c>
      <c r="AJ9193" s="122">
        <v>0</v>
      </c>
    </row>
    <row r="9194" spans="19:36">
      <c r="S9194" s="120" t="s">
        <v>5232</v>
      </c>
      <c r="T9194" s="120" t="s">
        <v>1648</v>
      </c>
      <c r="U9194" s="120" t="s">
        <v>5255</v>
      </c>
      <c r="V9194" s="120" t="s">
        <v>5235</v>
      </c>
      <c r="W9194" s="121">
        <v>2</v>
      </c>
      <c r="X9194" s="121">
        <v>0</v>
      </c>
      <c r="Y9194" s="121">
        <v>2</v>
      </c>
      <c r="Z9194" s="120" t="s">
        <v>5236</v>
      </c>
      <c r="AA9194" s="120" t="s">
        <v>994</v>
      </c>
      <c r="AB9194" s="119">
        <v>43794</v>
      </c>
      <c r="AC9194" s="120" t="s">
        <v>5237</v>
      </c>
      <c r="AD9194" s="121">
        <v>1</v>
      </c>
      <c r="AE9194" s="120" t="s">
        <v>5238</v>
      </c>
      <c r="AF9194" s="120" t="s">
        <v>994</v>
      </c>
      <c r="AG9194" s="121">
        <v>285.93</v>
      </c>
      <c r="AH9194" s="122">
        <v>10000</v>
      </c>
      <c r="AI9194" s="119">
        <v>43794</v>
      </c>
      <c r="AJ9194" s="122">
        <v>0</v>
      </c>
    </row>
    <row r="9195" spans="19:36">
      <c r="S9195" s="120" t="s">
        <v>5232</v>
      </c>
      <c r="T9195" s="120" t="s">
        <v>5256</v>
      </c>
      <c r="U9195" s="120" t="s">
        <v>5257</v>
      </c>
      <c r="V9195" s="120" t="s">
        <v>5235</v>
      </c>
      <c r="W9195" s="121">
        <v>7</v>
      </c>
      <c r="X9195" s="121">
        <v>0</v>
      </c>
      <c r="Y9195" s="121">
        <v>7</v>
      </c>
      <c r="Z9195" s="120" t="s">
        <v>5236</v>
      </c>
      <c r="AA9195" s="120" t="s">
        <v>994</v>
      </c>
      <c r="AB9195" s="119">
        <v>43794</v>
      </c>
      <c r="AC9195" s="120" t="s">
        <v>5237</v>
      </c>
      <c r="AD9195" s="121">
        <v>1</v>
      </c>
      <c r="AE9195" s="120" t="s">
        <v>5238</v>
      </c>
      <c r="AF9195" s="120" t="s">
        <v>994</v>
      </c>
      <c r="AG9195" s="121">
        <v>4434.29</v>
      </c>
      <c r="AH9195" s="122">
        <v>10000</v>
      </c>
      <c r="AI9195" s="119">
        <v>43794</v>
      </c>
      <c r="AJ9195" s="122">
        <v>0</v>
      </c>
    </row>
    <row r="9196" spans="19:36">
      <c r="S9196" s="120" t="s">
        <v>5232</v>
      </c>
      <c r="T9196" s="120" t="s">
        <v>1226</v>
      </c>
      <c r="U9196" s="120" t="s">
        <v>5258</v>
      </c>
      <c r="V9196" s="120" t="s">
        <v>5235</v>
      </c>
      <c r="W9196" s="121">
        <v>3</v>
      </c>
      <c r="X9196" s="121">
        <v>0</v>
      </c>
      <c r="Y9196" s="121">
        <v>3</v>
      </c>
      <c r="Z9196" s="120" t="s">
        <v>5236</v>
      </c>
      <c r="AA9196" s="120" t="s">
        <v>994</v>
      </c>
      <c r="AB9196" s="119">
        <v>43794</v>
      </c>
      <c r="AC9196" s="120" t="s">
        <v>5237</v>
      </c>
      <c r="AD9196" s="121">
        <v>1</v>
      </c>
      <c r="AE9196" s="120" t="s">
        <v>5238</v>
      </c>
      <c r="AF9196" s="120" t="s">
        <v>994</v>
      </c>
      <c r="AG9196" s="121">
        <v>825.8</v>
      </c>
      <c r="AH9196" s="122">
        <v>10000</v>
      </c>
      <c r="AI9196" s="119">
        <v>43794</v>
      </c>
      <c r="AJ9196" s="122">
        <v>0</v>
      </c>
    </row>
    <row r="9197" spans="19:36">
      <c r="S9197" s="120" t="s">
        <v>5232</v>
      </c>
      <c r="T9197" s="120" t="s">
        <v>1226</v>
      </c>
      <c r="U9197" s="120" t="s">
        <v>5259</v>
      </c>
      <c r="V9197" s="120" t="s">
        <v>5235</v>
      </c>
      <c r="W9197" s="121">
        <v>2</v>
      </c>
      <c r="X9197" s="121">
        <v>0</v>
      </c>
      <c r="Y9197" s="121">
        <v>0</v>
      </c>
      <c r="Z9197" s="120" t="s">
        <v>5236</v>
      </c>
      <c r="AA9197" s="120" t="s">
        <v>994</v>
      </c>
      <c r="AB9197" s="119">
        <v>43794</v>
      </c>
      <c r="AC9197" s="120" t="s">
        <v>5237</v>
      </c>
      <c r="AD9197" s="121">
        <v>1</v>
      </c>
      <c r="AE9197" s="120" t="s">
        <v>5238</v>
      </c>
      <c r="AF9197" s="120" t="s">
        <v>994</v>
      </c>
      <c r="AG9197" s="121">
        <v>0</v>
      </c>
      <c r="AH9197" s="122">
        <v>10000</v>
      </c>
      <c r="AI9197" s="119">
        <v>43794</v>
      </c>
      <c r="AJ9197" s="122">
        <v>0</v>
      </c>
    </row>
    <row r="9198" spans="19:36">
      <c r="S9198" s="120" t="s">
        <v>5232</v>
      </c>
      <c r="T9198" s="120" t="s">
        <v>1254</v>
      </c>
      <c r="U9198" s="120" t="s">
        <v>5260</v>
      </c>
      <c r="V9198" s="120" t="s">
        <v>5235</v>
      </c>
      <c r="W9198" s="121">
        <v>4</v>
      </c>
      <c r="X9198" s="121">
        <v>0</v>
      </c>
      <c r="Y9198" s="121">
        <v>0</v>
      </c>
      <c r="Z9198" s="120" t="s">
        <v>5236</v>
      </c>
      <c r="AA9198" s="120" t="s">
        <v>994</v>
      </c>
      <c r="AB9198" s="119">
        <v>43794</v>
      </c>
      <c r="AC9198" s="120" t="s">
        <v>5237</v>
      </c>
      <c r="AD9198" s="121">
        <v>1</v>
      </c>
      <c r="AE9198" s="120" t="s">
        <v>5238</v>
      </c>
      <c r="AF9198" s="120" t="s">
        <v>994</v>
      </c>
      <c r="AG9198" s="121">
        <v>0</v>
      </c>
      <c r="AH9198" s="122">
        <v>10000</v>
      </c>
      <c r="AI9198" s="119">
        <v>43794</v>
      </c>
      <c r="AJ9198" s="122">
        <v>0</v>
      </c>
    </row>
    <row r="9199" spans="19:36">
      <c r="S9199" s="120" t="s">
        <v>5232</v>
      </c>
      <c r="T9199" s="120" t="s">
        <v>254</v>
      </c>
      <c r="U9199" s="120" t="s">
        <v>5261</v>
      </c>
      <c r="V9199" s="120" t="s">
        <v>5235</v>
      </c>
      <c r="W9199" s="121">
        <v>2</v>
      </c>
      <c r="X9199" s="121">
        <v>0</v>
      </c>
      <c r="Y9199" s="121">
        <v>0</v>
      </c>
      <c r="Z9199" s="120" t="s">
        <v>5236</v>
      </c>
      <c r="AA9199" s="120" t="s">
        <v>994</v>
      </c>
      <c r="AB9199" s="119">
        <v>43794</v>
      </c>
      <c r="AC9199" s="120" t="s">
        <v>5237</v>
      </c>
      <c r="AD9199" s="121">
        <v>1</v>
      </c>
      <c r="AE9199" s="120" t="s">
        <v>5238</v>
      </c>
      <c r="AF9199" s="120" t="s">
        <v>994</v>
      </c>
      <c r="AG9199" s="121">
        <v>0</v>
      </c>
      <c r="AH9199" s="122">
        <v>10000</v>
      </c>
      <c r="AI9199" s="119">
        <v>43794</v>
      </c>
      <c r="AJ9199" s="122">
        <v>0</v>
      </c>
    </row>
    <row r="9200" spans="19:36">
      <c r="S9200" s="120" t="s">
        <v>5232</v>
      </c>
      <c r="T9200" s="120" t="s">
        <v>1553</v>
      </c>
      <c r="U9200" s="120" t="s">
        <v>5262</v>
      </c>
      <c r="V9200" s="120" t="s">
        <v>5235</v>
      </c>
      <c r="W9200" s="121">
        <v>16</v>
      </c>
      <c r="X9200" s="121">
        <v>0</v>
      </c>
      <c r="Y9200" s="121">
        <v>0</v>
      </c>
      <c r="Z9200" s="120" t="s">
        <v>5236</v>
      </c>
      <c r="AA9200" s="120" t="s">
        <v>994</v>
      </c>
      <c r="AB9200" s="119">
        <v>43794</v>
      </c>
      <c r="AC9200" s="120" t="s">
        <v>5237</v>
      </c>
      <c r="AD9200" s="121">
        <v>1</v>
      </c>
      <c r="AE9200" s="120" t="s">
        <v>5238</v>
      </c>
      <c r="AF9200" s="120" t="s">
        <v>994</v>
      </c>
      <c r="AG9200" s="121">
        <v>0</v>
      </c>
      <c r="AH9200" s="122">
        <v>10000</v>
      </c>
      <c r="AI9200" s="119">
        <v>43794</v>
      </c>
      <c r="AJ9200" s="122">
        <v>0</v>
      </c>
    </row>
    <row r="9231" spans="19:36">
      <c r="S9231" s="120" t="s">
        <v>5232</v>
      </c>
      <c r="T9231" s="120" t="s">
        <v>245</v>
      </c>
      <c r="U9231" s="120" t="s">
        <v>5263</v>
      </c>
      <c r="V9231" s="120" t="s">
        <v>5235</v>
      </c>
      <c r="W9231" s="121">
        <v>6.9770000000000003</v>
      </c>
      <c r="X9231" s="121">
        <v>0</v>
      </c>
      <c r="Y9231" s="121">
        <v>0</v>
      </c>
      <c r="Z9231" s="120" t="s">
        <v>5236</v>
      </c>
      <c r="AA9231" s="120" t="s">
        <v>994</v>
      </c>
      <c r="AB9231" s="119">
        <v>43853</v>
      </c>
      <c r="AC9231" s="120" t="s">
        <v>5237</v>
      </c>
      <c r="AD9231" s="121">
        <v>1</v>
      </c>
      <c r="AE9231" s="120" t="s">
        <v>5238</v>
      </c>
      <c r="AF9231" s="120" t="s">
        <v>994</v>
      </c>
      <c r="AG9231" s="121">
        <v>0</v>
      </c>
      <c r="AH9231" s="122">
        <v>10000</v>
      </c>
      <c r="AI9231" s="119">
        <v>43853</v>
      </c>
      <c r="AJ9231" s="122">
        <v>0</v>
      </c>
    </row>
    <row r="9232" spans="19:36">
      <c r="S9232" s="120" t="s">
        <v>5232</v>
      </c>
      <c r="T9232" s="120" t="s">
        <v>254</v>
      </c>
      <c r="U9232" s="120" t="s">
        <v>5264</v>
      </c>
      <c r="V9232" s="120" t="s">
        <v>5235</v>
      </c>
      <c r="W9232" s="121">
        <v>4</v>
      </c>
      <c r="X9232" s="121">
        <v>0</v>
      </c>
      <c r="Y9232" s="121">
        <v>0</v>
      </c>
      <c r="Z9232" s="120" t="s">
        <v>5236</v>
      </c>
      <c r="AA9232" s="120" t="s">
        <v>994</v>
      </c>
      <c r="AB9232" s="119">
        <v>43853</v>
      </c>
      <c r="AC9232" s="120" t="s">
        <v>5237</v>
      </c>
      <c r="AD9232" s="121">
        <v>1</v>
      </c>
      <c r="AE9232" s="120" t="s">
        <v>5238</v>
      </c>
      <c r="AF9232" s="120" t="s">
        <v>994</v>
      </c>
      <c r="AG9232" s="121">
        <v>0</v>
      </c>
      <c r="AH9232" s="122">
        <v>10000</v>
      </c>
      <c r="AI9232" s="119">
        <v>43853</v>
      </c>
      <c r="AJ9232" s="122">
        <v>0</v>
      </c>
    </row>
    <row r="9233" spans="19:36">
      <c r="S9233" s="120" t="s">
        <v>5232</v>
      </c>
      <c r="T9233" s="120" t="s">
        <v>1207</v>
      </c>
      <c r="U9233" s="120" t="s">
        <v>5265</v>
      </c>
      <c r="V9233" s="120" t="s">
        <v>5235</v>
      </c>
      <c r="W9233" s="121">
        <v>1</v>
      </c>
      <c r="X9233" s="121">
        <v>0</v>
      </c>
      <c r="Y9233" s="121">
        <v>0</v>
      </c>
      <c r="Z9233" s="120" t="s">
        <v>5236</v>
      </c>
      <c r="AA9233" s="120" t="s">
        <v>994</v>
      </c>
      <c r="AB9233" s="119">
        <v>43853</v>
      </c>
      <c r="AC9233" s="120" t="s">
        <v>5237</v>
      </c>
      <c r="AD9233" s="121">
        <v>1</v>
      </c>
      <c r="AE9233" s="120" t="s">
        <v>5238</v>
      </c>
      <c r="AF9233" s="120" t="s">
        <v>994</v>
      </c>
      <c r="AG9233" s="121">
        <v>0</v>
      </c>
      <c r="AH9233" s="122">
        <v>10000</v>
      </c>
      <c r="AI9233" s="119">
        <v>43853</v>
      </c>
      <c r="AJ9233" s="122">
        <v>0</v>
      </c>
    </row>
    <row r="9234" spans="19:36">
      <c r="S9234" s="120" t="s">
        <v>5232</v>
      </c>
      <c r="T9234" s="120" t="s">
        <v>1238</v>
      </c>
      <c r="U9234" s="120" t="s">
        <v>5266</v>
      </c>
      <c r="V9234" s="120" t="s">
        <v>5235</v>
      </c>
      <c r="W9234" s="121">
        <v>2</v>
      </c>
      <c r="X9234" s="121">
        <v>0</v>
      </c>
      <c r="Y9234" s="121">
        <v>0</v>
      </c>
      <c r="Z9234" s="120" t="s">
        <v>5236</v>
      </c>
      <c r="AA9234" s="120" t="s">
        <v>994</v>
      </c>
      <c r="AB9234" s="119">
        <v>43853</v>
      </c>
      <c r="AC9234" s="120" t="s">
        <v>5237</v>
      </c>
      <c r="AD9234" s="121">
        <v>1</v>
      </c>
      <c r="AE9234" s="120" t="s">
        <v>5238</v>
      </c>
      <c r="AF9234" s="120" t="s">
        <v>994</v>
      </c>
      <c r="AG9234" s="121">
        <v>0</v>
      </c>
      <c r="AH9234" s="122">
        <v>10000</v>
      </c>
      <c r="AI9234" s="119">
        <v>43853</v>
      </c>
      <c r="AJ9234" s="122">
        <v>0</v>
      </c>
    </row>
    <row r="9235" spans="19:36">
      <c r="S9235" s="120" t="s">
        <v>5232</v>
      </c>
      <c r="T9235" s="120" t="s">
        <v>1238</v>
      </c>
      <c r="U9235" s="120" t="s">
        <v>5267</v>
      </c>
      <c r="V9235" s="120" t="s">
        <v>5235</v>
      </c>
      <c r="W9235" s="121">
        <v>2</v>
      </c>
      <c r="X9235" s="121">
        <v>0</v>
      </c>
      <c r="Y9235" s="121">
        <v>0</v>
      </c>
      <c r="Z9235" s="120" t="s">
        <v>5236</v>
      </c>
      <c r="AA9235" s="120" t="s">
        <v>994</v>
      </c>
      <c r="AB9235" s="119">
        <v>43853</v>
      </c>
      <c r="AC9235" s="120" t="s">
        <v>5237</v>
      </c>
      <c r="AD9235" s="121">
        <v>1</v>
      </c>
      <c r="AE9235" s="120" t="s">
        <v>5238</v>
      </c>
      <c r="AF9235" s="120" t="s">
        <v>994</v>
      </c>
      <c r="AG9235" s="121">
        <v>0</v>
      </c>
      <c r="AH9235" s="122">
        <v>10000</v>
      </c>
      <c r="AI9235" s="119">
        <v>43853</v>
      </c>
      <c r="AJ9235" s="122">
        <v>0</v>
      </c>
    </row>
    <row r="9236" spans="19:36">
      <c r="S9236" s="120" t="s">
        <v>5232</v>
      </c>
      <c r="T9236" s="120" t="s">
        <v>246</v>
      </c>
      <c r="U9236" s="120" t="s">
        <v>5268</v>
      </c>
      <c r="V9236" s="120" t="s">
        <v>5235</v>
      </c>
      <c r="W9236" s="121">
        <v>6</v>
      </c>
      <c r="X9236" s="121">
        <v>0</v>
      </c>
      <c r="Y9236" s="121">
        <v>0</v>
      </c>
      <c r="Z9236" s="120" t="s">
        <v>5236</v>
      </c>
      <c r="AA9236" s="120" t="s">
        <v>994</v>
      </c>
      <c r="AB9236" s="119">
        <v>43853</v>
      </c>
      <c r="AC9236" s="120" t="s">
        <v>5237</v>
      </c>
      <c r="AD9236" s="121">
        <v>1</v>
      </c>
      <c r="AE9236" s="120" t="s">
        <v>5238</v>
      </c>
      <c r="AF9236" s="120" t="s">
        <v>994</v>
      </c>
      <c r="AG9236" s="121">
        <v>0</v>
      </c>
      <c r="AH9236" s="122">
        <v>10000</v>
      </c>
      <c r="AI9236" s="119">
        <v>43853</v>
      </c>
      <c r="AJ9236" s="122">
        <v>0</v>
      </c>
    </row>
    <row r="9237" spans="19:36">
      <c r="S9237" s="120" t="s">
        <v>5232</v>
      </c>
      <c r="T9237" s="120" t="s">
        <v>1238</v>
      </c>
      <c r="U9237" s="120" t="s">
        <v>5267</v>
      </c>
      <c r="V9237" s="120" t="s">
        <v>5235</v>
      </c>
      <c r="W9237" s="121">
        <v>2</v>
      </c>
      <c r="X9237" s="121">
        <v>0</v>
      </c>
      <c r="Y9237" s="121">
        <v>0</v>
      </c>
      <c r="Z9237" s="120" t="s">
        <v>5236</v>
      </c>
      <c r="AA9237" s="120" t="s">
        <v>994</v>
      </c>
      <c r="AB9237" s="119">
        <v>43853</v>
      </c>
      <c r="AC9237" s="120" t="s">
        <v>5237</v>
      </c>
      <c r="AD9237" s="121">
        <v>1</v>
      </c>
      <c r="AE9237" s="120" t="s">
        <v>5238</v>
      </c>
      <c r="AF9237" s="120" t="s">
        <v>994</v>
      </c>
      <c r="AG9237" s="121">
        <v>0</v>
      </c>
      <c r="AH9237" s="122">
        <v>10000</v>
      </c>
      <c r="AI9237" s="119">
        <v>43853</v>
      </c>
      <c r="AJ9237" s="122">
        <v>0</v>
      </c>
    </row>
    <row r="9238" spans="19:36">
      <c r="S9238" s="120" t="s">
        <v>5232</v>
      </c>
      <c r="T9238" s="120" t="s">
        <v>243</v>
      </c>
      <c r="U9238" s="120" t="s">
        <v>5269</v>
      </c>
      <c r="V9238" s="120" t="s">
        <v>5235</v>
      </c>
      <c r="W9238" s="121">
        <v>1</v>
      </c>
      <c r="X9238" s="121">
        <v>0</v>
      </c>
      <c r="Y9238" s="121">
        <v>0</v>
      </c>
      <c r="Z9238" s="120" t="s">
        <v>5236</v>
      </c>
      <c r="AA9238" s="120" t="s">
        <v>994</v>
      </c>
      <c r="AB9238" s="119">
        <v>43853</v>
      </c>
      <c r="AC9238" s="120" t="s">
        <v>5237</v>
      </c>
      <c r="AD9238" s="121">
        <v>1</v>
      </c>
      <c r="AE9238" s="120" t="s">
        <v>5238</v>
      </c>
      <c r="AF9238" s="120" t="s">
        <v>994</v>
      </c>
      <c r="AG9238" s="121">
        <v>0</v>
      </c>
      <c r="AH9238" s="122">
        <v>10000</v>
      </c>
      <c r="AI9238" s="119">
        <v>43853</v>
      </c>
      <c r="AJ9238" s="122">
        <v>0</v>
      </c>
    </row>
    <row r="9239" spans="19:36">
      <c r="S9239" s="120" t="s">
        <v>5232</v>
      </c>
      <c r="T9239" s="120" t="s">
        <v>254</v>
      </c>
      <c r="U9239" s="120" t="s">
        <v>5264</v>
      </c>
      <c r="V9239" s="120" t="s">
        <v>5235</v>
      </c>
      <c r="W9239" s="121">
        <v>2</v>
      </c>
      <c r="X9239" s="121">
        <v>0</v>
      </c>
      <c r="Y9239" s="121">
        <v>0</v>
      </c>
      <c r="Z9239" s="120" t="s">
        <v>5236</v>
      </c>
      <c r="AA9239" s="120" t="s">
        <v>994</v>
      </c>
      <c r="AB9239" s="119">
        <v>43853</v>
      </c>
      <c r="AC9239" s="120" t="s">
        <v>5237</v>
      </c>
      <c r="AD9239" s="121">
        <v>1</v>
      </c>
      <c r="AE9239" s="120" t="s">
        <v>5238</v>
      </c>
      <c r="AF9239" s="120" t="s">
        <v>994</v>
      </c>
      <c r="AG9239" s="121">
        <v>0</v>
      </c>
      <c r="AH9239" s="122">
        <v>10000</v>
      </c>
      <c r="AI9239" s="119">
        <v>43853</v>
      </c>
      <c r="AJ9239" s="122">
        <v>0</v>
      </c>
    </row>
    <row r="9240" spans="19:36">
      <c r="S9240" s="120" t="s">
        <v>5232</v>
      </c>
      <c r="T9240" s="120" t="s">
        <v>1265</v>
      </c>
      <c r="U9240" s="120" t="s">
        <v>5270</v>
      </c>
      <c r="V9240" s="120" t="s">
        <v>5235</v>
      </c>
      <c r="W9240" s="121">
        <v>1</v>
      </c>
      <c r="X9240" s="121">
        <v>0</v>
      </c>
      <c r="Y9240" s="121">
        <v>0</v>
      </c>
      <c r="Z9240" s="120" t="s">
        <v>5236</v>
      </c>
      <c r="AA9240" s="120" t="s">
        <v>994</v>
      </c>
      <c r="AB9240" s="119">
        <v>43853</v>
      </c>
      <c r="AC9240" s="120" t="s">
        <v>5237</v>
      </c>
      <c r="AD9240" s="121">
        <v>1</v>
      </c>
      <c r="AE9240" s="120" t="s">
        <v>5238</v>
      </c>
      <c r="AF9240" s="120" t="s">
        <v>994</v>
      </c>
      <c r="AG9240" s="121">
        <v>0</v>
      </c>
      <c r="AH9240" s="122">
        <v>10000</v>
      </c>
      <c r="AI9240" s="119">
        <v>43853</v>
      </c>
      <c r="AJ9240" s="122">
        <v>0</v>
      </c>
    </row>
    <row r="9241" spans="19:36">
      <c r="S9241" s="120" t="s">
        <v>5232</v>
      </c>
      <c r="T9241" s="120" t="s">
        <v>1248</v>
      </c>
      <c r="U9241" s="120" t="s">
        <v>5271</v>
      </c>
      <c r="V9241" s="120" t="s">
        <v>5235</v>
      </c>
      <c r="W9241" s="121">
        <v>5</v>
      </c>
      <c r="X9241" s="121">
        <v>0</v>
      </c>
      <c r="Y9241" s="121">
        <v>0</v>
      </c>
      <c r="Z9241" s="120" t="s">
        <v>5236</v>
      </c>
      <c r="AA9241" s="120" t="s">
        <v>994</v>
      </c>
      <c r="AB9241" s="119">
        <v>43853</v>
      </c>
      <c r="AC9241" s="120" t="s">
        <v>5237</v>
      </c>
      <c r="AD9241" s="121">
        <v>1</v>
      </c>
      <c r="AE9241" s="120" t="s">
        <v>5238</v>
      </c>
      <c r="AF9241" s="120" t="s">
        <v>994</v>
      </c>
      <c r="AG9241" s="121">
        <v>0</v>
      </c>
      <c r="AH9241" s="122">
        <v>10000</v>
      </c>
      <c r="AI9241" s="119">
        <v>43853</v>
      </c>
      <c r="AJ9241" s="122">
        <v>0</v>
      </c>
    </row>
    <row r="9242" spans="19:36">
      <c r="S9242" s="120" t="s">
        <v>5232</v>
      </c>
      <c r="T9242" s="120" t="s">
        <v>5272</v>
      </c>
      <c r="U9242" s="120" t="s">
        <v>5273</v>
      </c>
      <c r="V9242" s="120" t="s">
        <v>5235</v>
      </c>
      <c r="W9242" s="121">
        <v>1</v>
      </c>
      <c r="X9242" s="121">
        <v>0</v>
      </c>
      <c r="Y9242" s="121">
        <v>0</v>
      </c>
      <c r="Z9242" s="120" t="s">
        <v>5236</v>
      </c>
      <c r="AA9242" s="120" t="s">
        <v>994</v>
      </c>
      <c r="AB9242" s="119">
        <v>43853</v>
      </c>
      <c r="AC9242" s="120" t="s">
        <v>5237</v>
      </c>
      <c r="AD9242" s="121">
        <v>1</v>
      </c>
      <c r="AE9242" s="120" t="s">
        <v>5238</v>
      </c>
      <c r="AF9242" s="120" t="s">
        <v>994</v>
      </c>
      <c r="AG9242" s="121">
        <v>0</v>
      </c>
      <c r="AH9242" s="122">
        <v>10000</v>
      </c>
      <c r="AI9242" s="119">
        <v>43853</v>
      </c>
      <c r="AJ9242" s="122">
        <v>0</v>
      </c>
    </row>
    <row r="9243" spans="19:36">
      <c r="S9243" s="120" t="s">
        <v>5232</v>
      </c>
      <c r="T9243" s="120" t="s">
        <v>246</v>
      </c>
      <c r="U9243" s="120" t="s">
        <v>5268</v>
      </c>
      <c r="V9243" s="120" t="s">
        <v>5235</v>
      </c>
      <c r="W9243" s="121">
        <v>6</v>
      </c>
      <c r="X9243" s="121">
        <v>0</v>
      </c>
      <c r="Y9243" s="121">
        <v>0</v>
      </c>
      <c r="Z9243" s="120" t="s">
        <v>5236</v>
      </c>
      <c r="AA9243" s="120" t="s">
        <v>994</v>
      </c>
      <c r="AB9243" s="119">
        <v>43853</v>
      </c>
      <c r="AC9243" s="120" t="s">
        <v>5237</v>
      </c>
      <c r="AD9243" s="121">
        <v>1</v>
      </c>
      <c r="AE9243" s="120" t="s">
        <v>5238</v>
      </c>
      <c r="AF9243" s="120" t="s">
        <v>994</v>
      </c>
      <c r="AG9243" s="121">
        <v>0</v>
      </c>
      <c r="AH9243" s="122">
        <v>10000</v>
      </c>
      <c r="AI9243" s="119">
        <v>43853</v>
      </c>
      <c r="AJ9243" s="122">
        <v>0</v>
      </c>
    </row>
    <row r="9244" spans="19:36">
      <c r="S9244" s="120" t="s">
        <v>5232</v>
      </c>
      <c r="T9244" s="120" t="s">
        <v>1248</v>
      </c>
      <c r="U9244" s="120" t="s">
        <v>5274</v>
      </c>
      <c r="V9244" s="120" t="s">
        <v>5235</v>
      </c>
      <c r="W9244" s="121">
        <v>4</v>
      </c>
      <c r="X9244" s="121">
        <v>0</v>
      </c>
      <c r="Y9244" s="121">
        <v>0</v>
      </c>
      <c r="Z9244" s="120" t="s">
        <v>5236</v>
      </c>
      <c r="AA9244" s="120" t="s">
        <v>994</v>
      </c>
      <c r="AB9244" s="119">
        <v>43853</v>
      </c>
      <c r="AC9244" s="120" t="s">
        <v>5237</v>
      </c>
      <c r="AD9244" s="121">
        <v>1</v>
      </c>
      <c r="AE9244" s="120" t="s">
        <v>5238</v>
      </c>
      <c r="AF9244" s="120" t="s">
        <v>994</v>
      </c>
      <c r="AG9244" s="121">
        <v>0</v>
      </c>
      <c r="AH9244" s="122">
        <v>10000</v>
      </c>
      <c r="AI9244" s="119">
        <v>43853</v>
      </c>
      <c r="AJ9244" s="122">
        <v>0</v>
      </c>
    </row>
    <row r="9245" spans="19:36">
      <c r="S9245" s="120" t="s">
        <v>5232</v>
      </c>
      <c r="T9245" s="120" t="s">
        <v>243</v>
      </c>
      <c r="U9245" s="120" t="s">
        <v>5275</v>
      </c>
      <c r="V9245" s="120" t="s">
        <v>5235</v>
      </c>
      <c r="W9245" s="121">
        <v>3</v>
      </c>
      <c r="X9245" s="121">
        <v>0</v>
      </c>
      <c r="Y9245" s="121">
        <v>0</v>
      </c>
      <c r="Z9245" s="120" t="s">
        <v>5236</v>
      </c>
      <c r="AA9245" s="120" t="s">
        <v>994</v>
      </c>
      <c r="AB9245" s="119">
        <v>43853</v>
      </c>
      <c r="AC9245" s="120" t="s">
        <v>5237</v>
      </c>
      <c r="AD9245" s="121">
        <v>1</v>
      </c>
      <c r="AE9245" s="120" t="s">
        <v>5238</v>
      </c>
      <c r="AF9245" s="120" t="s">
        <v>994</v>
      </c>
      <c r="AG9245" s="121">
        <v>0</v>
      </c>
      <c r="AH9245" s="122">
        <v>10000</v>
      </c>
      <c r="AI9245" s="119">
        <v>43853</v>
      </c>
      <c r="AJ9245" s="122">
        <v>0</v>
      </c>
    </row>
    <row r="9246" spans="19:36">
      <c r="S9246" s="120" t="s">
        <v>5232</v>
      </c>
      <c r="T9246" s="120" t="s">
        <v>245</v>
      </c>
      <c r="U9246" s="120" t="s">
        <v>5276</v>
      </c>
      <c r="V9246" s="120" t="s">
        <v>5235</v>
      </c>
      <c r="W9246" s="121">
        <v>1</v>
      </c>
      <c r="X9246" s="121">
        <v>0</v>
      </c>
      <c r="Y9246" s="121">
        <v>0</v>
      </c>
      <c r="Z9246" s="120" t="s">
        <v>5236</v>
      </c>
      <c r="AA9246" s="120" t="s">
        <v>994</v>
      </c>
      <c r="AB9246" s="119">
        <v>43853</v>
      </c>
      <c r="AC9246" s="120" t="s">
        <v>5237</v>
      </c>
      <c r="AD9246" s="121">
        <v>1</v>
      </c>
      <c r="AE9246" s="120" t="s">
        <v>5238</v>
      </c>
      <c r="AF9246" s="120" t="s">
        <v>994</v>
      </c>
      <c r="AG9246" s="121">
        <v>0</v>
      </c>
      <c r="AH9246" s="122">
        <v>10000</v>
      </c>
      <c r="AI9246" s="119">
        <v>43853</v>
      </c>
      <c r="AJ9246" s="122">
        <v>0</v>
      </c>
    </row>
    <row r="9247" spans="19:36">
      <c r="S9247" s="120" t="s">
        <v>5232</v>
      </c>
      <c r="T9247" s="120" t="s">
        <v>1246</v>
      </c>
      <c r="U9247" s="120" t="s">
        <v>5277</v>
      </c>
      <c r="V9247" s="120" t="s">
        <v>5235</v>
      </c>
      <c r="W9247" s="121">
        <v>4</v>
      </c>
      <c r="X9247" s="121">
        <v>0</v>
      </c>
      <c r="Y9247" s="121">
        <v>0</v>
      </c>
      <c r="Z9247" s="120" t="s">
        <v>5236</v>
      </c>
      <c r="AA9247" s="120" t="s">
        <v>994</v>
      </c>
      <c r="AB9247" s="119">
        <v>43853</v>
      </c>
      <c r="AC9247" s="120" t="s">
        <v>5237</v>
      </c>
      <c r="AD9247" s="121">
        <v>1</v>
      </c>
      <c r="AE9247" s="120" t="s">
        <v>5238</v>
      </c>
      <c r="AF9247" s="120" t="s">
        <v>994</v>
      </c>
      <c r="AG9247" s="121">
        <v>0</v>
      </c>
      <c r="AH9247" s="122">
        <v>10000</v>
      </c>
      <c r="AI9247" s="119">
        <v>43853</v>
      </c>
      <c r="AJ9247" s="122">
        <v>0</v>
      </c>
    </row>
    <row r="9248" spans="19:36">
      <c r="S9248" s="120" t="s">
        <v>5232</v>
      </c>
      <c r="T9248" s="120" t="s">
        <v>1265</v>
      </c>
      <c r="U9248" s="120" t="s">
        <v>5278</v>
      </c>
      <c r="V9248" s="120" t="s">
        <v>5235</v>
      </c>
      <c r="W9248" s="121">
        <v>1</v>
      </c>
      <c r="X9248" s="121">
        <v>0</v>
      </c>
      <c r="Y9248" s="121">
        <v>0</v>
      </c>
      <c r="Z9248" s="120" t="s">
        <v>5236</v>
      </c>
      <c r="AA9248" s="120" t="s">
        <v>994</v>
      </c>
      <c r="AB9248" s="119">
        <v>43853</v>
      </c>
      <c r="AC9248" s="120" t="s">
        <v>5237</v>
      </c>
      <c r="AD9248" s="121">
        <v>1</v>
      </c>
      <c r="AE9248" s="120" t="s">
        <v>5238</v>
      </c>
      <c r="AF9248" s="120" t="s">
        <v>994</v>
      </c>
      <c r="AG9248" s="121">
        <v>0</v>
      </c>
      <c r="AH9248" s="122">
        <v>10000</v>
      </c>
      <c r="AI9248" s="119">
        <v>43853</v>
      </c>
      <c r="AJ9248" s="122">
        <v>0</v>
      </c>
    </row>
    <row r="9249" spans="19:36">
      <c r="S9249" s="120" t="s">
        <v>5232</v>
      </c>
      <c r="T9249" s="120" t="s">
        <v>1440</v>
      </c>
      <c r="U9249" s="120" t="s">
        <v>5279</v>
      </c>
      <c r="V9249" s="120" t="s">
        <v>5235</v>
      </c>
      <c r="W9249" s="121">
        <v>1.02</v>
      </c>
      <c r="X9249" s="121">
        <v>0</v>
      </c>
      <c r="Y9249" s="121">
        <v>0</v>
      </c>
      <c r="Z9249" s="120" t="s">
        <v>5236</v>
      </c>
      <c r="AA9249" s="120" t="s">
        <v>994</v>
      </c>
      <c r="AB9249" s="119">
        <v>43853</v>
      </c>
      <c r="AC9249" s="120" t="s">
        <v>5237</v>
      </c>
      <c r="AD9249" s="121">
        <v>1</v>
      </c>
      <c r="AE9249" s="120" t="s">
        <v>5238</v>
      </c>
      <c r="AF9249" s="120" t="s">
        <v>994</v>
      </c>
      <c r="AG9249" s="121">
        <v>0</v>
      </c>
      <c r="AH9249" s="122">
        <v>10000</v>
      </c>
      <c r="AI9249" s="119">
        <v>43853</v>
      </c>
      <c r="AJ9249" s="122">
        <v>0</v>
      </c>
    </row>
    <row r="9250" spans="19:36">
      <c r="S9250" s="120" t="s">
        <v>5232</v>
      </c>
      <c r="T9250" s="120" t="s">
        <v>254</v>
      </c>
      <c r="U9250" s="120" t="s">
        <v>5280</v>
      </c>
      <c r="V9250" s="120" t="s">
        <v>5235</v>
      </c>
      <c r="W9250" s="121">
        <v>4</v>
      </c>
      <c r="X9250" s="121">
        <v>0</v>
      </c>
      <c r="Y9250" s="121">
        <v>0</v>
      </c>
      <c r="Z9250" s="120" t="s">
        <v>5236</v>
      </c>
      <c r="AA9250" s="120" t="s">
        <v>994</v>
      </c>
      <c r="AB9250" s="119">
        <v>43853</v>
      </c>
      <c r="AC9250" s="120" t="s">
        <v>5237</v>
      </c>
      <c r="AD9250" s="121">
        <v>1</v>
      </c>
      <c r="AE9250" s="120" t="s">
        <v>5238</v>
      </c>
      <c r="AF9250" s="120" t="s">
        <v>994</v>
      </c>
      <c r="AG9250" s="121">
        <v>0</v>
      </c>
      <c r="AH9250" s="122">
        <v>10000</v>
      </c>
      <c r="AI9250" s="119">
        <v>43853</v>
      </c>
      <c r="AJ9250" s="122">
        <v>0</v>
      </c>
    </row>
    <row r="9251" spans="19:36">
      <c r="S9251" s="120" t="s">
        <v>5232</v>
      </c>
      <c r="T9251" s="120" t="s">
        <v>1248</v>
      </c>
      <c r="U9251" s="120" t="s">
        <v>5274</v>
      </c>
      <c r="V9251" s="120" t="s">
        <v>5235</v>
      </c>
      <c r="W9251" s="121">
        <v>6</v>
      </c>
      <c r="X9251" s="121">
        <v>0</v>
      </c>
      <c r="Y9251" s="121">
        <v>0</v>
      </c>
      <c r="Z9251" s="120" t="s">
        <v>5236</v>
      </c>
      <c r="AA9251" s="120" t="s">
        <v>994</v>
      </c>
      <c r="AB9251" s="119">
        <v>43853</v>
      </c>
      <c r="AC9251" s="120" t="s">
        <v>5237</v>
      </c>
      <c r="AD9251" s="121">
        <v>1</v>
      </c>
      <c r="AE9251" s="120" t="s">
        <v>5238</v>
      </c>
      <c r="AF9251" s="120" t="s">
        <v>994</v>
      </c>
      <c r="AG9251" s="121">
        <v>0</v>
      </c>
      <c r="AH9251" s="122">
        <v>10000</v>
      </c>
      <c r="AI9251" s="119">
        <v>43853</v>
      </c>
      <c r="AJ9251" s="122">
        <v>0</v>
      </c>
    </row>
  </sheetData>
  <pageMargins left="0.7" right="0.7" top="0.75" bottom="0.75" header="0.3" footer="0.3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5AFB11-2989-4B62-8965-F856661ED1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39</vt:i4>
      </vt:variant>
    </vt:vector>
  </HeadingPairs>
  <TitlesOfParts>
    <vt:vector size="39" baseType="lpstr">
      <vt:lpstr>Előlap</vt:lpstr>
      <vt:lpstr>COIL inkjet_Laci</vt:lpstr>
      <vt:lpstr>Headcount</vt:lpstr>
      <vt:lpstr>Munka1</vt:lpstr>
      <vt:lpstr>ADAMI</vt:lpstr>
      <vt:lpstr>MIM</vt:lpstr>
      <vt:lpstr>CAOI</vt:lpstr>
      <vt:lpstr>AD Auto PKY</vt:lpstr>
      <vt:lpstr>Manual PKY</vt:lpstr>
      <vt:lpstr>CYT</vt:lpstr>
      <vt:lpstr>Auto Bending</vt:lpstr>
      <vt:lpstr>SS Auto Bending</vt:lpstr>
      <vt:lpstr>APIM</vt:lpstr>
      <vt:lpstr>Visual Inspection</vt:lpstr>
      <vt:lpstr>USB</vt:lpstr>
      <vt:lpstr>Conti Final Insp</vt:lpstr>
      <vt:lpstr>Hot Stamp</vt:lpstr>
      <vt:lpstr>Shielding</vt:lpstr>
      <vt:lpstr>Bending</vt:lpstr>
      <vt:lpstr>Attach Tape</vt:lpstr>
      <vt:lpstr>Bending+ATT(Kombi sablon)</vt:lpstr>
      <vt:lpstr>Hand L.mark</vt:lpstr>
      <vt:lpstr>KFT Output_Bundling</vt:lpstr>
      <vt:lpstr>KFT Output packaging</vt:lpstr>
      <vt:lpstr>Sales Qty</vt:lpstr>
      <vt:lpstr>Sales Amount</vt:lpstr>
      <vt:lpstr>Sales_daily_plan_follow</vt:lpstr>
      <vt:lpstr>Summarise</vt:lpstr>
      <vt:lpstr>Daily Production</vt:lpstr>
      <vt:lpstr>Sales_daily_plan_follow (2)</vt:lpstr>
      <vt:lpstr>PlanFollow (Factory out)</vt:lpstr>
      <vt:lpstr>PlanFollow (Finished)</vt:lpstr>
      <vt:lpstr>Prod.Output Summ</vt:lpstr>
      <vt:lpstr>Meeting minutes</vt:lpstr>
      <vt:lpstr>Prod.Output</vt:lpstr>
      <vt:lpstr>Postpones</vt:lpstr>
      <vt:lpstr>Operation hours</vt:lpstr>
      <vt:lpstr>Utilization</vt:lpstr>
      <vt:lpstr>Sales_DC 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Shoei Yonezawa</dc:creator>
  <cp:keywords/>
  <dc:description/>
  <cp:lastModifiedBy>Borics Krisztián</cp:lastModifiedBy>
  <cp:revision/>
  <dcterms:created xsi:type="dcterms:W3CDTF">2018-02-26T13:51:09Z</dcterms:created>
  <dcterms:modified xsi:type="dcterms:W3CDTF">2025-08-04T12:21:58Z</dcterms:modified>
  <cp:category/>
  <cp:contentStatus/>
</cp:coreProperties>
</file>